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Chart - Demand to 2033" sheetId="3" state="visible" r:id="rId3"/>
    <sheet name="Chart - Outflow to 2033" sheetId="4" state="visible" r:id="rId4"/>
    <sheet name="Chart - Production" sheetId="5" state="visible" r:id="rId5"/>
    <sheet name="Chart - Net outflow" sheetId="6" state="visible" r:id="rId6"/>
    <sheet name="Chart - Storage" sheetId="7" state="visible" r:id="rId7"/>
    <sheet name="Chart - Permian cap" sheetId="8" state="visible" r:id="rId8"/>
    <sheet name="Summary" sheetId="9" state="visible" r:id="rId9"/>
    <sheet name="Assumptions" sheetId="10" state="visible" r:id="rId10"/>
    <sheet name="Takeaway" sheetId="11" state="visible" r:id="rId11"/>
    <sheet name="Forecast" sheetId="12" state="visible" r:id="rId12"/>
    <sheet name="Supply and demand" sheetId="13" state="visible" r:id="rId13"/>
    <sheet name="Assump - Data centres" sheetId="14" state="visible" r:id="rId14"/>
    <sheet name="Data centres" sheetId="15" state="visible" r:id="rId15"/>
    <sheet name="Demand to 2033" sheetId="16" state="visible" r:id="rId16"/>
    <sheet name="Storage" sheetId="17" state="visible" r:id="rId17"/>
    <sheet name="STEO raw" sheetId="18" state="visible" r:id="rId18"/>
  </sheets>
  <definedNames/>
  <calcPr calcId="124519" fullCalcOnLoad="1"/>
</workbook>
</file>

<file path=xl/styles.xml><?xml version="1.0" encoding="utf-8"?>
<styleSheet xmlns="http://schemas.openxmlformats.org/spreadsheetml/2006/main">
  <numFmts count="7">
    <numFmt numFmtId="164" formatCode="YYYY-MM-DD HH:MM:SS"/>
    <numFmt numFmtId="165" formatCode="0.0"/>
    <numFmt numFmtId="166" formatCode="0.000"/>
    <numFmt numFmtId="167" formatCode="0.0%"/>
    <numFmt numFmtId="168" formatCode="0.0000"/>
    <numFmt numFmtId="169" formatCode="mmm/yy"/>
    <numFmt numFmtId="170" formatCode="yyyy-mm-dd h:mm:ss"/>
  </numFmts>
  <fonts count="4">
    <font>
      <name val="Calibri"/>
      <family val="2"/>
      <color theme="1"/>
      <sz val="11"/>
      <scheme val="minor"/>
    </font>
    <font>
      <b val="1"/>
    </font>
    <font>
      <b val="1"/>
      <sz val="13"/>
    </font>
    <font>
      <i val="1"/>
      <color rgb="00808080"/>
    </font>
  </fonts>
  <fills count="8">
    <fill>
      <patternFill/>
    </fill>
    <fill>
      <patternFill patternType="gray125"/>
    </fill>
    <fill>
      <patternFill patternType="solid">
        <fgColor rgb="00FFF2CC"/>
        <bgColor rgb="00FFF2CC"/>
      </patternFill>
    </fill>
    <fill>
      <patternFill patternType="solid">
        <fgColor rgb="00DDEBF7"/>
        <bgColor rgb="00DDEBF7"/>
      </patternFill>
    </fill>
    <fill>
      <patternFill patternType="solid">
        <fgColor rgb="00E2EFDA"/>
        <bgColor rgb="00E2EFDA"/>
      </patternFill>
    </fill>
    <fill>
      <patternFill patternType="solid">
        <fgColor rgb="00F8CBAD"/>
        <bgColor rgb="00F8CBAD"/>
      </patternFill>
    </fill>
    <fill>
      <patternFill patternType="solid">
        <fgColor rgb="00FCE4D6"/>
        <bgColor rgb="00FCE4D6"/>
      </patternFill>
    </fill>
    <fill>
      <patternFill patternType="solid">
        <fgColor rgb="00EDEDED"/>
        <bgColor rgb="00EDEDED"/>
      </patternFill>
    </fill>
  </fills>
  <borders count="1">
    <border>
      <left/>
      <right/>
      <top/>
      <bottom/>
      <diagonal/>
    </border>
  </borders>
  <cellStyleXfs count="1">
    <xf numFmtId="0" fontId="0" fillId="0" borderId="0"/>
  </cellStyleXfs>
  <cellXfs count="30">
    <xf numFmtId="0" fontId="0" fillId="0" borderId="0" pivotButton="0" quotePrefix="0" xfId="0"/>
    <xf numFmtId="0" fontId="1" fillId="2" borderId="0" pivotButton="0" quotePrefix="0" xfId="0"/>
    <xf numFmtId="164" fontId="0" fillId="0" borderId="0" pivotButton="0" quotePrefix="0" xfId="0"/>
    <xf numFmtId="164" fontId="0" fillId="0" borderId="0" pivotButton="0" quotePrefix="0" xfId="0"/>
    <xf numFmtId="0" fontId="2" fillId="0" borderId="0" pivotButton="0" quotePrefix="0" xfId="0"/>
    <xf numFmtId="0" fontId="0" fillId="0" borderId="0" applyAlignment="1" pivotButton="0" quotePrefix="0" xfId="0">
      <alignment wrapText="1"/>
    </xf>
    <xf numFmtId="0" fontId="3" fillId="0" borderId="0" pivotButton="0" quotePrefix="0" xfId="0"/>
    <xf numFmtId="0" fontId="1" fillId="3" borderId="0" applyAlignment="1" pivotButton="0" quotePrefix="0" xfId="0">
      <alignment vertical="top" wrapText="1"/>
    </xf>
    <xf numFmtId="165" fontId="0" fillId="2" borderId="0" pivotButton="0" quotePrefix="0" xfId="0"/>
    <xf numFmtId="0" fontId="1" fillId="4" borderId="0" pivotButton="0" quotePrefix="0" xfId="0"/>
    <xf numFmtId="1" fontId="0" fillId="2" borderId="0" pivotButton="0" quotePrefix="0" xfId="0"/>
    <xf numFmtId="2" fontId="0" fillId="2" borderId="0" pivotButton="0" quotePrefix="0" xfId="0"/>
    <xf numFmtId="166" fontId="0" fillId="2" borderId="0" pivotButton="0" quotePrefix="0" xfId="0"/>
    <xf numFmtId="0" fontId="1" fillId="5" borderId="0" pivotButton="0" quotePrefix="0" xfId="0"/>
    <xf numFmtId="167" fontId="0" fillId="0" borderId="0" pivotButton="0" quotePrefix="0" xfId="0"/>
    <xf numFmtId="0" fontId="1" fillId="6" borderId="0" pivotButton="0" quotePrefix="0" xfId="0"/>
    <xf numFmtId="2" fontId="0" fillId="0" borderId="0" pivotButton="0" quotePrefix="0" xfId="0"/>
    <xf numFmtId="166" fontId="0" fillId="0" borderId="0" pivotButton="0" quotePrefix="0" xfId="0"/>
    <xf numFmtId="0" fontId="1" fillId="0" borderId="0" pivotButton="0" quotePrefix="0" xfId="0"/>
    <xf numFmtId="165" fontId="0" fillId="0" borderId="0" pivotButton="0" quotePrefix="0" xfId="0"/>
    <xf numFmtId="0" fontId="1" fillId="3" borderId="0" pivotButton="0" quotePrefix="0" xfId="0"/>
    <xf numFmtId="168" fontId="0" fillId="0" borderId="0" pivotButton="0" quotePrefix="0" xfId="0"/>
    <xf numFmtId="1" fontId="0" fillId="0" borderId="0" pivotButton="0" quotePrefix="0" xfId="0"/>
    <xf numFmtId="9" fontId="0" fillId="0" borderId="0" applyAlignment="1" pivotButton="0" quotePrefix="0" xfId="0">
      <alignment horizontal="left"/>
    </xf>
    <xf numFmtId="0" fontId="0" fillId="0" borderId="0" applyAlignment="1" pivotButton="0" quotePrefix="0" xfId="0">
      <alignment vertical="top" wrapText="1"/>
    </xf>
    <xf numFmtId="0" fontId="0" fillId="7" borderId="0" pivotButton="0" quotePrefix="0" xfId="0"/>
    <xf numFmtId="165" fontId="0" fillId="7" borderId="0" pivotButton="0" quotePrefix="0" xfId="0"/>
    <xf numFmtId="2" fontId="0" fillId="7" borderId="0" pivotButton="0" quotePrefix="0" xfId="0"/>
    <xf numFmtId="169" fontId="0" fillId="0" borderId="0" pivotButton="0" quotePrefix="0" xfId="0"/>
    <xf numFmtId="16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chart>
    <title>
      <tx>
        <rich>
          <a:bodyPr/>
          <a:p>
            <a:pPr>
              <a:defRPr/>
            </a:pPr>
            <a:r>
              <a:rPr sz="1200" b="1"/>
              <a:t>Texas gas supply and demand incl. storage; gap = implied net outflow</a:t>
            </a:r>
          </a:p>
          <a:p>
            <a:pPr>
              <a:defRPr/>
            </a:pPr>
            <a:r>
              <a:rPr sz="1200" b="1"/>
              <a:t>Supply = dry production + storage withdrawal; demand = sectors, LNG feedgas, Mexico + storage injection (to Dec/28; forecast from Aug/26, lighter bars)</a:t>
            </a:r>
          </a:p>
        </rich>
      </tx>
      <overlay val="0"/>
    </title>
    <plotArea>
      <barChart>
        <barDir val="col"/>
        <grouping val="stacked"/>
        <ser>
          <idx val="0"/>
          <order val="0"/>
          <tx>
            <strRef>
              <f>'Chart'!B1</f>
            </strRef>
          </tx>
          <spPr>
            <a:solidFill>
              <a:srgbClr val="2A78D6"/>
            </a:solidFill>
            <a:ln>
              <a:noFill/>
              <a:prstDash val="solid"/>
            </a:ln>
          </spPr>
          <dPt>
            <idx val="67"/>
            <invertIfNegative val="0"/>
            <spPr>
              <a:solidFill>
                <a:srgbClr val="9FC2EC"/>
              </a:solidFill>
              <a:ln>
                <a:noFill/>
                <a:prstDash val="solid"/>
              </a:ln>
            </spPr>
          </dPt>
          <dPt>
            <idx val="68"/>
            <invertIfNegative val="0"/>
            <spPr>
              <a:solidFill>
                <a:srgbClr val="9FC2EC"/>
              </a:solidFill>
              <a:ln>
                <a:noFill/>
                <a:prstDash val="solid"/>
              </a:ln>
            </spPr>
          </dPt>
          <dPt>
            <idx val="69"/>
            <invertIfNegative val="0"/>
            <spPr>
              <a:solidFill>
                <a:srgbClr val="9FC2EC"/>
              </a:solidFill>
              <a:ln>
                <a:noFill/>
                <a:prstDash val="solid"/>
              </a:ln>
            </spPr>
          </dPt>
          <dPt>
            <idx val="70"/>
            <invertIfNegative val="0"/>
            <spPr>
              <a:solidFill>
                <a:srgbClr val="9FC2EC"/>
              </a:solidFill>
              <a:ln>
                <a:noFill/>
                <a:prstDash val="solid"/>
              </a:ln>
            </spPr>
          </dPt>
          <dPt>
            <idx val="71"/>
            <invertIfNegative val="0"/>
            <spPr>
              <a:solidFill>
                <a:srgbClr val="9FC2EC"/>
              </a:solidFill>
              <a:ln>
                <a:noFill/>
                <a:prstDash val="solid"/>
              </a:ln>
            </spPr>
          </dPt>
          <dPt>
            <idx val="72"/>
            <invertIfNegative val="0"/>
            <spPr>
              <a:solidFill>
                <a:srgbClr val="9FC2EC"/>
              </a:solidFill>
              <a:ln>
                <a:noFill/>
                <a:prstDash val="solid"/>
              </a:ln>
            </spPr>
          </dPt>
          <dPt>
            <idx val="73"/>
            <invertIfNegative val="0"/>
            <spPr>
              <a:solidFill>
                <a:srgbClr val="9FC2EC"/>
              </a:solidFill>
              <a:ln>
                <a:noFill/>
                <a:prstDash val="solid"/>
              </a:ln>
            </spPr>
          </dPt>
          <dPt>
            <idx val="74"/>
            <invertIfNegative val="0"/>
            <spPr>
              <a:solidFill>
                <a:srgbClr val="9FC2EC"/>
              </a:solidFill>
              <a:ln>
                <a:noFill/>
                <a:prstDash val="solid"/>
              </a:ln>
            </spPr>
          </dPt>
          <dPt>
            <idx val="75"/>
            <invertIfNegative val="0"/>
            <spPr>
              <a:solidFill>
                <a:srgbClr val="9FC2EC"/>
              </a:solidFill>
              <a:ln>
                <a:noFill/>
                <a:prstDash val="solid"/>
              </a:ln>
            </spPr>
          </dPt>
          <dPt>
            <idx val="76"/>
            <invertIfNegative val="0"/>
            <spPr>
              <a:solidFill>
                <a:srgbClr val="9FC2EC"/>
              </a:solidFill>
              <a:ln>
                <a:noFill/>
                <a:prstDash val="solid"/>
              </a:ln>
            </spPr>
          </dPt>
          <dPt>
            <idx val="77"/>
            <invertIfNegative val="0"/>
            <spPr>
              <a:solidFill>
                <a:srgbClr val="9FC2EC"/>
              </a:solidFill>
              <a:ln>
                <a:noFill/>
                <a:prstDash val="solid"/>
              </a:ln>
            </spPr>
          </dPt>
          <dPt>
            <idx val="78"/>
            <invertIfNegative val="0"/>
            <spPr>
              <a:solidFill>
                <a:srgbClr val="9FC2EC"/>
              </a:solidFill>
              <a:ln>
                <a:noFill/>
                <a:prstDash val="solid"/>
              </a:ln>
            </spPr>
          </dPt>
          <dPt>
            <idx val="79"/>
            <invertIfNegative val="0"/>
            <spPr>
              <a:solidFill>
                <a:srgbClr val="9FC2EC"/>
              </a:solidFill>
              <a:ln>
                <a:noFill/>
                <a:prstDash val="solid"/>
              </a:ln>
            </spPr>
          </dPt>
          <dPt>
            <idx val="80"/>
            <invertIfNegative val="0"/>
            <spPr>
              <a:solidFill>
                <a:srgbClr val="9FC2EC"/>
              </a:solidFill>
              <a:ln>
                <a:noFill/>
                <a:prstDash val="solid"/>
              </a:ln>
            </spPr>
          </dPt>
          <dPt>
            <idx val="81"/>
            <invertIfNegative val="0"/>
            <spPr>
              <a:solidFill>
                <a:srgbClr val="9FC2EC"/>
              </a:solidFill>
              <a:ln>
                <a:noFill/>
                <a:prstDash val="solid"/>
              </a:ln>
            </spPr>
          </dPt>
          <dPt>
            <idx val="82"/>
            <invertIfNegative val="0"/>
            <spPr>
              <a:solidFill>
                <a:srgbClr val="9FC2EC"/>
              </a:solidFill>
              <a:ln>
                <a:noFill/>
                <a:prstDash val="solid"/>
              </a:ln>
            </spPr>
          </dPt>
          <dPt>
            <idx val="83"/>
            <invertIfNegative val="0"/>
            <spPr>
              <a:solidFill>
                <a:srgbClr val="9FC2EC"/>
              </a:solidFill>
              <a:ln>
                <a:noFill/>
                <a:prstDash val="solid"/>
              </a:ln>
            </spPr>
          </dPt>
          <dPt>
            <idx val="84"/>
            <invertIfNegative val="0"/>
            <spPr>
              <a:solidFill>
                <a:srgbClr val="9FC2EC"/>
              </a:solidFill>
              <a:ln>
                <a:noFill/>
                <a:prstDash val="solid"/>
              </a:ln>
            </spPr>
          </dPt>
          <dPt>
            <idx val="85"/>
            <invertIfNegative val="0"/>
            <spPr>
              <a:solidFill>
                <a:srgbClr val="9FC2EC"/>
              </a:solidFill>
              <a:ln>
                <a:noFill/>
                <a:prstDash val="solid"/>
              </a:ln>
            </spPr>
          </dPt>
          <dPt>
            <idx val="86"/>
            <invertIfNegative val="0"/>
            <spPr>
              <a:solidFill>
                <a:srgbClr val="9FC2EC"/>
              </a:solidFill>
              <a:ln>
                <a:noFill/>
                <a:prstDash val="solid"/>
              </a:ln>
            </spPr>
          </dPt>
          <dPt>
            <idx val="87"/>
            <invertIfNegative val="0"/>
            <spPr>
              <a:solidFill>
                <a:srgbClr val="9FC2EC"/>
              </a:solidFill>
              <a:ln>
                <a:noFill/>
                <a:prstDash val="solid"/>
              </a:ln>
            </spPr>
          </dPt>
          <dPt>
            <idx val="88"/>
            <invertIfNegative val="0"/>
            <spPr>
              <a:solidFill>
                <a:srgbClr val="9FC2EC"/>
              </a:solidFill>
              <a:ln>
                <a:noFill/>
                <a:prstDash val="solid"/>
              </a:ln>
            </spPr>
          </dPt>
          <dPt>
            <idx val="89"/>
            <invertIfNegative val="0"/>
            <spPr>
              <a:solidFill>
                <a:srgbClr val="9FC2EC"/>
              </a:solidFill>
              <a:ln>
                <a:noFill/>
                <a:prstDash val="solid"/>
              </a:ln>
            </spPr>
          </dPt>
          <dPt>
            <idx val="90"/>
            <invertIfNegative val="0"/>
            <spPr>
              <a:solidFill>
                <a:srgbClr val="9FC2EC"/>
              </a:solidFill>
              <a:ln>
                <a:noFill/>
                <a:prstDash val="solid"/>
              </a:ln>
            </spPr>
          </dPt>
          <dPt>
            <idx val="91"/>
            <invertIfNegative val="0"/>
            <spPr>
              <a:solidFill>
                <a:srgbClr val="9FC2EC"/>
              </a:solidFill>
              <a:ln>
                <a:noFill/>
                <a:prstDash val="solid"/>
              </a:ln>
            </spPr>
          </dPt>
          <dPt>
            <idx val="92"/>
            <invertIfNegative val="0"/>
            <spPr>
              <a:solidFill>
                <a:srgbClr val="9FC2EC"/>
              </a:solidFill>
              <a:ln>
                <a:noFill/>
                <a:prstDash val="solid"/>
              </a:ln>
            </spPr>
          </dPt>
          <dPt>
            <idx val="93"/>
            <invertIfNegative val="0"/>
            <spPr>
              <a:solidFill>
                <a:srgbClr val="9FC2EC"/>
              </a:solidFill>
              <a:ln>
                <a:noFill/>
                <a:prstDash val="solid"/>
              </a:ln>
            </spPr>
          </dPt>
          <dPt>
            <idx val="94"/>
            <invertIfNegative val="0"/>
            <spPr>
              <a:solidFill>
                <a:srgbClr val="9FC2EC"/>
              </a:solidFill>
              <a:ln>
                <a:noFill/>
                <a:prstDash val="solid"/>
              </a:ln>
            </spPr>
          </dPt>
          <dPt>
            <idx val="95"/>
            <invertIfNegative val="0"/>
            <spPr>
              <a:solidFill>
                <a:srgbClr val="9FC2EC"/>
              </a:solidFill>
              <a:ln>
                <a:noFill/>
                <a:prstDash val="solid"/>
              </a:ln>
            </spPr>
          </dPt>
          <cat>
            <numRef>
              <f>'Chart'!$A$2:$A$97</f>
            </numRef>
          </cat>
          <val>
            <numRef>
              <f>'Chart'!$B$2:$B$97</f>
            </numRef>
          </val>
        </ser>
        <ser>
          <idx val="1"/>
          <order val="1"/>
          <tx>
            <strRef>
              <f>'Chart'!C1</f>
            </strRef>
          </tx>
          <spPr>
            <a:solidFill>
              <a:srgbClr val="EB6834"/>
            </a:solidFill>
            <a:ln>
              <a:noFill/>
              <a:prstDash val="solid"/>
            </a:ln>
          </spPr>
          <dPt>
            <idx val="67"/>
            <invertIfNegative val="0"/>
            <spPr>
              <a:solidFill>
                <a:srgbClr val="F6BBA3"/>
              </a:solidFill>
              <a:ln>
                <a:noFill/>
                <a:prstDash val="solid"/>
              </a:ln>
            </spPr>
          </dPt>
          <dPt>
            <idx val="68"/>
            <invertIfNegative val="0"/>
            <spPr>
              <a:solidFill>
                <a:srgbClr val="F6BBA3"/>
              </a:solidFill>
              <a:ln>
                <a:noFill/>
                <a:prstDash val="solid"/>
              </a:ln>
            </spPr>
          </dPt>
          <dPt>
            <idx val="69"/>
            <invertIfNegative val="0"/>
            <spPr>
              <a:solidFill>
                <a:srgbClr val="F6BBA3"/>
              </a:solidFill>
              <a:ln>
                <a:noFill/>
                <a:prstDash val="solid"/>
              </a:ln>
            </spPr>
          </dPt>
          <dPt>
            <idx val="70"/>
            <invertIfNegative val="0"/>
            <spPr>
              <a:solidFill>
                <a:srgbClr val="F6BBA3"/>
              </a:solidFill>
              <a:ln>
                <a:noFill/>
                <a:prstDash val="solid"/>
              </a:ln>
            </spPr>
          </dPt>
          <dPt>
            <idx val="71"/>
            <invertIfNegative val="0"/>
            <spPr>
              <a:solidFill>
                <a:srgbClr val="F6BBA3"/>
              </a:solidFill>
              <a:ln>
                <a:noFill/>
                <a:prstDash val="solid"/>
              </a:ln>
            </spPr>
          </dPt>
          <dPt>
            <idx val="72"/>
            <invertIfNegative val="0"/>
            <spPr>
              <a:solidFill>
                <a:srgbClr val="F6BBA3"/>
              </a:solidFill>
              <a:ln>
                <a:noFill/>
                <a:prstDash val="solid"/>
              </a:ln>
            </spPr>
          </dPt>
          <dPt>
            <idx val="73"/>
            <invertIfNegative val="0"/>
            <spPr>
              <a:solidFill>
                <a:srgbClr val="F6BBA3"/>
              </a:solidFill>
              <a:ln>
                <a:noFill/>
                <a:prstDash val="solid"/>
              </a:ln>
            </spPr>
          </dPt>
          <dPt>
            <idx val="74"/>
            <invertIfNegative val="0"/>
            <spPr>
              <a:solidFill>
                <a:srgbClr val="F6BBA3"/>
              </a:solidFill>
              <a:ln>
                <a:noFill/>
                <a:prstDash val="solid"/>
              </a:ln>
            </spPr>
          </dPt>
          <dPt>
            <idx val="75"/>
            <invertIfNegative val="0"/>
            <spPr>
              <a:solidFill>
                <a:srgbClr val="F6BBA3"/>
              </a:solidFill>
              <a:ln>
                <a:noFill/>
                <a:prstDash val="solid"/>
              </a:ln>
            </spPr>
          </dPt>
          <dPt>
            <idx val="76"/>
            <invertIfNegative val="0"/>
            <spPr>
              <a:solidFill>
                <a:srgbClr val="F6BBA3"/>
              </a:solidFill>
              <a:ln>
                <a:noFill/>
                <a:prstDash val="solid"/>
              </a:ln>
            </spPr>
          </dPt>
          <dPt>
            <idx val="77"/>
            <invertIfNegative val="0"/>
            <spPr>
              <a:solidFill>
                <a:srgbClr val="F6BBA3"/>
              </a:solidFill>
              <a:ln>
                <a:noFill/>
                <a:prstDash val="solid"/>
              </a:ln>
            </spPr>
          </dPt>
          <dPt>
            <idx val="78"/>
            <invertIfNegative val="0"/>
            <spPr>
              <a:solidFill>
                <a:srgbClr val="F6BBA3"/>
              </a:solidFill>
              <a:ln>
                <a:noFill/>
                <a:prstDash val="solid"/>
              </a:ln>
            </spPr>
          </dPt>
          <dPt>
            <idx val="79"/>
            <invertIfNegative val="0"/>
            <spPr>
              <a:solidFill>
                <a:srgbClr val="F6BBA3"/>
              </a:solidFill>
              <a:ln>
                <a:noFill/>
                <a:prstDash val="solid"/>
              </a:ln>
            </spPr>
          </dPt>
          <dPt>
            <idx val="80"/>
            <invertIfNegative val="0"/>
            <spPr>
              <a:solidFill>
                <a:srgbClr val="F6BBA3"/>
              </a:solidFill>
              <a:ln>
                <a:noFill/>
                <a:prstDash val="solid"/>
              </a:ln>
            </spPr>
          </dPt>
          <dPt>
            <idx val="81"/>
            <invertIfNegative val="0"/>
            <spPr>
              <a:solidFill>
                <a:srgbClr val="F6BBA3"/>
              </a:solidFill>
              <a:ln>
                <a:noFill/>
                <a:prstDash val="solid"/>
              </a:ln>
            </spPr>
          </dPt>
          <dPt>
            <idx val="82"/>
            <invertIfNegative val="0"/>
            <spPr>
              <a:solidFill>
                <a:srgbClr val="F6BBA3"/>
              </a:solidFill>
              <a:ln>
                <a:noFill/>
                <a:prstDash val="solid"/>
              </a:ln>
            </spPr>
          </dPt>
          <dPt>
            <idx val="83"/>
            <invertIfNegative val="0"/>
            <spPr>
              <a:solidFill>
                <a:srgbClr val="F6BBA3"/>
              </a:solidFill>
              <a:ln>
                <a:noFill/>
                <a:prstDash val="solid"/>
              </a:ln>
            </spPr>
          </dPt>
          <dPt>
            <idx val="84"/>
            <invertIfNegative val="0"/>
            <spPr>
              <a:solidFill>
                <a:srgbClr val="F6BBA3"/>
              </a:solidFill>
              <a:ln>
                <a:noFill/>
                <a:prstDash val="solid"/>
              </a:ln>
            </spPr>
          </dPt>
          <dPt>
            <idx val="85"/>
            <invertIfNegative val="0"/>
            <spPr>
              <a:solidFill>
                <a:srgbClr val="F6BBA3"/>
              </a:solidFill>
              <a:ln>
                <a:noFill/>
                <a:prstDash val="solid"/>
              </a:ln>
            </spPr>
          </dPt>
          <dPt>
            <idx val="86"/>
            <invertIfNegative val="0"/>
            <spPr>
              <a:solidFill>
                <a:srgbClr val="F6BBA3"/>
              </a:solidFill>
              <a:ln>
                <a:noFill/>
                <a:prstDash val="solid"/>
              </a:ln>
            </spPr>
          </dPt>
          <dPt>
            <idx val="87"/>
            <invertIfNegative val="0"/>
            <spPr>
              <a:solidFill>
                <a:srgbClr val="F6BBA3"/>
              </a:solidFill>
              <a:ln>
                <a:noFill/>
                <a:prstDash val="solid"/>
              </a:ln>
            </spPr>
          </dPt>
          <dPt>
            <idx val="88"/>
            <invertIfNegative val="0"/>
            <spPr>
              <a:solidFill>
                <a:srgbClr val="F6BBA3"/>
              </a:solidFill>
              <a:ln>
                <a:noFill/>
                <a:prstDash val="solid"/>
              </a:ln>
            </spPr>
          </dPt>
          <dPt>
            <idx val="89"/>
            <invertIfNegative val="0"/>
            <spPr>
              <a:solidFill>
                <a:srgbClr val="F6BBA3"/>
              </a:solidFill>
              <a:ln>
                <a:noFill/>
                <a:prstDash val="solid"/>
              </a:ln>
            </spPr>
          </dPt>
          <dPt>
            <idx val="90"/>
            <invertIfNegative val="0"/>
            <spPr>
              <a:solidFill>
                <a:srgbClr val="F6BBA3"/>
              </a:solidFill>
              <a:ln>
                <a:noFill/>
                <a:prstDash val="solid"/>
              </a:ln>
            </spPr>
          </dPt>
          <dPt>
            <idx val="91"/>
            <invertIfNegative val="0"/>
            <spPr>
              <a:solidFill>
                <a:srgbClr val="F6BBA3"/>
              </a:solidFill>
              <a:ln>
                <a:noFill/>
                <a:prstDash val="solid"/>
              </a:ln>
            </spPr>
          </dPt>
          <dPt>
            <idx val="92"/>
            <invertIfNegative val="0"/>
            <spPr>
              <a:solidFill>
                <a:srgbClr val="F6BBA3"/>
              </a:solidFill>
              <a:ln>
                <a:noFill/>
                <a:prstDash val="solid"/>
              </a:ln>
            </spPr>
          </dPt>
          <dPt>
            <idx val="93"/>
            <invertIfNegative val="0"/>
            <spPr>
              <a:solidFill>
                <a:srgbClr val="F6BBA3"/>
              </a:solidFill>
              <a:ln>
                <a:noFill/>
                <a:prstDash val="solid"/>
              </a:ln>
            </spPr>
          </dPt>
          <dPt>
            <idx val="94"/>
            <invertIfNegative val="0"/>
            <spPr>
              <a:solidFill>
                <a:srgbClr val="F6BBA3"/>
              </a:solidFill>
              <a:ln>
                <a:noFill/>
                <a:prstDash val="solid"/>
              </a:ln>
            </spPr>
          </dPt>
          <dPt>
            <idx val="95"/>
            <invertIfNegative val="0"/>
            <spPr>
              <a:solidFill>
                <a:srgbClr val="F6BBA3"/>
              </a:solidFill>
              <a:ln>
                <a:noFill/>
                <a:prstDash val="solid"/>
              </a:ln>
            </spPr>
          </dPt>
          <cat>
            <numRef>
              <f>'Chart'!$A$2:$A$97</f>
            </numRef>
          </cat>
          <val>
            <numRef>
              <f>'Chart'!$C$2:$C$97</f>
            </numRef>
          </val>
        </ser>
        <ser>
          <idx val="2"/>
          <order val="2"/>
          <tx>
            <strRef>
              <f>'Chart'!D1</f>
            </strRef>
          </tx>
          <spPr>
            <a:solidFill>
              <a:srgbClr val="1BAF7A"/>
            </a:solidFill>
            <a:ln>
              <a:noFill/>
              <a:prstDash val="solid"/>
            </a:ln>
          </spPr>
          <dPt>
            <idx val="67"/>
            <invertIfNegative val="0"/>
            <spPr>
              <a:solidFill>
                <a:srgbClr val="98DBC3"/>
              </a:solidFill>
              <a:ln>
                <a:noFill/>
                <a:prstDash val="solid"/>
              </a:ln>
            </spPr>
          </dPt>
          <dPt>
            <idx val="68"/>
            <invertIfNegative val="0"/>
            <spPr>
              <a:solidFill>
                <a:srgbClr val="98DBC3"/>
              </a:solidFill>
              <a:ln>
                <a:noFill/>
                <a:prstDash val="solid"/>
              </a:ln>
            </spPr>
          </dPt>
          <dPt>
            <idx val="69"/>
            <invertIfNegative val="0"/>
            <spPr>
              <a:solidFill>
                <a:srgbClr val="98DBC3"/>
              </a:solidFill>
              <a:ln>
                <a:noFill/>
                <a:prstDash val="solid"/>
              </a:ln>
            </spPr>
          </dPt>
          <dPt>
            <idx val="70"/>
            <invertIfNegative val="0"/>
            <spPr>
              <a:solidFill>
                <a:srgbClr val="98DBC3"/>
              </a:solidFill>
              <a:ln>
                <a:noFill/>
                <a:prstDash val="solid"/>
              </a:ln>
            </spPr>
          </dPt>
          <dPt>
            <idx val="71"/>
            <invertIfNegative val="0"/>
            <spPr>
              <a:solidFill>
                <a:srgbClr val="98DBC3"/>
              </a:solidFill>
              <a:ln>
                <a:noFill/>
                <a:prstDash val="solid"/>
              </a:ln>
            </spPr>
          </dPt>
          <dPt>
            <idx val="72"/>
            <invertIfNegative val="0"/>
            <spPr>
              <a:solidFill>
                <a:srgbClr val="98DBC3"/>
              </a:solidFill>
              <a:ln>
                <a:noFill/>
                <a:prstDash val="solid"/>
              </a:ln>
            </spPr>
          </dPt>
          <dPt>
            <idx val="73"/>
            <invertIfNegative val="0"/>
            <spPr>
              <a:solidFill>
                <a:srgbClr val="98DBC3"/>
              </a:solidFill>
              <a:ln>
                <a:noFill/>
                <a:prstDash val="solid"/>
              </a:ln>
            </spPr>
          </dPt>
          <dPt>
            <idx val="74"/>
            <invertIfNegative val="0"/>
            <spPr>
              <a:solidFill>
                <a:srgbClr val="98DBC3"/>
              </a:solidFill>
              <a:ln>
                <a:noFill/>
                <a:prstDash val="solid"/>
              </a:ln>
            </spPr>
          </dPt>
          <dPt>
            <idx val="75"/>
            <invertIfNegative val="0"/>
            <spPr>
              <a:solidFill>
                <a:srgbClr val="98DBC3"/>
              </a:solidFill>
              <a:ln>
                <a:noFill/>
                <a:prstDash val="solid"/>
              </a:ln>
            </spPr>
          </dPt>
          <dPt>
            <idx val="76"/>
            <invertIfNegative val="0"/>
            <spPr>
              <a:solidFill>
                <a:srgbClr val="98DBC3"/>
              </a:solidFill>
              <a:ln>
                <a:noFill/>
                <a:prstDash val="solid"/>
              </a:ln>
            </spPr>
          </dPt>
          <dPt>
            <idx val="77"/>
            <invertIfNegative val="0"/>
            <spPr>
              <a:solidFill>
                <a:srgbClr val="98DBC3"/>
              </a:solidFill>
              <a:ln>
                <a:noFill/>
                <a:prstDash val="solid"/>
              </a:ln>
            </spPr>
          </dPt>
          <dPt>
            <idx val="78"/>
            <invertIfNegative val="0"/>
            <spPr>
              <a:solidFill>
                <a:srgbClr val="98DBC3"/>
              </a:solidFill>
              <a:ln>
                <a:noFill/>
                <a:prstDash val="solid"/>
              </a:ln>
            </spPr>
          </dPt>
          <dPt>
            <idx val="79"/>
            <invertIfNegative val="0"/>
            <spPr>
              <a:solidFill>
                <a:srgbClr val="98DBC3"/>
              </a:solidFill>
              <a:ln>
                <a:noFill/>
                <a:prstDash val="solid"/>
              </a:ln>
            </spPr>
          </dPt>
          <dPt>
            <idx val="80"/>
            <invertIfNegative val="0"/>
            <spPr>
              <a:solidFill>
                <a:srgbClr val="98DBC3"/>
              </a:solidFill>
              <a:ln>
                <a:noFill/>
                <a:prstDash val="solid"/>
              </a:ln>
            </spPr>
          </dPt>
          <dPt>
            <idx val="81"/>
            <invertIfNegative val="0"/>
            <spPr>
              <a:solidFill>
                <a:srgbClr val="98DBC3"/>
              </a:solidFill>
              <a:ln>
                <a:noFill/>
                <a:prstDash val="solid"/>
              </a:ln>
            </spPr>
          </dPt>
          <dPt>
            <idx val="82"/>
            <invertIfNegative val="0"/>
            <spPr>
              <a:solidFill>
                <a:srgbClr val="98DBC3"/>
              </a:solidFill>
              <a:ln>
                <a:noFill/>
                <a:prstDash val="solid"/>
              </a:ln>
            </spPr>
          </dPt>
          <dPt>
            <idx val="83"/>
            <invertIfNegative val="0"/>
            <spPr>
              <a:solidFill>
                <a:srgbClr val="98DBC3"/>
              </a:solidFill>
              <a:ln>
                <a:noFill/>
                <a:prstDash val="solid"/>
              </a:ln>
            </spPr>
          </dPt>
          <dPt>
            <idx val="84"/>
            <invertIfNegative val="0"/>
            <spPr>
              <a:solidFill>
                <a:srgbClr val="98DBC3"/>
              </a:solidFill>
              <a:ln>
                <a:noFill/>
                <a:prstDash val="solid"/>
              </a:ln>
            </spPr>
          </dPt>
          <dPt>
            <idx val="85"/>
            <invertIfNegative val="0"/>
            <spPr>
              <a:solidFill>
                <a:srgbClr val="98DBC3"/>
              </a:solidFill>
              <a:ln>
                <a:noFill/>
                <a:prstDash val="solid"/>
              </a:ln>
            </spPr>
          </dPt>
          <dPt>
            <idx val="86"/>
            <invertIfNegative val="0"/>
            <spPr>
              <a:solidFill>
                <a:srgbClr val="98DBC3"/>
              </a:solidFill>
              <a:ln>
                <a:noFill/>
                <a:prstDash val="solid"/>
              </a:ln>
            </spPr>
          </dPt>
          <dPt>
            <idx val="87"/>
            <invertIfNegative val="0"/>
            <spPr>
              <a:solidFill>
                <a:srgbClr val="98DBC3"/>
              </a:solidFill>
              <a:ln>
                <a:noFill/>
                <a:prstDash val="solid"/>
              </a:ln>
            </spPr>
          </dPt>
          <dPt>
            <idx val="88"/>
            <invertIfNegative val="0"/>
            <spPr>
              <a:solidFill>
                <a:srgbClr val="98DBC3"/>
              </a:solidFill>
              <a:ln>
                <a:noFill/>
                <a:prstDash val="solid"/>
              </a:ln>
            </spPr>
          </dPt>
          <dPt>
            <idx val="89"/>
            <invertIfNegative val="0"/>
            <spPr>
              <a:solidFill>
                <a:srgbClr val="98DBC3"/>
              </a:solidFill>
              <a:ln>
                <a:noFill/>
                <a:prstDash val="solid"/>
              </a:ln>
            </spPr>
          </dPt>
          <dPt>
            <idx val="90"/>
            <invertIfNegative val="0"/>
            <spPr>
              <a:solidFill>
                <a:srgbClr val="98DBC3"/>
              </a:solidFill>
              <a:ln>
                <a:noFill/>
                <a:prstDash val="solid"/>
              </a:ln>
            </spPr>
          </dPt>
          <dPt>
            <idx val="91"/>
            <invertIfNegative val="0"/>
            <spPr>
              <a:solidFill>
                <a:srgbClr val="98DBC3"/>
              </a:solidFill>
              <a:ln>
                <a:noFill/>
                <a:prstDash val="solid"/>
              </a:ln>
            </spPr>
          </dPt>
          <dPt>
            <idx val="92"/>
            <invertIfNegative val="0"/>
            <spPr>
              <a:solidFill>
                <a:srgbClr val="98DBC3"/>
              </a:solidFill>
              <a:ln>
                <a:noFill/>
                <a:prstDash val="solid"/>
              </a:ln>
            </spPr>
          </dPt>
          <dPt>
            <idx val="93"/>
            <invertIfNegative val="0"/>
            <spPr>
              <a:solidFill>
                <a:srgbClr val="98DBC3"/>
              </a:solidFill>
              <a:ln>
                <a:noFill/>
                <a:prstDash val="solid"/>
              </a:ln>
            </spPr>
          </dPt>
          <dPt>
            <idx val="94"/>
            <invertIfNegative val="0"/>
            <spPr>
              <a:solidFill>
                <a:srgbClr val="98DBC3"/>
              </a:solidFill>
              <a:ln>
                <a:noFill/>
                <a:prstDash val="solid"/>
              </a:ln>
            </spPr>
          </dPt>
          <dPt>
            <idx val="95"/>
            <invertIfNegative val="0"/>
            <spPr>
              <a:solidFill>
                <a:srgbClr val="98DBC3"/>
              </a:solidFill>
              <a:ln>
                <a:noFill/>
                <a:prstDash val="solid"/>
              </a:ln>
            </spPr>
          </dPt>
          <cat>
            <numRef>
              <f>'Chart'!$A$2:$A$97</f>
            </numRef>
          </cat>
          <val>
            <numRef>
              <f>'Chart'!$D$2:$D$97</f>
            </numRef>
          </val>
        </ser>
        <ser>
          <idx val="3"/>
          <order val="3"/>
          <tx>
            <strRef>
              <f>'Chart'!E1</f>
            </strRef>
          </tx>
          <spPr>
            <a:solidFill>
              <a:srgbClr val="EDA100"/>
            </a:solidFill>
            <a:ln>
              <a:noFill/>
              <a:prstDash val="solid"/>
            </a:ln>
          </spPr>
          <dPt>
            <idx val="67"/>
            <invertIfNegative val="0"/>
            <spPr>
              <a:solidFill>
                <a:srgbClr val="F6D48C"/>
              </a:solidFill>
              <a:ln>
                <a:noFill/>
                <a:prstDash val="solid"/>
              </a:ln>
            </spPr>
          </dPt>
          <dPt>
            <idx val="68"/>
            <invertIfNegative val="0"/>
            <spPr>
              <a:solidFill>
                <a:srgbClr val="F6D48C"/>
              </a:solidFill>
              <a:ln>
                <a:noFill/>
                <a:prstDash val="solid"/>
              </a:ln>
            </spPr>
          </dPt>
          <dPt>
            <idx val="69"/>
            <invertIfNegative val="0"/>
            <spPr>
              <a:solidFill>
                <a:srgbClr val="F6D48C"/>
              </a:solidFill>
              <a:ln>
                <a:noFill/>
                <a:prstDash val="solid"/>
              </a:ln>
            </spPr>
          </dPt>
          <dPt>
            <idx val="70"/>
            <invertIfNegative val="0"/>
            <spPr>
              <a:solidFill>
                <a:srgbClr val="F6D48C"/>
              </a:solidFill>
              <a:ln>
                <a:noFill/>
                <a:prstDash val="solid"/>
              </a:ln>
            </spPr>
          </dPt>
          <dPt>
            <idx val="71"/>
            <invertIfNegative val="0"/>
            <spPr>
              <a:solidFill>
                <a:srgbClr val="F6D48C"/>
              </a:solidFill>
              <a:ln>
                <a:noFill/>
                <a:prstDash val="solid"/>
              </a:ln>
            </spPr>
          </dPt>
          <dPt>
            <idx val="72"/>
            <invertIfNegative val="0"/>
            <spPr>
              <a:solidFill>
                <a:srgbClr val="F6D48C"/>
              </a:solidFill>
              <a:ln>
                <a:noFill/>
                <a:prstDash val="solid"/>
              </a:ln>
            </spPr>
          </dPt>
          <dPt>
            <idx val="73"/>
            <invertIfNegative val="0"/>
            <spPr>
              <a:solidFill>
                <a:srgbClr val="F6D48C"/>
              </a:solidFill>
              <a:ln>
                <a:noFill/>
                <a:prstDash val="solid"/>
              </a:ln>
            </spPr>
          </dPt>
          <dPt>
            <idx val="74"/>
            <invertIfNegative val="0"/>
            <spPr>
              <a:solidFill>
                <a:srgbClr val="F6D48C"/>
              </a:solidFill>
              <a:ln>
                <a:noFill/>
                <a:prstDash val="solid"/>
              </a:ln>
            </spPr>
          </dPt>
          <dPt>
            <idx val="75"/>
            <invertIfNegative val="0"/>
            <spPr>
              <a:solidFill>
                <a:srgbClr val="F6D48C"/>
              </a:solidFill>
              <a:ln>
                <a:noFill/>
                <a:prstDash val="solid"/>
              </a:ln>
            </spPr>
          </dPt>
          <dPt>
            <idx val="76"/>
            <invertIfNegative val="0"/>
            <spPr>
              <a:solidFill>
                <a:srgbClr val="F6D48C"/>
              </a:solidFill>
              <a:ln>
                <a:noFill/>
                <a:prstDash val="solid"/>
              </a:ln>
            </spPr>
          </dPt>
          <dPt>
            <idx val="77"/>
            <invertIfNegative val="0"/>
            <spPr>
              <a:solidFill>
                <a:srgbClr val="F6D48C"/>
              </a:solidFill>
              <a:ln>
                <a:noFill/>
                <a:prstDash val="solid"/>
              </a:ln>
            </spPr>
          </dPt>
          <dPt>
            <idx val="78"/>
            <invertIfNegative val="0"/>
            <spPr>
              <a:solidFill>
                <a:srgbClr val="F6D48C"/>
              </a:solidFill>
              <a:ln>
                <a:noFill/>
                <a:prstDash val="solid"/>
              </a:ln>
            </spPr>
          </dPt>
          <dPt>
            <idx val="79"/>
            <invertIfNegative val="0"/>
            <spPr>
              <a:solidFill>
                <a:srgbClr val="F6D48C"/>
              </a:solidFill>
              <a:ln>
                <a:noFill/>
                <a:prstDash val="solid"/>
              </a:ln>
            </spPr>
          </dPt>
          <dPt>
            <idx val="80"/>
            <invertIfNegative val="0"/>
            <spPr>
              <a:solidFill>
                <a:srgbClr val="F6D48C"/>
              </a:solidFill>
              <a:ln>
                <a:noFill/>
                <a:prstDash val="solid"/>
              </a:ln>
            </spPr>
          </dPt>
          <dPt>
            <idx val="81"/>
            <invertIfNegative val="0"/>
            <spPr>
              <a:solidFill>
                <a:srgbClr val="F6D48C"/>
              </a:solidFill>
              <a:ln>
                <a:noFill/>
                <a:prstDash val="solid"/>
              </a:ln>
            </spPr>
          </dPt>
          <dPt>
            <idx val="82"/>
            <invertIfNegative val="0"/>
            <spPr>
              <a:solidFill>
                <a:srgbClr val="F6D48C"/>
              </a:solidFill>
              <a:ln>
                <a:noFill/>
                <a:prstDash val="solid"/>
              </a:ln>
            </spPr>
          </dPt>
          <dPt>
            <idx val="83"/>
            <invertIfNegative val="0"/>
            <spPr>
              <a:solidFill>
                <a:srgbClr val="F6D48C"/>
              </a:solidFill>
              <a:ln>
                <a:noFill/>
                <a:prstDash val="solid"/>
              </a:ln>
            </spPr>
          </dPt>
          <dPt>
            <idx val="84"/>
            <invertIfNegative val="0"/>
            <spPr>
              <a:solidFill>
                <a:srgbClr val="F6D48C"/>
              </a:solidFill>
              <a:ln>
                <a:noFill/>
                <a:prstDash val="solid"/>
              </a:ln>
            </spPr>
          </dPt>
          <dPt>
            <idx val="85"/>
            <invertIfNegative val="0"/>
            <spPr>
              <a:solidFill>
                <a:srgbClr val="F6D48C"/>
              </a:solidFill>
              <a:ln>
                <a:noFill/>
                <a:prstDash val="solid"/>
              </a:ln>
            </spPr>
          </dPt>
          <dPt>
            <idx val="86"/>
            <invertIfNegative val="0"/>
            <spPr>
              <a:solidFill>
                <a:srgbClr val="F6D48C"/>
              </a:solidFill>
              <a:ln>
                <a:noFill/>
                <a:prstDash val="solid"/>
              </a:ln>
            </spPr>
          </dPt>
          <dPt>
            <idx val="87"/>
            <invertIfNegative val="0"/>
            <spPr>
              <a:solidFill>
                <a:srgbClr val="F6D48C"/>
              </a:solidFill>
              <a:ln>
                <a:noFill/>
                <a:prstDash val="solid"/>
              </a:ln>
            </spPr>
          </dPt>
          <dPt>
            <idx val="88"/>
            <invertIfNegative val="0"/>
            <spPr>
              <a:solidFill>
                <a:srgbClr val="F6D48C"/>
              </a:solidFill>
              <a:ln>
                <a:noFill/>
                <a:prstDash val="solid"/>
              </a:ln>
            </spPr>
          </dPt>
          <dPt>
            <idx val="89"/>
            <invertIfNegative val="0"/>
            <spPr>
              <a:solidFill>
                <a:srgbClr val="F6D48C"/>
              </a:solidFill>
              <a:ln>
                <a:noFill/>
                <a:prstDash val="solid"/>
              </a:ln>
            </spPr>
          </dPt>
          <dPt>
            <idx val="90"/>
            <invertIfNegative val="0"/>
            <spPr>
              <a:solidFill>
                <a:srgbClr val="F6D48C"/>
              </a:solidFill>
              <a:ln>
                <a:noFill/>
                <a:prstDash val="solid"/>
              </a:ln>
            </spPr>
          </dPt>
          <dPt>
            <idx val="91"/>
            <invertIfNegative val="0"/>
            <spPr>
              <a:solidFill>
                <a:srgbClr val="F6D48C"/>
              </a:solidFill>
              <a:ln>
                <a:noFill/>
                <a:prstDash val="solid"/>
              </a:ln>
            </spPr>
          </dPt>
          <dPt>
            <idx val="92"/>
            <invertIfNegative val="0"/>
            <spPr>
              <a:solidFill>
                <a:srgbClr val="F6D48C"/>
              </a:solidFill>
              <a:ln>
                <a:noFill/>
                <a:prstDash val="solid"/>
              </a:ln>
            </spPr>
          </dPt>
          <dPt>
            <idx val="93"/>
            <invertIfNegative val="0"/>
            <spPr>
              <a:solidFill>
                <a:srgbClr val="F6D48C"/>
              </a:solidFill>
              <a:ln>
                <a:noFill/>
                <a:prstDash val="solid"/>
              </a:ln>
            </spPr>
          </dPt>
          <dPt>
            <idx val="94"/>
            <invertIfNegative val="0"/>
            <spPr>
              <a:solidFill>
                <a:srgbClr val="F6D48C"/>
              </a:solidFill>
              <a:ln>
                <a:noFill/>
                <a:prstDash val="solid"/>
              </a:ln>
            </spPr>
          </dPt>
          <dPt>
            <idx val="95"/>
            <invertIfNegative val="0"/>
            <spPr>
              <a:solidFill>
                <a:srgbClr val="F6D48C"/>
              </a:solidFill>
              <a:ln>
                <a:noFill/>
                <a:prstDash val="solid"/>
              </a:ln>
            </spPr>
          </dPt>
          <cat>
            <numRef>
              <f>'Chart'!$A$2:$A$97</f>
            </numRef>
          </cat>
          <val>
            <numRef>
              <f>'Chart'!$E$2:$E$97</f>
            </numRef>
          </val>
        </ser>
        <ser>
          <idx val="4"/>
          <order val="4"/>
          <tx>
            <strRef>
              <f>'Chart'!F1</f>
            </strRef>
          </tx>
          <spPr>
            <a:solidFill>
              <a:srgbClr val="E87BA4"/>
            </a:solidFill>
            <a:ln>
              <a:noFill/>
              <a:prstDash val="solid"/>
            </a:ln>
          </spPr>
          <dPt>
            <idx val="67"/>
            <invertIfNegative val="0"/>
            <spPr>
              <a:solidFill>
                <a:srgbClr val="F4C3D6"/>
              </a:solidFill>
              <a:ln>
                <a:noFill/>
                <a:prstDash val="solid"/>
              </a:ln>
            </spPr>
          </dPt>
          <dPt>
            <idx val="68"/>
            <invertIfNegative val="0"/>
            <spPr>
              <a:solidFill>
                <a:srgbClr val="F4C3D6"/>
              </a:solidFill>
              <a:ln>
                <a:noFill/>
                <a:prstDash val="solid"/>
              </a:ln>
            </spPr>
          </dPt>
          <dPt>
            <idx val="69"/>
            <invertIfNegative val="0"/>
            <spPr>
              <a:solidFill>
                <a:srgbClr val="F4C3D6"/>
              </a:solidFill>
              <a:ln>
                <a:noFill/>
                <a:prstDash val="solid"/>
              </a:ln>
            </spPr>
          </dPt>
          <dPt>
            <idx val="70"/>
            <invertIfNegative val="0"/>
            <spPr>
              <a:solidFill>
                <a:srgbClr val="F4C3D6"/>
              </a:solidFill>
              <a:ln>
                <a:noFill/>
                <a:prstDash val="solid"/>
              </a:ln>
            </spPr>
          </dPt>
          <dPt>
            <idx val="71"/>
            <invertIfNegative val="0"/>
            <spPr>
              <a:solidFill>
                <a:srgbClr val="F4C3D6"/>
              </a:solidFill>
              <a:ln>
                <a:noFill/>
                <a:prstDash val="solid"/>
              </a:ln>
            </spPr>
          </dPt>
          <dPt>
            <idx val="72"/>
            <invertIfNegative val="0"/>
            <spPr>
              <a:solidFill>
                <a:srgbClr val="F4C3D6"/>
              </a:solidFill>
              <a:ln>
                <a:noFill/>
                <a:prstDash val="solid"/>
              </a:ln>
            </spPr>
          </dPt>
          <dPt>
            <idx val="73"/>
            <invertIfNegative val="0"/>
            <spPr>
              <a:solidFill>
                <a:srgbClr val="F4C3D6"/>
              </a:solidFill>
              <a:ln>
                <a:noFill/>
                <a:prstDash val="solid"/>
              </a:ln>
            </spPr>
          </dPt>
          <dPt>
            <idx val="74"/>
            <invertIfNegative val="0"/>
            <spPr>
              <a:solidFill>
                <a:srgbClr val="F4C3D6"/>
              </a:solidFill>
              <a:ln>
                <a:noFill/>
                <a:prstDash val="solid"/>
              </a:ln>
            </spPr>
          </dPt>
          <dPt>
            <idx val="75"/>
            <invertIfNegative val="0"/>
            <spPr>
              <a:solidFill>
                <a:srgbClr val="F4C3D6"/>
              </a:solidFill>
              <a:ln>
                <a:noFill/>
                <a:prstDash val="solid"/>
              </a:ln>
            </spPr>
          </dPt>
          <dPt>
            <idx val="76"/>
            <invertIfNegative val="0"/>
            <spPr>
              <a:solidFill>
                <a:srgbClr val="F4C3D6"/>
              </a:solidFill>
              <a:ln>
                <a:noFill/>
                <a:prstDash val="solid"/>
              </a:ln>
            </spPr>
          </dPt>
          <dPt>
            <idx val="77"/>
            <invertIfNegative val="0"/>
            <spPr>
              <a:solidFill>
                <a:srgbClr val="F4C3D6"/>
              </a:solidFill>
              <a:ln>
                <a:noFill/>
                <a:prstDash val="solid"/>
              </a:ln>
            </spPr>
          </dPt>
          <dPt>
            <idx val="78"/>
            <invertIfNegative val="0"/>
            <spPr>
              <a:solidFill>
                <a:srgbClr val="F4C3D6"/>
              </a:solidFill>
              <a:ln>
                <a:noFill/>
                <a:prstDash val="solid"/>
              </a:ln>
            </spPr>
          </dPt>
          <dPt>
            <idx val="79"/>
            <invertIfNegative val="0"/>
            <spPr>
              <a:solidFill>
                <a:srgbClr val="F4C3D6"/>
              </a:solidFill>
              <a:ln>
                <a:noFill/>
                <a:prstDash val="solid"/>
              </a:ln>
            </spPr>
          </dPt>
          <dPt>
            <idx val="80"/>
            <invertIfNegative val="0"/>
            <spPr>
              <a:solidFill>
                <a:srgbClr val="F4C3D6"/>
              </a:solidFill>
              <a:ln>
                <a:noFill/>
                <a:prstDash val="solid"/>
              </a:ln>
            </spPr>
          </dPt>
          <dPt>
            <idx val="81"/>
            <invertIfNegative val="0"/>
            <spPr>
              <a:solidFill>
                <a:srgbClr val="F4C3D6"/>
              </a:solidFill>
              <a:ln>
                <a:noFill/>
                <a:prstDash val="solid"/>
              </a:ln>
            </spPr>
          </dPt>
          <dPt>
            <idx val="82"/>
            <invertIfNegative val="0"/>
            <spPr>
              <a:solidFill>
                <a:srgbClr val="F4C3D6"/>
              </a:solidFill>
              <a:ln>
                <a:noFill/>
                <a:prstDash val="solid"/>
              </a:ln>
            </spPr>
          </dPt>
          <dPt>
            <idx val="83"/>
            <invertIfNegative val="0"/>
            <spPr>
              <a:solidFill>
                <a:srgbClr val="F4C3D6"/>
              </a:solidFill>
              <a:ln>
                <a:noFill/>
                <a:prstDash val="solid"/>
              </a:ln>
            </spPr>
          </dPt>
          <dPt>
            <idx val="84"/>
            <invertIfNegative val="0"/>
            <spPr>
              <a:solidFill>
                <a:srgbClr val="F4C3D6"/>
              </a:solidFill>
              <a:ln>
                <a:noFill/>
                <a:prstDash val="solid"/>
              </a:ln>
            </spPr>
          </dPt>
          <dPt>
            <idx val="85"/>
            <invertIfNegative val="0"/>
            <spPr>
              <a:solidFill>
                <a:srgbClr val="F4C3D6"/>
              </a:solidFill>
              <a:ln>
                <a:noFill/>
                <a:prstDash val="solid"/>
              </a:ln>
            </spPr>
          </dPt>
          <dPt>
            <idx val="86"/>
            <invertIfNegative val="0"/>
            <spPr>
              <a:solidFill>
                <a:srgbClr val="F4C3D6"/>
              </a:solidFill>
              <a:ln>
                <a:noFill/>
                <a:prstDash val="solid"/>
              </a:ln>
            </spPr>
          </dPt>
          <dPt>
            <idx val="87"/>
            <invertIfNegative val="0"/>
            <spPr>
              <a:solidFill>
                <a:srgbClr val="F4C3D6"/>
              </a:solidFill>
              <a:ln>
                <a:noFill/>
                <a:prstDash val="solid"/>
              </a:ln>
            </spPr>
          </dPt>
          <dPt>
            <idx val="88"/>
            <invertIfNegative val="0"/>
            <spPr>
              <a:solidFill>
                <a:srgbClr val="F4C3D6"/>
              </a:solidFill>
              <a:ln>
                <a:noFill/>
                <a:prstDash val="solid"/>
              </a:ln>
            </spPr>
          </dPt>
          <dPt>
            <idx val="89"/>
            <invertIfNegative val="0"/>
            <spPr>
              <a:solidFill>
                <a:srgbClr val="F4C3D6"/>
              </a:solidFill>
              <a:ln>
                <a:noFill/>
                <a:prstDash val="solid"/>
              </a:ln>
            </spPr>
          </dPt>
          <dPt>
            <idx val="90"/>
            <invertIfNegative val="0"/>
            <spPr>
              <a:solidFill>
                <a:srgbClr val="F4C3D6"/>
              </a:solidFill>
              <a:ln>
                <a:noFill/>
                <a:prstDash val="solid"/>
              </a:ln>
            </spPr>
          </dPt>
          <dPt>
            <idx val="91"/>
            <invertIfNegative val="0"/>
            <spPr>
              <a:solidFill>
                <a:srgbClr val="F4C3D6"/>
              </a:solidFill>
              <a:ln>
                <a:noFill/>
                <a:prstDash val="solid"/>
              </a:ln>
            </spPr>
          </dPt>
          <dPt>
            <idx val="92"/>
            <invertIfNegative val="0"/>
            <spPr>
              <a:solidFill>
                <a:srgbClr val="F4C3D6"/>
              </a:solidFill>
              <a:ln>
                <a:noFill/>
                <a:prstDash val="solid"/>
              </a:ln>
            </spPr>
          </dPt>
          <dPt>
            <idx val="93"/>
            <invertIfNegative val="0"/>
            <spPr>
              <a:solidFill>
                <a:srgbClr val="F4C3D6"/>
              </a:solidFill>
              <a:ln>
                <a:noFill/>
                <a:prstDash val="solid"/>
              </a:ln>
            </spPr>
          </dPt>
          <dPt>
            <idx val="94"/>
            <invertIfNegative val="0"/>
            <spPr>
              <a:solidFill>
                <a:srgbClr val="F4C3D6"/>
              </a:solidFill>
              <a:ln>
                <a:noFill/>
                <a:prstDash val="solid"/>
              </a:ln>
            </spPr>
          </dPt>
          <dPt>
            <idx val="95"/>
            <invertIfNegative val="0"/>
            <spPr>
              <a:solidFill>
                <a:srgbClr val="F4C3D6"/>
              </a:solidFill>
              <a:ln>
                <a:noFill/>
                <a:prstDash val="solid"/>
              </a:ln>
            </spPr>
          </dPt>
          <cat>
            <numRef>
              <f>'Chart'!$A$2:$A$97</f>
            </numRef>
          </cat>
          <val>
            <numRef>
              <f>'Chart'!$F$2:$F$97</f>
            </numRef>
          </val>
        </ser>
        <ser>
          <idx val="5"/>
          <order val="5"/>
          <tx>
            <strRef>
              <f>'Chart'!G1</f>
            </strRef>
          </tx>
          <spPr>
            <a:solidFill>
              <a:srgbClr val="008300"/>
            </a:solidFill>
            <a:ln>
              <a:noFill/>
              <a:prstDash val="solid"/>
            </a:ln>
          </spPr>
          <dPt>
            <idx val="67"/>
            <invertIfNegative val="0"/>
            <spPr>
              <a:solidFill>
                <a:srgbClr val="8CC78C"/>
              </a:solidFill>
              <a:ln>
                <a:noFill/>
                <a:prstDash val="solid"/>
              </a:ln>
            </spPr>
          </dPt>
          <dPt>
            <idx val="68"/>
            <invertIfNegative val="0"/>
            <spPr>
              <a:solidFill>
                <a:srgbClr val="8CC78C"/>
              </a:solidFill>
              <a:ln>
                <a:noFill/>
                <a:prstDash val="solid"/>
              </a:ln>
            </spPr>
          </dPt>
          <dPt>
            <idx val="69"/>
            <invertIfNegative val="0"/>
            <spPr>
              <a:solidFill>
                <a:srgbClr val="8CC78C"/>
              </a:solidFill>
              <a:ln>
                <a:noFill/>
                <a:prstDash val="solid"/>
              </a:ln>
            </spPr>
          </dPt>
          <dPt>
            <idx val="70"/>
            <invertIfNegative val="0"/>
            <spPr>
              <a:solidFill>
                <a:srgbClr val="8CC78C"/>
              </a:solidFill>
              <a:ln>
                <a:noFill/>
                <a:prstDash val="solid"/>
              </a:ln>
            </spPr>
          </dPt>
          <dPt>
            <idx val="71"/>
            <invertIfNegative val="0"/>
            <spPr>
              <a:solidFill>
                <a:srgbClr val="8CC78C"/>
              </a:solidFill>
              <a:ln>
                <a:noFill/>
                <a:prstDash val="solid"/>
              </a:ln>
            </spPr>
          </dPt>
          <dPt>
            <idx val="72"/>
            <invertIfNegative val="0"/>
            <spPr>
              <a:solidFill>
                <a:srgbClr val="8CC78C"/>
              </a:solidFill>
              <a:ln>
                <a:noFill/>
                <a:prstDash val="solid"/>
              </a:ln>
            </spPr>
          </dPt>
          <dPt>
            <idx val="73"/>
            <invertIfNegative val="0"/>
            <spPr>
              <a:solidFill>
                <a:srgbClr val="8CC78C"/>
              </a:solidFill>
              <a:ln>
                <a:noFill/>
                <a:prstDash val="solid"/>
              </a:ln>
            </spPr>
          </dPt>
          <dPt>
            <idx val="74"/>
            <invertIfNegative val="0"/>
            <spPr>
              <a:solidFill>
                <a:srgbClr val="8CC78C"/>
              </a:solidFill>
              <a:ln>
                <a:noFill/>
                <a:prstDash val="solid"/>
              </a:ln>
            </spPr>
          </dPt>
          <dPt>
            <idx val="75"/>
            <invertIfNegative val="0"/>
            <spPr>
              <a:solidFill>
                <a:srgbClr val="8CC78C"/>
              </a:solidFill>
              <a:ln>
                <a:noFill/>
                <a:prstDash val="solid"/>
              </a:ln>
            </spPr>
          </dPt>
          <dPt>
            <idx val="76"/>
            <invertIfNegative val="0"/>
            <spPr>
              <a:solidFill>
                <a:srgbClr val="8CC78C"/>
              </a:solidFill>
              <a:ln>
                <a:noFill/>
                <a:prstDash val="solid"/>
              </a:ln>
            </spPr>
          </dPt>
          <dPt>
            <idx val="77"/>
            <invertIfNegative val="0"/>
            <spPr>
              <a:solidFill>
                <a:srgbClr val="8CC78C"/>
              </a:solidFill>
              <a:ln>
                <a:noFill/>
                <a:prstDash val="solid"/>
              </a:ln>
            </spPr>
          </dPt>
          <dPt>
            <idx val="78"/>
            <invertIfNegative val="0"/>
            <spPr>
              <a:solidFill>
                <a:srgbClr val="8CC78C"/>
              </a:solidFill>
              <a:ln>
                <a:noFill/>
                <a:prstDash val="solid"/>
              </a:ln>
            </spPr>
          </dPt>
          <dPt>
            <idx val="79"/>
            <invertIfNegative val="0"/>
            <spPr>
              <a:solidFill>
                <a:srgbClr val="8CC78C"/>
              </a:solidFill>
              <a:ln>
                <a:noFill/>
                <a:prstDash val="solid"/>
              </a:ln>
            </spPr>
          </dPt>
          <dPt>
            <idx val="80"/>
            <invertIfNegative val="0"/>
            <spPr>
              <a:solidFill>
                <a:srgbClr val="8CC78C"/>
              </a:solidFill>
              <a:ln>
                <a:noFill/>
                <a:prstDash val="solid"/>
              </a:ln>
            </spPr>
          </dPt>
          <dPt>
            <idx val="81"/>
            <invertIfNegative val="0"/>
            <spPr>
              <a:solidFill>
                <a:srgbClr val="8CC78C"/>
              </a:solidFill>
              <a:ln>
                <a:noFill/>
                <a:prstDash val="solid"/>
              </a:ln>
            </spPr>
          </dPt>
          <dPt>
            <idx val="82"/>
            <invertIfNegative val="0"/>
            <spPr>
              <a:solidFill>
                <a:srgbClr val="8CC78C"/>
              </a:solidFill>
              <a:ln>
                <a:noFill/>
                <a:prstDash val="solid"/>
              </a:ln>
            </spPr>
          </dPt>
          <dPt>
            <idx val="83"/>
            <invertIfNegative val="0"/>
            <spPr>
              <a:solidFill>
                <a:srgbClr val="8CC78C"/>
              </a:solidFill>
              <a:ln>
                <a:noFill/>
                <a:prstDash val="solid"/>
              </a:ln>
            </spPr>
          </dPt>
          <dPt>
            <idx val="84"/>
            <invertIfNegative val="0"/>
            <spPr>
              <a:solidFill>
                <a:srgbClr val="8CC78C"/>
              </a:solidFill>
              <a:ln>
                <a:noFill/>
                <a:prstDash val="solid"/>
              </a:ln>
            </spPr>
          </dPt>
          <dPt>
            <idx val="85"/>
            <invertIfNegative val="0"/>
            <spPr>
              <a:solidFill>
                <a:srgbClr val="8CC78C"/>
              </a:solidFill>
              <a:ln>
                <a:noFill/>
                <a:prstDash val="solid"/>
              </a:ln>
            </spPr>
          </dPt>
          <dPt>
            <idx val="86"/>
            <invertIfNegative val="0"/>
            <spPr>
              <a:solidFill>
                <a:srgbClr val="8CC78C"/>
              </a:solidFill>
              <a:ln>
                <a:noFill/>
                <a:prstDash val="solid"/>
              </a:ln>
            </spPr>
          </dPt>
          <dPt>
            <idx val="87"/>
            <invertIfNegative val="0"/>
            <spPr>
              <a:solidFill>
                <a:srgbClr val="8CC78C"/>
              </a:solidFill>
              <a:ln>
                <a:noFill/>
                <a:prstDash val="solid"/>
              </a:ln>
            </spPr>
          </dPt>
          <dPt>
            <idx val="88"/>
            <invertIfNegative val="0"/>
            <spPr>
              <a:solidFill>
                <a:srgbClr val="8CC78C"/>
              </a:solidFill>
              <a:ln>
                <a:noFill/>
                <a:prstDash val="solid"/>
              </a:ln>
            </spPr>
          </dPt>
          <dPt>
            <idx val="89"/>
            <invertIfNegative val="0"/>
            <spPr>
              <a:solidFill>
                <a:srgbClr val="8CC78C"/>
              </a:solidFill>
              <a:ln>
                <a:noFill/>
                <a:prstDash val="solid"/>
              </a:ln>
            </spPr>
          </dPt>
          <dPt>
            <idx val="90"/>
            <invertIfNegative val="0"/>
            <spPr>
              <a:solidFill>
                <a:srgbClr val="8CC78C"/>
              </a:solidFill>
              <a:ln>
                <a:noFill/>
                <a:prstDash val="solid"/>
              </a:ln>
            </spPr>
          </dPt>
          <dPt>
            <idx val="91"/>
            <invertIfNegative val="0"/>
            <spPr>
              <a:solidFill>
                <a:srgbClr val="8CC78C"/>
              </a:solidFill>
              <a:ln>
                <a:noFill/>
                <a:prstDash val="solid"/>
              </a:ln>
            </spPr>
          </dPt>
          <dPt>
            <idx val="92"/>
            <invertIfNegative val="0"/>
            <spPr>
              <a:solidFill>
                <a:srgbClr val="8CC78C"/>
              </a:solidFill>
              <a:ln>
                <a:noFill/>
                <a:prstDash val="solid"/>
              </a:ln>
            </spPr>
          </dPt>
          <dPt>
            <idx val="93"/>
            <invertIfNegative val="0"/>
            <spPr>
              <a:solidFill>
                <a:srgbClr val="8CC78C"/>
              </a:solidFill>
              <a:ln>
                <a:noFill/>
                <a:prstDash val="solid"/>
              </a:ln>
            </spPr>
          </dPt>
          <dPt>
            <idx val="94"/>
            <invertIfNegative val="0"/>
            <spPr>
              <a:solidFill>
                <a:srgbClr val="8CC78C"/>
              </a:solidFill>
              <a:ln>
                <a:noFill/>
                <a:prstDash val="solid"/>
              </a:ln>
            </spPr>
          </dPt>
          <dPt>
            <idx val="95"/>
            <invertIfNegative val="0"/>
            <spPr>
              <a:solidFill>
                <a:srgbClr val="8CC78C"/>
              </a:solidFill>
              <a:ln>
                <a:noFill/>
                <a:prstDash val="solid"/>
              </a:ln>
            </spPr>
          </dPt>
          <cat>
            <numRef>
              <f>'Chart'!$A$2:$A$97</f>
            </numRef>
          </cat>
          <val>
            <numRef>
              <f>'Chart'!$G$2:$G$97</f>
            </numRef>
          </val>
        </ser>
        <ser>
          <idx val="6"/>
          <order val="6"/>
          <tx>
            <strRef>
              <f>'Chart'!H1</f>
            </strRef>
          </tx>
          <spPr>
            <a:solidFill>
              <a:srgbClr val="4A3AA7"/>
            </a:solidFill>
            <a:ln>
              <a:noFill/>
              <a:prstDash val="solid"/>
            </a:ln>
          </spPr>
          <dPt>
            <idx val="67"/>
            <invertIfNegative val="0"/>
            <spPr>
              <a:solidFill>
                <a:srgbClr val="ADA6D7"/>
              </a:solidFill>
              <a:ln>
                <a:noFill/>
                <a:prstDash val="solid"/>
              </a:ln>
            </spPr>
          </dPt>
          <dPt>
            <idx val="68"/>
            <invertIfNegative val="0"/>
            <spPr>
              <a:solidFill>
                <a:srgbClr val="ADA6D7"/>
              </a:solidFill>
              <a:ln>
                <a:noFill/>
                <a:prstDash val="solid"/>
              </a:ln>
            </spPr>
          </dPt>
          <dPt>
            <idx val="69"/>
            <invertIfNegative val="0"/>
            <spPr>
              <a:solidFill>
                <a:srgbClr val="ADA6D7"/>
              </a:solidFill>
              <a:ln>
                <a:noFill/>
                <a:prstDash val="solid"/>
              </a:ln>
            </spPr>
          </dPt>
          <dPt>
            <idx val="70"/>
            <invertIfNegative val="0"/>
            <spPr>
              <a:solidFill>
                <a:srgbClr val="ADA6D7"/>
              </a:solidFill>
              <a:ln>
                <a:noFill/>
                <a:prstDash val="solid"/>
              </a:ln>
            </spPr>
          </dPt>
          <dPt>
            <idx val="71"/>
            <invertIfNegative val="0"/>
            <spPr>
              <a:solidFill>
                <a:srgbClr val="ADA6D7"/>
              </a:solidFill>
              <a:ln>
                <a:noFill/>
                <a:prstDash val="solid"/>
              </a:ln>
            </spPr>
          </dPt>
          <dPt>
            <idx val="72"/>
            <invertIfNegative val="0"/>
            <spPr>
              <a:solidFill>
                <a:srgbClr val="ADA6D7"/>
              </a:solidFill>
              <a:ln>
                <a:noFill/>
                <a:prstDash val="solid"/>
              </a:ln>
            </spPr>
          </dPt>
          <dPt>
            <idx val="73"/>
            <invertIfNegative val="0"/>
            <spPr>
              <a:solidFill>
                <a:srgbClr val="ADA6D7"/>
              </a:solidFill>
              <a:ln>
                <a:noFill/>
                <a:prstDash val="solid"/>
              </a:ln>
            </spPr>
          </dPt>
          <dPt>
            <idx val="74"/>
            <invertIfNegative val="0"/>
            <spPr>
              <a:solidFill>
                <a:srgbClr val="ADA6D7"/>
              </a:solidFill>
              <a:ln>
                <a:noFill/>
                <a:prstDash val="solid"/>
              </a:ln>
            </spPr>
          </dPt>
          <dPt>
            <idx val="75"/>
            <invertIfNegative val="0"/>
            <spPr>
              <a:solidFill>
                <a:srgbClr val="ADA6D7"/>
              </a:solidFill>
              <a:ln>
                <a:noFill/>
                <a:prstDash val="solid"/>
              </a:ln>
            </spPr>
          </dPt>
          <dPt>
            <idx val="76"/>
            <invertIfNegative val="0"/>
            <spPr>
              <a:solidFill>
                <a:srgbClr val="ADA6D7"/>
              </a:solidFill>
              <a:ln>
                <a:noFill/>
                <a:prstDash val="solid"/>
              </a:ln>
            </spPr>
          </dPt>
          <dPt>
            <idx val="77"/>
            <invertIfNegative val="0"/>
            <spPr>
              <a:solidFill>
                <a:srgbClr val="ADA6D7"/>
              </a:solidFill>
              <a:ln>
                <a:noFill/>
                <a:prstDash val="solid"/>
              </a:ln>
            </spPr>
          </dPt>
          <dPt>
            <idx val="78"/>
            <invertIfNegative val="0"/>
            <spPr>
              <a:solidFill>
                <a:srgbClr val="ADA6D7"/>
              </a:solidFill>
              <a:ln>
                <a:noFill/>
                <a:prstDash val="solid"/>
              </a:ln>
            </spPr>
          </dPt>
          <dPt>
            <idx val="79"/>
            <invertIfNegative val="0"/>
            <spPr>
              <a:solidFill>
                <a:srgbClr val="ADA6D7"/>
              </a:solidFill>
              <a:ln>
                <a:noFill/>
                <a:prstDash val="solid"/>
              </a:ln>
            </spPr>
          </dPt>
          <dPt>
            <idx val="80"/>
            <invertIfNegative val="0"/>
            <spPr>
              <a:solidFill>
                <a:srgbClr val="ADA6D7"/>
              </a:solidFill>
              <a:ln>
                <a:noFill/>
                <a:prstDash val="solid"/>
              </a:ln>
            </spPr>
          </dPt>
          <dPt>
            <idx val="81"/>
            <invertIfNegative val="0"/>
            <spPr>
              <a:solidFill>
                <a:srgbClr val="ADA6D7"/>
              </a:solidFill>
              <a:ln>
                <a:noFill/>
                <a:prstDash val="solid"/>
              </a:ln>
            </spPr>
          </dPt>
          <dPt>
            <idx val="82"/>
            <invertIfNegative val="0"/>
            <spPr>
              <a:solidFill>
                <a:srgbClr val="ADA6D7"/>
              </a:solidFill>
              <a:ln>
                <a:noFill/>
                <a:prstDash val="solid"/>
              </a:ln>
            </spPr>
          </dPt>
          <dPt>
            <idx val="83"/>
            <invertIfNegative val="0"/>
            <spPr>
              <a:solidFill>
                <a:srgbClr val="ADA6D7"/>
              </a:solidFill>
              <a:ln>
                <a:noFill/>
                <a:prstDash val="solid"/>
              </a:ln>
            </spPr>
          </dPt>
          <dPt>
            <idx val="84"/>
            <invertIfNegative val="0"/>
            <spPr>
              <a:solidFill>
                <a:srgbClr val="ADA6D7"/>
              </a:solidFill>
              <a:ln>
                <a:noFill/>
                <a:prstDash val="solid"/>
              </a:ln>
            </spPr>
          </dPt>
          <dPt>
            <idx val="85"/>
            <invertIfNegative val="0"/>
            <spPr>
              <a:solidFill>
                <a:srgbClr val="ADA6D7"/>
              </a:solidFill>
              <a:ln>
                <a:noFill/>
                <a:prstDash val="solid"/>
              </a:ln>
            </spPr>
          </dPt>
          <dPt>
            <idx val="86"/>
            <invertIfNegative val="0"/>
            <spPr>
              <a:solidFill>
                <a:srgbClr val="ADA6D7"/>
              </a:solidFill>
              <a:ln>
                <a:noFill/>
                <a:prstDash val="solid"/>
              </a:ln>
            </spPr>
          </dPt>
          <dPt>
            <idx val="87"/>
            <invertIfNegative val="0"/>
            <spPr>
              <a:solidFill>
                <a:srgbClr val="ADA6D7"/>
              </a:solidFill>
              <a:ln>
                <a:noFill/>
                <a:prstDash val="solid"/>
              </a:ln>
            </spPr>
          </dPt>
          <dPt>
            <idx val="88"/>
            <invertIfNegative val="0"/>
            <spPr>
              <a:solidFill>
                <a:srgbClr val="ADA6D7"/>
              </a:solidFill>
              <a:ln>
                <a:noFill/>
                <a:prstDash val="solid"/>
              </a:ln>
            </spPr>
          </dPt>
          <dPt>
            <idx val="89"/>
            <invertIfNegative val="0"/>
            <spPr>
              <a:solidFill>
                <a:srgbClr val="ADA6D7"/>
              </a:solidFill>
              <a:ln>
                <a:noFill/>
                <a:prstDash val="solid"/>
              </a:ln>
            </spPr>
          </dPt>
          <dPt>
            <idx val="90"/>
            <invertIfNegative val="0"/>
            <spPr>
              <a:solidFill>
                <a:srgbClr val="ADA6D7"/>
              </a:solidFill>
              <a:ln>
                <a:noFill/>
                <a:prstDash val="solid"/>
              </a:ln>
            </spPr>
          </dPt>
          <dPt>
            <idx val="91"/>
            <invertIfNegative val="0"/>
            <spPr>
              <a:solidFill>
                <a:srgbClr val="ADA6D7"/>
              </a:solidFill>
              <a:ln>
                <a:noFill/>
                <a:prstDash val="solid"/>
              </a:ln>
            </spPr>
          </dPt>
          <dPt>
            <idx val="92"/>
            <invertIfNegative val="0"/>
            <spPr>
              <a:solidFill>
                <a:srgbClr val="ADA6D7"/>
              </a:solidFill>
              <a:ln>
                <a:noFill/>
                <a:prstDash val="solid"/>
              </a:ln>
            </spPr>
          </dPt>
          <dPt>
            <idx val="93"/>
            <invertIfNegative val="0"/>
            <spPr>
              <a:solidFill>
                <a:srgbClr val="ADA6D7"/>
              </a:solidFill>
              <a:ln>
                <a:noFill/>
                <a:prstDash val="solid"/>
              </a:ln>
            </spPr>
          </dPt>
          <dPt>
            <idx val="94"/>
            <invertIfNegative val="0"/>
            <spPr>
              <a:solidFill>
                <a:srgbClr val="ADA6D7"/>
              </a:solidFill>
              <a:ln>
                <a:noFill/>
                <a:prstDash val="solid"/>
              </a:ln>
            </spPr>
          </dPt>
          <dPt>
            <idx val="95"/>
            <invertIfNegative val="0"/>
            <spPr>
              <a:solidFill>
                <a:srgbClr val="ADA6D7"/>
              </a:solidFill>
              <a:ln>
                <a:noFill/>
                <a:prstDash val="solid"/>
              </a:ln>
            </spPr>
          </dPt>
          <cat>
            <numRef>
              <f>'Chart'!$A$2:$A$97</f>
            </numRef>
          </cat>
          <val>
            <numRef>
              <f>'Chart'!$H$2:$H$97</f>
            </numRef>
          </val>
        </ser>
        <ser>
          <idx val="7"/>
          <order val="7"/>
          <tx>
            <strRef>
              <f>'Chart'!I1</f>
            </strRef>
          </tx>
          <spPr>
            <a:solidFill>
              <a:srgbClr val="4A3AA7"/>
            </a:solidFill>
            <a:ln>
              <a:noFill/>
              <a:prstDash val="solid"/>
            </a:ln>
          </spPr>
          <dPt>
            <idx val="67"/>
            <invertIfNegative val="0"/>
            <spPr>
              <a:solidFill>
                <a:srgbClr val="ADA6D7"/>
              </a:solidFill>
              <a:ln>
                <a:noFill/>
                <a:prstDash val="solid"/>
              </a:ln>
            </spPr>
          </dPt>
          <dPt>
            <idx val="68"/>
            <invertIfNegative val="0"/>
            <spPr>
              <a:solidFill>
                <a:srgbClr val="ADA6D7"/>
              </a:solidFill>
              <a:ln>
                <a:noFill/>
                <a:prstDash val="solid"/>
              </a:ln>
            </spPr>
          </dPt>
          <dPt>
            <idx val="69"/>
            <invertIfNegative val="0"/>
            <spPr>
              <a:solidFill>
                <a:srgbClr val="ADA6D7"/>
              </a:solidFill>
              <a:ln>
                <a:noFill/>
                <a:prstDash val="solid"/>
              </a:ln>
            </spPr>
          </dPt>
          <dPt>
            <idx val="70"/>
            <invertIfNegative val="0"/>
            <spPr>
              <a:solidFill>
                <a:srgbClr val="ADA6D7"/>
              </a:solidFill>
              <a:ln>
                <a:noFill/>
                <a:prstDash val="solid"/>
              </a:ln>
            </spPr>
          </dPt>
          <dPt>
            <idx val="71"/>
            <invertIfNegative val="0"/>
            <spPr>
              <a:solidFill>
                <a:srgbClr val="ADA6D7"/>
              </a:solidFill>
              <a:ln>
                <a:noFill/>
                <a:prstDash val="solid"/>
              </a:ln>
            </spPr>
          </dPt>
          <dPt>
            <idx val="72"/>
            <invertIfNegative val="0"/>
            <spPr>
              <a:solidFill>
                <a:srgbClr val="ADA6D7"/>
              </a:solidFill>
              <a:ln>
                <a:noFill/>
                <a:prstDash val="solid"/>
              </a:ln>
            </spPr>
          </dPt>
          <dPt>
            <idx val="73"/>
            <invertIfNegative val="0"/>
            <spPr>
              <a:solidFill>
                <a:srgbClr val="ADA6D7"/>
              </a:solidFill>
              <a:ln>
                <a:noFill/>
                <a:prstDash val="solid"/>
              </a:ln>
            </spPr>
          </dPt>
          <dPt>
            <idx val="74"/>
            <invertIfNegative val="0"/>
            <spPr>
              <a:solidFill>
                <a:srgbClr val="ADA6D7"/>
              </a:solidFill>
              <a:ln>
                <a:noFill/>
                <a:prstDash val="solid"/>
              </a:ln>
            </spPr>
          </dPt>
          <dPt>
            <idx val="75"/>
            <invertIfNegative val="0"/>
            <spPr>
              <a:solidFill>
                <a:srgbClr val="ADA6D7"/>
              </a:solidFill>
              <a:ln>
                <a:noFill/>
                <a:prstDash val="solid"/>
              </a:ln>
            </spPr>
          </dPt>
          <dPt>
            <idx val="76"/>
            <invertIfNegative val="0"/>
            <spPr>
              <a:solidFill>
                <a:srgbClr val="ADA6D7"/>
              </a:solidFill>
              <a:ln>
                <a:noFill/>
                <a:prstDash val="solid"/>
              </a:ln>
            </spPr>
          </dPt>
          <dPt>
            <idx val="77"/>
            <invertIfNegative val="0"/>
            <spPr>
              <a:solidFill>
                <a:srgbClr val="ADA6D7"/>
              </a:solidFill>
              <a:ln>
                <a:noFill/>
                <a:prstDash val="solid"/>
              </a:ln>
            </spPr>
          </dPt>
          <dPt>
            <idx val="78"/>
            <invertIfNegative val="0"/>
            <spPr>
              <a:solidFill>
                <a:srgbClr val="ADA6D7"/>
              </a:solidFill>
              <a:ln>
                <a:noFill/>
                <a:prstDash val="solid"/>
              </a:ln>
            </spPr>
          </dPt>
          <dPt>
            <idx val="79"/>
            <invertIfNegative val="0"/>
            <spPr>
              <a:solidFill>
                <a:srgbClr val="ADA6D7"/>
              </a:solidFill>
              <a:ln>
                <a:noFill/>
                <a:prstDash val="solid"/>
              </a:ln>
            </spPr>
          </dPt>
          <dPt>
            <idx val="80"/>
            <invertIfNegative val="0"/>
            <spPr>
              <a:solidFill>
                <a:srgbClr val="ADA6D7"/>
              </a:solidFill>
              <a:ln>
                <a:noFill/>
                <a:prstDash val="solid"/>
              </a:ln>
            </spPr>
          </dPt>
          <dPt>
            <idx val="81"/>
            <invertIfNegative val="0"/>
            <spPr>
              <a:solidFill>
                <a:srgbClr val="ADA6D7"/>
              </a:solidFill>
              <a:ln>
                <a:noFill/>
                <a:prstDash val="solid"/>
              </a:ln>
            </spPr>
          </dPt>
          <dPt>
            <idx val="82"/>
            <invertIfNegative val="0"/>
            <spPr>
              <a:solidFill>
                <a:srgbClr val="ADA6D7"/>
              </a:solidFill>
              <a:ln>
                <a:noFill/>
                <a:prstDash val="solid"/>
              </a:ln>
            </spPr>
          </dPt>
          <dPt>
            <idx val="83"/>
            <invertIfNegative val="0"/>
            <spPr>
              <a:solidFill>
                <a:srgbClr val="ADA6D7"/>
              </a:solidFill>
              <a:ln>
                <a:noFill/>
                <a:prstDash val="solid"/>
              </a:ln>
            </spPr>
          </dPt>
          <dPt>
            <idx val="84"/>
            <invertIfNegative val="0"/>
            <spPr>
              <a:solidFill>
                <a:srgbClr val="ADA6D7"/>
              </a:solidFill>
              <a:ln>
                <a:noFill/>
                <a:prstDash val="solid"/>
              </a:ln>
            </spPr>
          </dPt>
          <dPt>
            <idx val="85"/>
            <invertIfNegative val="0"/>
            <spPr>
              <a:solidFill>
                <a:srgbClr val="ADA6D7"/>
              </a:solidFill>
              <a:ln>
                <a:noFill/>
                <a:prstDash val="solid"/>
              </a:ln>
            </spPr>
          </dPt>
          <dPt>
            <idx val="86"/>
            <invertIfNegative val="0"/>
            <spPr>
              <a:solidFill>
                <a:srgbClr val="ADA6D7"/>
              </a:solidFill>
              <a:ln>
                <a:noFill/>
                <a:prstDash val="solid"/>
              </a:ln>
            </spPr>
          </dPt>
          <dPt>
            <idx val="87"/>
            <invertIfNegative val="0"/>
            <spPr>
              <a:solidFill>
                <a:srgbClr val="ADA6D7"/>
              </a:solidFill>
              <a:ln>
                <a:noFill/>
                <a:prstDash val="solid"/>
              </a:ln>
            </spPr>
          </dPt>
          <dPt>
            <idx val="88"/>
            <invertIfNegative val="0"/>
            <spPr>
              <a:solidFill>
                <a:srgbClr val="ADA6D7"/>
              </a:solidFill>
              <a:ln>
                <a:noFill/>
                <a:prstDash val="solid"/>
              </a:ln>
            </spPr>
          </dPt>
          <dPt>
            <idx val="89"/>
            <invertIfNegative val="0"/>
            <spPr>
              <a:solidFill>
                <a:srgbClr val="ADA6D7"/>
              </a:solidFill>
              <a:ln>
                <a:noFill/>
                <a:prstDash val="solid"/>
              </a:ln>
            </spPr>
          </dPt>
          <dPt>
            <idx val="90"/>
            <invertIfNegative val="0"/>
            <spPr>
              <a:solidFill>
                <a:srgbClr val="ADA6D7"/>
              </a:solidFill>
              <a:ln>
                <a:noFill/>
                <a:prstDash val="solid"/>
              </a:ln>
            </spPr>
          </dPt>
          <dPt>
            <idx val="91"/>
            <invertIfNegative val="0"/>
            <spPr>
              <a:solidFill>
                <a:srgbClr val="ADA6D7"/>
              </a:solidFill>
              <a:ln>
                <a:noFill/>
                <a:prstDash val="solid"/>
              </a:ln>
            </spPr>
          </dPt>
          <dPt>
            <idx val="92"/>
            <invertIfNegative val="0"/>
            <spPr>
              <a:solidFill>
                <a:srgbClr val="ADA6D7"/>
              </a:solidFill>
              <a:ln>
                <a:noFill/>
                <a:prstDash val="solid"/>
              </a:ln>
            </spPr>
          </dPt>
          <dPt>
            <idx val="93"/>
            <invertIfNegative val="0"/>
            <spPr>
              <a:solidFill>
                <a:srgbClr val="ADA6D7"/>
              </a:solidFill>
              <a:ln>
                <a:noFill/>
                <a:prstDash val="solid"/>
              </a:ln>
            </spPr>
          </dPt>
          <dPt>
            <idx val="94"/>
            <invertIfNegative val="0"/>
            <spPr>
              <a:solidFill>
                <a:srgbClr val="ADA6D7"/>
              </a:solidFill>
              <a:ln>
                <a:noFill/>
                <a:prstDash val="solid"/>
              </a:ln>
            </spPr>
          </dPt>
          <dPt>
            <idx val="95"/>
            <invertIfNegative val="0"/>
            <spPr>
              <a:solidFill>
                <a:srgbClr val="ADA6D7"/>
              </a:solidFill>
              <a:ln>
                <a:noFill/>
                <a:prstDash val="solid"/>
              </a:ln>
            </spPr>
          </dPt>
          <cat>
            <numRef>
              <f>'Chart'!$A$2:$A$97</f>
            </numRef>
          </cat>
          <val>
            <numRef>
              <f>'Chart'!$I$2:$I$97</f>
            </numRef>
          </val>
        </ser>
        <gapWidth val="30"/>
        <overlap val="100"/>
        <axId val="10"/>
        <axId val="100"/>
      </barChart>
      <lineChart>
        <grouping val="standard"/>
        <ser>
          <idx val="8"/>
          <order val="8"/>
          <tx>
            <strRef>
              <f>'Chart'!J1</f>
            </strRef>
          </tx>
          <spPr>
            <a:ln w="28575">
              <a:solidFill>
                <a:srgbClr val="6D4C41"/>
              </a:solidFill>
              <a:prstDash val="dash"/>
            </a:ln>
          </spPr>
          <marker>
            <symbol val="none"/>
            <spPr>
              <a:ln>
                <a:prstDash val="solid"/>
              </a:ln>
            </spPr>
          </marker>
          <cat>
            <numRef>
              <f>'Chart'!$A$2:$A$97</f>
            </numRef>
          </cat>
          <val>
            <numRef>
              <f>'Chart'!$J$2:$J$97</f>
            </numRef>
          </val>
          <smooth val="0"/>
        </ser>
        <ser>
          <idx val="9"/>
          <order val="9"/>
          <tx>
            <strRef>
              <f>'Chart'!K1</f>
            </strRef>
          </tx>
          <spPr>
            <a:ln w="28575">
              <a:solidFill>
                <a:srgbClr val="6D4C41"/>
              </a:solidFill>
              <a:prstDash val="solid"/>
            </a:ln>
          </spPr>
          <marker>
            <symbol val="none"/>
            <spPr>
              <a:ln>
                <a:prstDash val="solid"/>
              </a:ln>
            </spPr>
          </marker>
          <cat>
            <numRef>
              <f>'Chart'!$A$2:$A$97</f>
            </numRef>
          </cat>
          <val>
            <numRef>
              <f>'Chart'!$K$2:$K$97</f>
            </numRef>
          </val>
          <smooth val="0"/>
        </ser>
        <ser>
          <idx val="10"/>
          <order val="10"/>
          <tx>
            <strRef>
              <f>'Chart'!L1</f>
            </strRef>
          </tx>
          <spPr>
            <a:ln w="28575">
              <a:solidFill>
                <a:srgbClr val="252525"/>
              </a:solidFill>
              <a:prstDash val="dash"/>
            </a:ln>
          </spPr>
          <marker>
            <symbol val="none"/>
            <spPr>
              <a:ln>
                <a:prstDash val="solid"/>
              </a:ln>
            </spPr>
          </marker>
          <cat>
            <numRef>
              <f>'Chart'!$A$2:$A$97</f>
            </numRef>
          </cat>
          <val>
            <numRef>
              <f>'Chart'!$L$2:$L$97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8"/>
        <tickMarkSkip val="8"/>
      </catAx>
      <valAx>
        <axId val="100"/>
        <scaling>
          <orientation val="minMax"/>
        </scaling>
        <delete val="0"/>
        <axPos val="l"/>
        <majorGridlines/>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Texas gas supply and demand to 2033, incl. data centres and storage (scenario after Dec/28)</a:t>
            </a:r>
          </a:p>
          <a:p>
            <a:pPr>
              <a:defRPr/>
            </a:pPr>
            <a:r>
              <a:rPr sz="1200" b="1"/>
              <a:t>Supply line = dry production + storage withdrawal; demand stack includes storage injection</a:t>
            </a:r>
          </a:p>
          <a:p>
            <a:pPr>
              <a:defRPr/>
            </a:pPr>
            <a:r>
              <a:rPr sz="1200" b="1"/>
              <a:t>Data-centre inputs: 10 of 17 sourced, 3 derived, 1 proxy, 3 assumption (to Dec/33; forecast from Aug/26, scenario from Jan/29, lightest bars)</a:t>
            </a:r>
          </a:p>
        </rich>
      </tx>
      <overlay val="0"/>
    </title>
    <plotArea>
      <barChart>
        <barDir val="col"/>
        <grouping val="stacked"/>
        <ser>
          <idx val="0"/>
          <order val="0"/>
          <tx>
            <strRef>
              <f>'Chart - Demand to 2033'!B1</f>
            </strRef>
          </tx>
          <spPr>
            <a:solidFill>
              <a:srgbClr val="2A78D6"/>
            </a:solidFill>
            <a:ln>
              <a:noFill/>
              <a:prstDash val="solid"/>
            </a:ln>
          </spPr>
          <dPt>
            <idx val="31"/>
            <invertIfNegative val="0"/>
            <spPr>
              <a:solidFill>
                <a:srgbClr val="9FC2EC"/>
              </a:solidFill>
              <a:ln>
                <a:noFill/>
                <a:prstDash val="solid"/>
              </a:ln>
            </spPr>
          </dPt>
          <dPt>
            <idx val="32"/>
            <invertIfNegative val="0"/>
            <spPr>
              <a:solidFill>
                <a:srgbClr val="9FC2EC"/>
              </a:solidFill>
              <a:ln>
                <a:noFill/>
                <a:prstDash val="solid"/>
              </a:ln>
            </spPr>
          </dPt>
          <dPt>
            <idx val="33"/>
            <invertIfNegative val="0"/>
            <spPr>
              <a:solidFill>
                <a:srgbClr val="9FC2EC"/>
              </a:solidFill>
              <a:ln>
                <a:noFill/>
                <a:prstDash val="solid"/>
              </a:ln>
            </spPr>
          </dPt>
          <dPt>
            <idx val="34"/>
            <invertIfNegative val="0"/>
            <spPr>
              <a:solidFill>
                <a:srgbClr val="9FC2EC"/>
              </a:solidFill>
              <a:ln>
                <a:noFill/>
                <a:prstDash val="solid"/>
              </a:ln>
            </spPr>
          </dPt>
          <dPt>
            <idx val="35"/>
            <invertIfNegative val="0"/>
            <spPr>
              <a:solidFill>
                <a:srgbClr val="9FC2EC"/>
              </a:solidFill>
              <a:ln>
                <a:noFill/>
                <a:prstDash val="solid"/>
              </a:ln>
            </spPr>
          </dPt>
          <dPt>
            <idx val="36"/>
            <invertIfNegative val="0"/>
            <spPr>
              <a:solidFill>
                <a:srgbClr val="9FC2EC"/>
              </a:solidFill>
              <a:ln>
                <a:noFill/>
                <a:prstDash val="solid"/>
              </a:ln>
            </spPr>
          </dPt>
          <dPt>
            <idx val="37"/>
            <invertIfNegative val="0"/>
            <spPr>
              <a:solidFill>
                <a:srgbClr val="9FC2EC"/>
              </a:solidFill>
              <a:ln>
                <a:noFill/>
                <a:prstDash val="solid"/>
              </a:ln>
            </spPr>
          </dPt>
          <dPt>
            <idx val="38"/>
            <invertIfNegative val="0"/>
            <spPr>
              <a:solidFill>
                <a:srgbClr val="9FC2EC"/>
              </a:solidFill>
              <a:ln>
                <a:noFill/>
                <a:prstDash val="solid"/>
              </a:ln>
            </spPr>
          </dPt>
          <dPt>
            <idx val="39"/>
            <invertIfNegative val="0"/>
            <spPr>
              <a:solidFill>
                <a:srgbClr val="9FC2EC"/>
              </a:solidFill>
              <a:ln>
                <a:noFill/>
                <a:prstDash val="solid"/>
              </a:ln>
            </spPr>
          </dPt>
          <dPt>
            <idx val="40"/>
            <invertIfNegative val="0"/>
            <spPr>
              <a:solidFill>
                <a:srgbClr val="9FC2EC"/>
              </a:solidFill>
              <a:ln>
                <a:noFill/>
                <a:prstDash val="solid"/>
              </a:ln>
            </spPr>
          </dPt>
          <dPt>
            <idx val="41"/>
            <invertIfNegative val="0"/>
            <spPr>
              <a:solidFill>
                <a:srgbClr val="9FC2EC"/>
              </a:solidFill>
              <a:ln>
                <a:noFill/>
                <a:prstDash val="solid"/>
              </a:ln>
            </spPr>
          </dPt>
          <dPt>
            <idx val="42"/>
            <invertIfNegative val="0"/>
            <spPr>
              <a:solidFill>
                <a:srgbClr val="9FC2EC"/>
              </a:solidFill>
              <a:ln>
                <a:noFill/>
                <a:prstDash val="solid"/>
              </a:ln>
            </spPr>
          </dPt>
          <dPt>
            <idx val="43"/>
            <invertIfNegative val="0"/>
            <spPr>
              <a:solidFill>
                <a:srgbClr val="9FC2EC"/>
              </a:solidFill>
              <a:ln>
                <a:noFill/>
                <a:prstDash val="solid"/>
              </a:ln>
            </spPr>
          </dPt>
          <dPt>
            <idx val="44"/>
            <invertIfNegative val="0"/>
            <spPr>
              <a:solidFill>
                <a:srgbClr val="9FC2EC"/>
              </a:solidFill>
              <a:ln>
                <a:noFill/>
                <a:prstDash val="solid"/>
              </a:ln>
            </spPr>
          </dPt>
          <dPt>
            <idx val="45"/>
            <invertIfNegative val="0"/>
            <spPr>
              <a:solidFill>
                <a:srgbClr val="9FC2EC"/>
              </a:solidFill>
              <a:ln>
                <a:noFill/>
                <a:prstDash val="solid"/>
              </a:ln>
            </spPr>
          </dPt>
          <dPt>
            <idx val="46"/>
            <invertIfNegative val="0"/>
            <spPr>
              <a:solidFill>
                <a:srgbClr val="9FC2EC"/>
              </a:solidFill>
              <a:ln>
                <a:noFill/>
                <a:prstDash val="solid"/>
              </a:ln>
            </spPr>
          </dPt>
          <dPt>
            <idx val="47"/>
            <invertIfNegative val="0"/>
            <spPr>
              <a:solidFill>
                <a:srgbClr val="9FC2EC"/>
              </a:solidFill>
              <a:ln>
                <a:noFill/>
                <a:prstDash val="solid"/>
              </a:ln>
            </spPr>
          </dPt>
          <dPt>
            <idx val="48"/>
            <invertIfNegative val="0"/>
            <spPr>
              <a:solidFill>
                <a:srgbClr val="9FC2EC"/>
              </a:solidFill>
              <a:ln>
                <a:noFill/>
                <a:prstDash val="solid"/>
              </a:ln>
            </spPr>
          </dPt>
          <dPt>
            <idx val="49"/>
            <invertIfNegative val="0"/>
            <spPr>
              <a:solidFill>
                <a:srgbClr val="9FC2EC"/>
              </a:solidFill>
              <a:ln>
                <a:noFill/>
                <a:prstDash val="solid"/>
              </a:ln>
            </spPr>
          </dPt>
          <dPt>
            <idx val="50"/>
            <invertIfNegative val="0"/>
            <spPr>
              <a:solidFill>
                <a:srgbClr val="9FC2EC"/>
              </a:solidFill>
              <a:ln>
                <a:noFill/>
                <a:prstDash val="solid"/>
              </a:ln>
            </spPr>
          </dPt>
          <dPt>
            <idx val="51"/>
            <invertIfNegative val="0"/>
            <spPr>
              <a:solidFill>
                <a:srgbClr val="9FC2EC"/>
              </a:solidFill>
              <a:ln>
                <a:noFill/>
                <a:prstDash val="solid"/>
              </a:ln>
            </spPr>
          </dPt>
          <dPt>
            <idx val="52"/>
            <invertIfNegative val="0"/>
            <spPr>
              <a:solidFill>
                <a:srgbClr val="9FC2EC"/>
              </a:solidFill>
              <a:ln>
                <a:noFill/>
                <a:prstDash val="solid"/>
              </a:ln>
            </spPr>
          </dPt>
          <dPt>
            <idx val="53"/>
            <invertIfNegative val="0"/>
            <spPr>
              <a:solidFill>
                <a:srgbClr val="9FC2EC"/>
              </a:solidFill>
              <a:ln>
                <a:noFill/>
                <a:prstDash val="solid"/>
              </a:ln>
            </spPr>
          </dPt>
          <dPt>
            <idx val="54"/>
            <invertIfNegative val="0"/>
            <spPr>
              <a:solidFill>
                <a:srgbClr val="9FC2EC"/>
              </a:solidFill>
              <a:ln>
                <a:noFill/>
                <a:prstDash val="solid"/>
              </a:ln>
            </spPr>
          </dPt>
          <dPt>
            <idx val="55"/>
            <invertIfNegative val="0"/>
            <spPr>
              <a:solidFill>
                <a:srgbClr val="9FC2EC"/>
              </a:solidFill>
              <a:ln>
                <a:noFill/>
                <a:prstDash val="solid"/>
              </a:ln>
            </spPr>
          </dPt>
          <dPt>
            <idx val="56"/>
            <invertIfNegative val="0"/>
            <spPr>
              <a:solidFill>
                <a:srgbClr val="9FC2EC"/>
              </a:solidFill>
              <a:ln>
                <a:noFill/>
                <a:prstDash val="solid"/>
              </a:ln>
            </spPr>
          </dPt>
          <dPt>
            <idx val="57"/>
            <invertIfNegative val="0"/>
            <spPr>
              <a:solidFill>
                <a:srgbClr val="9FC2EC"/>
              </a:solidFill>
              <a:ln>
                <a:noFill/>
                <a:prstDash val="solid"/>
              </a:ln>
            </spPr>
          </dPt>
          <dPt>
            <idx val="58"/>
            <invertIfNegative val="0"/>
            <spPr>
              <a:solidFill>
                <a:srgbClr val="9FC2EC"/>
              </a:solidFill>
              <a:ln>
                <a:noFill/>
                <a:prstDash val="solid"/>
              </a:ln>
            </spPr>
          </dPt>
          <dPt>
            <idx val="59"/>
            <invertIfNegative val="0"/>
            <spPr>
              <a:solidFill>
                <a:srgbClr val="9FC2EC"/>
              </a:solidFill>
              <a:ln>
                <a:noFill/>
                <a:prstDash val="solid"/>
              </a:ln>
            </spPr>
          </dPt>
          <dPt>
            <idx val="60"/>
            <invertIfNegative val="0"/>
            <spPr>
              <a:solidFill>
                <a:srgbClr val="D4E4F6"/>
              </a:solidFill>
              <a:ln>
                <a:noFill/>
                <a:prstDash val="solid"/>
              </a:ln>
            </spPr>
          </dPt>
          <dPt>
            <idx val="61"/>
            <invertIfNegative val="0"/>
            <spPr>
              <a:solidFill>
                <a:srgbClr val="D4E4F6"/>
              </a:solidFill>
              <a:ln>
                <a:noFill/>
                <a:prstDash val="solid"/>
              </a:ln>
            </spPr>
          </dPt>
          <dPt>
            <idx val="62"/>
            <invertIfNegative val="0"/>
            <spPr>
              <a:solidFill>
                <a:srgbClr val="D4E4F6"/>
              </a:solidFill>
              <a:ln>
                <a:noFill/>
                <a:prstDash val="solid"/>
              </a:ln>
            </spPr>
          </dPt>
          <dPt>
            <idx val="63"/>
            <invertIfNegative val="0"/>
            <spPr>
              <a:solidFill>
                <a:srgbClr val="D4E4F6"/>
              </a:solidFill>
              <a:ln>
                <a:noFill/>
                <a:prstDash val="solid"/>
              </a:ln>
            </spPr>
          </dPt>
          <dPt>
            <idx val="64"/>
            <invertIfNegative val="0"/>
            <spPr>
              <a:solidFill>
                <a:srgbClr val="D4E4F6"/>
              </a:solidFill>
              <a:ln>
                <a:noFill/>
                <a:prstDash val="solid"/>
              </a:ln>
            </spPr>
          </dPt>
          <dPt>
            <idx val="65"/>
            <invertIfNegative val="0"/>
            <spPr>
              <a:solidFill>
                <a:srgbClr val="D4E4F6"/>
              </a:solidFill>
              <a:ln>
                <a:noFill/>
                <a:prstDash val="solid"/>
              </a:ln>
            </spPr>
          </dPt>
          <dPt>
            <idx val="66"/>
            <invertIfNegative val="0"/>
            <spPr>
              <a:solidFill>
                <a:srgbClr val="D4E4F6"/>
              </a:solidFill>
              <a:ln>
                <a:noFill/>
                <a:prstDash val="solid"/>
              </a:ln>
            </spPr>
          </dPt>
          <dPt>
            <idx val="67"/>
            <invertIfNegative val="0"/>
            <spPr>
              <a:solidFill>
                <a:srgbClr val="D4E4F6"/>
              </a:solidFill>
              <a:ln>
                <a:noFill/>
                <a:prstDash val="solid"/>
              </a:ln>
            </spPr>
          </dPt>
          <dPt>
            <idx val="68"/>
            <invertIfNegative val="0"/>
            <spPr>
              <a:solidFill>
                <a:srgbClr val="D4E4F6"/>
              </a:solidFill>
              <a:ln>
                <a:noFill/>
                <a:prstDash val="solid"/>
              </a:ln>
            </spPr>
          </dPt>
          <dPt>
            <idx val="69"/>
            <invertIfNegative val="0"/>
            <spPr>
              <a:solidFill>
                <a:srgbClr val="D4E4F6"/>
              </a:solidFill>
              <a:ln>
                <a:noFill/>
                <a:prstDash val="solid"/>
              </a:ln>
            </spPr>
          </dPt>
          <dPt>
            <idx val="70"/>
            <invertIfNegative val="0"/>
            <spPr>
              <a:solidFill>
                <a:srgbClr val="D4E4F6"/>
              </a:solidFill>
              <a:ln>
                <a:noFill/>
                <a:prstDash val="solid"/>
              </a:ln>
            </spPr>
          </dPt>
          <dPt>
            <idx val="71"/>
            <invertIfNegative val="0"/>
            <spPr>
              <a:solidFill>
                <a:srgbClr val="D4E4F6"/>
              </a:solidFill>
              <a:ln>
                <a:noFill/>
                <a:prstDash val="solid"/>
              </a:ln>
            </spPr>
          </dPt>
          <dPt>
            <idx val="72"/>
            <invertIfNegative val="0"/>
            <spPr>
              <a:solidFill>
                <a:srgbClr val="D4E4F6"/>
              </a:solidFill>
              <a:ln>
                <a:noFill/>
                <a:prstDash val="solid"/>
              </a:ln>
            </spPr>
          </dPt>
          <dPt>
            <idx val="73"/>
            <invertIfNegative val="0"/>
            <spPr>
              <a:solidFill>
                <a:srgbClr val="D4E4F6"/>
              </a:solidFill>
              <a:ln>
                <a:noFill/>
                <a:prstDash val="solid"/>
              </a:ln>
            </spPr>
          </dPt>
          <dPt>
            <idx val="74"/>
            <invertIfNegative val="0"/>
            <spPr>
              <a:solidFill>
                <a:srgbClr val="D4E4F6"/>
              </a:solidFill>
              <a:ln>
                <a:noFill/>
                <a:prstDash val="solid"/>
              </a:ln>
            </spPr>
          </dPt>
          <dPt>
            <idx val="75"/>
            <invertIfNegative val="0"/>
            <spPr>
              <a:solidFill>
                <a:srgbClr val="D4E4F6"/>
              </a:solidFill>
              <a:ln>
                <a:noFill/>
                <a:prstDash val="solid"/>
              </a:ln>
            </spPr>
          </dPt>
          <dPt>
            <idx val="76"/>
            <invertIfNegative val="0"/>
            <spPr>
              <a:solidFill>
                <a:srgbClr val="D4E4F6"/>
              </a:solidFill>
              <a:ln>
                <a:noFill/>
                <a:prstDash val="solid"/>
              </a:ln>
            </spPr>
          </dPt>
          <dPt>
            <idx val="77"/>
            <invertIfNegative val="0"/>
            <spPr>
              <a:solidFill>
                <a:srgbClr val="D4E4F6"/>
              </a:solidFill>
              <a:ln>
                <a:noFill/>
                <a:prstDash val="solid"/>
              </a:ln>
            </spPr>
          </dPt>
          <dPt>
            <idx val="78"/>
            <invertIfNegative val="0"/>
            <spPr>
              <a:solidFill>
                <a:srgbClr val="D4E4F6"/>
              </a:solidFill>
              <a:ln>
                <a:noFill/>
                <a:prstDash val="solid"/>
              </a:ln>
            </spPr>
          </dPt>
          <dPt>
            <idx val="79"/>
            <invertIfNegative val="0"/>
            <spPr>
              <a:solidFill>
                <a:srgbClr val="D4E4F6"/>
              </a:solidFill>
              <a:ln>
                <a:noFill/>
                <a:prstDash val="solid"/>
              </a:ln>
            </spPr>
          </dPt>
          <dPt>
            <idx val="80"/>
            <invertIfNegative val="0"/>
            <spPr>
              <a:solidFill>
                <a:srgbClr val="D4E4F6"/>
              </a:solidFill>
              <a:ln>
                <a:noFill/>
                <a:prstDash val="solid"/>
              </a:ln>
            </spPr>
          </dPt>
          <dPt>
            <idx val="81"/>
            <invertIfNegative val="0"/>
            <spPr>
              <a:solidFill>
                <a:srgbClr val="D4E4F6"/>
              </a:solidFill>
              <a:ln>
                <a:noFill/>
                <a:prstDash val="solid"/>
              </a:ln>
            </spPr>
          </dPt>
          <dPt>
            <idx val="82"/>
            <invertIfNegative val="0"/>
            <spPr>
              <a:solidFill>
                <a:srgbClr val="D4E4F6"/>
              </a:solidFill>
              <a:ln>
                <a:noFill/>
                <a:prstDash val="solid"/>
              </a:ln>
            </spPr>
          </dPt>
          <dPt>
            <idx val="83"/>
            <invertIfNegative val="0"/>
            <spPr>
              <a:solidFill>
                <a:srgbClr val="D4E4F6"/>
              </a:solidFill>
              <a:ln>
                <a:noFill/>
                <a:prstDash val="solid"/>
              </a:ln>
            </spPr>
          </dPt>
          <dPt>
            <idx val="84"/>
            <invertIfNegative val="0"/>
            <spPr>
              <a:solidFill>
                <a:srgbClr val="D4E4F6"/>
              </a:solidFill>
              <a:ln>
                <a:noFill/>
                <a:prstDash val="solid"/>
              </a:ln>
            </spPr>
          </dPt>
          <dPt>
            <idx val="85"/>
            <invertIfNegative val="0"/>
            <spPr>
              <a:solidFill>
                <a:srgbClr val="D4E4F6"/>
              </a:solidFill>
              <a:ln>
                <a:noFill/>
                <a:prstDash val="solid"/>
              </a:ln>
            </spPr>
          </dPt>
          <dPt>
            <idx val="86"/>
            <invertIfNegative val="0"/>
            <spPr>
              <a:solidFill>
                <a:srgbClr val="D4E4F6"/>
              </a:solidFill>
              <a:ln>
                <a:noFill/>
                <a:prstDash val="solid"/>
              </a:ln>
            </spPr>
          </dPt>
          <dPt>
            <idx val="87"/>
            <invertIfNegative val="0"/>
            <spPr>
              <a:solidFill>
                <a:srgbClr val="D4E4F6"/>
              </a:solidFill>
              <a:ln>
                <a:noFill/>
                <a:prstDash val="solid"/>
              </a:ln>
            </spPr>
          </dPt>
          <dPt>
            <idx val="88"/>
            <invertIfNegative val="0"/>
            <spPr>
              <a:solidFill>
                <a:srgbClr val="D4E4F6"/>
              </a:solidFill>
              <a:ln>
                <a:noFill/>
                <a:prstDash val="solid"/>
              </a:ln>
            </spPr>
          </dPt>
          <dPt>
            <idx val="89"/>
            <invertIfNegative val="0"/>
            <spPr>
              <a:solidFill>
                <a:srgbClr val="D4E4F6"/>
              </a:solidFill>
              <a:ln>
                <a:noFill/>
                <a:prstDash val="solid"/>
              </a:ln>
            </spPr>
          </dPt>
          <dPt>
            <idx val="90"/>
            <invertIfNegative val="0"/>
            <spPr>
              <a:solidFill>
                <a:srgbClr val="D4E4F6"/>
              </a:solidFill>
              <a:ln>
                <a:noFill/>
                <a:prstDash val="solid"/>
              </a:ln>
            </spPr>
          </dPt>
          <dPt>
            <idx val="91"/>
            <invertIfNegative val="0"/>
            <spPr>
              <a:solidFill>
                <a:srgbClr val="D4E4F6"/>
              </a:solidFill>
              <a:ln>
                <a:noFill/>
                <a:prstDash val="solid"/>
              </a:ln>
            </spPr>
          </dPt>
          <dPt>
            <idx val="92"/>
            <invertIfNegative val="0"/>
            <spPr>
              <a:solidFill>
                <a:srgbClr val="D4E4F6"/>
              </a:solidFill>
              <a:ln>
                <a:noFill/>
                <a:prstDash val="solid"/>
              </a:ln>
            </spPr>
          </dPt>
          <dPt>
            <idx val="93"/>
            <invertIfNegative val="0"/>
            <spPr>
              <a:solidFill>
                <a:srgbClr val="D4E4F6"/>
              </a:solidFill>
              <a:ln>
                <a:noFill/>
                <a:prstDash val="solid"/>
              </a:ln>
            </spPr>
          </dPt>
          <dPt>
            <idx val="94"/>
            <invertIfNegative val="0"/>
            <spPr>
              <a:solidFill>
                <a:srgbClr val="D4E4F6"/>
              </a:solidFill>
              <a:ln>
                <a:noFill/>
                <a:prstDash val="solid"/>
              </a:ln>
            </spPr>
          </dPt>
          <dPt>
            <idx val="95"/>
            <invertIfNegative val="0"/>
            <spPr>
              <a:solidFill>
                <a:srgbClr val="D4E4F6"/>
              </a:solidFill>
              <a:ln>
                <a:noFill/>
                <a:prstDash val="solid"/>
              </a:ln>
            </spPr>
          </dPt>
          <dPt>
            <idx val="96"/>
            <invertIfNegative val="0"/>
            <spPr>
              <a:solidFill>
                <a:srgbClr val="D4E4F6"/>
              </a:solidFill>
              <a:ln>
                <a:noFill/>
                <a:prstDash val="solid"/>
              </a:ln>
            </spPr>
          </dPt>
          <dPt>
            <idx val="97"/>
            <invertIfNegative val="0"/>
            <spPr>
              <a:solidFill>
                <a:srgbClr val="D4E4F6"/>
              </a:solidFill>
              <a:ln>
                <a:noFill/>
                <a:prstDash val="solid"/>
              </a:ln>
            </spPr>
          </dPt>
          <dPt>
            <idx val="98"/>
            <invertIfNegative val="0"/>
            <spPr>
              <a:solidFill>
                <a:srgbClr val="D4E4F6"/>
              </a:solidFill>
              <a:ln>
                <a:noFill/>
                <a:prstDash val="solid"/>
              </a:ln>
            </spPr>
          </dPt>
          <dPt>
            <idx val="99"/>
            <invertIfNegative val="0"/>
            <spPr>
              <a:solidFill>
                <a:srgbClr val="D4E4F6"/>
              </a:solidFill>
              <a:ln>
                <a:noFill/>
                <a:prstDash val="solid"/>
              </a:ln>
            </spPr>
          </dPt>
          <dPt>
            <idx val="100"/>
            <invertIfNegative val="0"/>
            <spPr>
              <a:solidFill>
                <a:srgbClr val="D4E4F6"/>
              </a:solidFill>
              <a:ln>
                <a:noFill/>
                <a:prstDash val="solid"/>
              </a:ln>
            </spPr>
          </dPt>
          <dPt>
            <idx val="101"/>
            <invertIfNegative val="0"/>
            <spPr>
              <a:solidFill>
                <a:srgbClr val="D4E4F6"/>
              </a:solidFill>
              <a:ln>
                <a:noFill/>
                <a:prstDash val="solid"/>
              </a:ln>
            </spPr>
          </dPt>
          <dPt>
            <idx val="102"/>
            <invertIfNegative val="0"/>
            <spPr>
              <a:solidFill>
                <a:srgbClr val="D4E4F6"/>
              </a:solidFill>
              <a:ln>
                <a:noFill/>
                <a:prstDash val="solid"/>
              </a:ln>
            </spPr>
          </dPt>
          <dPt>
            <idx val="103"/>
            <invertIfNegative val="0"/>
            <spPr>
              <a:solidFill>
                <a:srgbClr val="D4E4F6"/>
              </a:solidFill>
              <a:ln>
                <a:noFill/>
                <a:prstDash val="solid"/>
              </a:ln>
            </spPr>
          </dPt>
          <dPt>
            <idx val="104"/>
            <invertIfNegative val="0"/>
            <spPr>
              <a:solidFill>
                <a:srgbClr val="D4E4F6"/>
              </a:solidFill>
              <a:ln>
                <a:noFill/>
                <a:prstDash val="solid"/>
              </a:ln>
            </spPr>
          </dPt>
          <dPt>
            <idx val="105"/>
            <invertIfNegative val="0"/>
            <spPr>
              <a:solidFill>
                <a:srgbClr val="D4E4F6"/>
              </a:solidFill>
              <a:ln>
                <a:noFill/>
                <a:prstDash val="solid"/>
              </a:ln>
            </spPr>
          </dPt>
          <dPt>
            <idx val="106"/>
            <invertIfNegative val="0"/>
            <spPr>
              <a:solidFill>
                <a:srgbClr val="D4E4F6"/>
              </a:solidFill>
              <a:ln>
                <a:noFill/>
                <a:prstDash val="solid"/>
              </a:ln>
            </spPr>
          </dPt>
          <dPt>
            <idx val="107"/>
            <invertIfNegative val="0"/>
            <spPr>
              <a:solidFill>
                <a:srgbClr val="D4E4F6"/>
              </a:solidFill>
              <a:ln>
                <a:noFill/>
                <a:prstDash val="solid"/>
              </a:ln>
            </spPr>
          </dPt>
          <dPt>
            <idx val="108"/>
            <invertIfNegative val="0"/>
            <spPr>
              <a:solidFill>
                <a:srgbClr val="D4E4F6"/>
              </a:solidFill>
              <a:ln>
                <a:noFill/>
                <a:prstDash val="solid"/>
              </a:ln>
            </spPr>
          </dPt>
          <dPt>
            <idx val="109"/>
            <invertIfNegative val="0"/>
            <spPr>
              <a:solidFill>
                <a:srgbClr val="D4E4F6"/>
              </a:solidFill>
              <a:ln>
                <a:noFill/>
                <a:prstDash val="solid"/>
              </a:ln>
            </spPr>
          </dPt>
          <dPt>
            <idx val="110"/>
            <invertIfNegative val="0"/>
            <spPr>
              <a:solidFill>
                <a:srgbClr val="D4E4F6"/>
              </a:solidFill>
              <a:ln>
                <a:noFill/>
                <a:prstDash val="solid"/>
              </a:ln>
            </spPr>
          </dPt>
          <dPt>
            <idx val="111"/>
            <invertIfNegative val="0"/>
            <spPr>
              <a:solidFill>
                <a:srgbClr val="D4E4F6"/>
              </a:solidFill>
              <a:ln>
                <a:noFill/>
                <a:prstDash val="solid"/>
              </a:ln>
            </spPr>
          </dPt>
          <dPt>
            <idx val="112"/>
            <invertIfNegative val="0"/>
            <spPr>
              <a:solidFill>
                <a:srgbClr val="D4E4F6"/>
              </a:solidFill>
              <a:ln>
                <a:noFill/>
                <a:prstDash val="solid"/>
              </a:ln>
            </spPr>
          </dPt>
          <dPt>
            <idx val="113"/>
            <invertIfNegative val="0"/>
            <spPr>
              <a:solidFill>
                <a:srgbClr val="D4E4F6"/>
              </a:solidFill>
              <a:ln>
                <a:noFill/>
                <a:prstDash val="solid"/>
              </a:ln>
            </spPr>
          </dPt>
          <dPt>
            <idx val="114"/>
            <invertIfNegative val="0"/>
            <spPr>
              <a:solidFill>
                <a:srgbClr val="D4E4F6"/>
              </a:solidFill>
              <a:ln>
                <a:noFill/>
                <a:prstDash val="solid"/>
              </a:ln>
            </spPr>
          </dPt>
          <dPt>
            <idx val="115"/>
            <invertIfNegative val="0"/>
            <spPr>
              <a:solidFill>
                <a:srgbClr val="D4E4F6"/>
              </a:solidFill>
              <a:ln>
                <a:noFill/>
                <a:prstDash val="solid"/>
              </a:ln>
            </spPr>
          </dPt>
          <dPt>
            <idx val="116"/>
            <invertIfNegative val="0"/>
            <spPr>
              <a:solidFill>
                <a:srgbClr val="D4E4F6"/>
              </a:solidFill>
              <a:ln>
                <a:noFill/>
                <a:prstDash val="solid"/>
              </a:ln>
            </spPr>
          </dPt>
          <dPt>
            <idx val="117"/>
            <invertIfNegative val="0"/>
            <spPr>
              <a:solidFill>
                <a:srgbClr val="D4E4F6"/>
              </a:solidFill>
              <a:ln>
                <a:noFill/>
                <a:prstDash val="solid"/>
              </a:ln>
            </spPr>
          </dPt>
          <dPt>
            <idx val="118"/>
            <invertIfNegative val="0"/>
            <spPr>
              <a:solidFill>
                <a:srgbClr val="D4E4F6"/>
              </a:solidFill>
              <a:ln>
                <a:noFill/>
                <a:prstDash val="solid"/>
              </a:ln>
            </spPr>
          </dPt>
          <dPt>
            <idx val="119"/>
            <invertIfNegative val="0"/>
            <spPr>
              <a:solidFill>
                <a:srgbClr val="D4E4F6"/>
              </a:solidFill>
              <a:ln>
                <a:noFill/>
                <a:prstDash val="solid"/>
              </a:ln>
            </spPr>
          </dPt>
          <cat>
            <numRef>
              <f>'Chart - Demand to 2033'!$A$2:$A$121</f>
            </numRef>
          </cat>
          <val>
            <numRef>
              <f>'Chart - Demand to 2033'!$B$2:$B$121</f>
            </numRef>
          </val>
        </ser>
        <ser>
          <idx val="1"/>
          <order val="1"/>
          <tx>
            <strRef>
              <f>'Chart - Demand to 2033'!C1</f>
            </strRef>
          </tx>
          <spPr>
            <a:solidFill>
              <a:srgbClr val="EB6834"/>
            </a:solidFill>
            <a:ln>
              <a:noFill/>
              <a:prstDash val="solid"/>
            </a:ln>
          </spPr>
          <dPt>
            <idx val="31"/>
            <invertIfNegative val="0"/>
            <spPr>
              <a:solidFill>
                <a:srgbClr val="F6BBA3"/>
              </a:solidFill>
              <a:ln>
                <a:noFill/>
                <a:prstDash val="solid"/>
              </a:ln>
            </spPr>
          </dPt>
          <dPt>
            <idx val="32"/>
            <invertIfNegative val="0"/>
            <spPr>
              <a:solidFill>
                <a:srgbClr val="F6BBA3"/>
              </a:solidFill>
              <a:ln>
                <a:noFill/>
                <a:prstDash val="solid"/>
              </a:ln>
            </spPr>
          </dPt>
          <dPt>
            <idx val="33"/>
            <invertIfNegative val="0"/>
            <spPr>
              <a:solidFill>
                <a:srgbClr val="F6BBA3"/>
              </a:solidFill>
              <a:ln>
                <a:noFill/>
                <a:prstDash val="solid"/>
              </a:ln>
            </spPr>
          </dPt>
          <dPt>
            <idx val="34"/>
            <invertIfNegative val="0"/>
            <spPr>
              <a:solidFill>
                <a:srgbClr val="F6BBA3"/>
              </a:solidFill>
              <a:ln>
                <a:noFill/>
                <a:prstDash val="solid"/>
              </a:ln>
            </spPr>
          </dPt>
          <dPt>
            <idx val="35"/>
            <invertIfNegative val="0"/>
            <spPr>
              <a:solidFill>
                <a:srgbClr val="F6BBA3"/>
              </a:solidFill>
              <a:ln>
                <a:noFill/>
                <a:prstDash val="solid"/>
              </a:ln>
            </spPr>
          </dPt>
          <dPt>
            <idx val="36"/>
            <invertIfNegative val="0"/>
            <spPr>
              <a:solidFill>
                <a:srgbClr val="F6BBA3"/>
              </a:solidFill>
              <a:ln>
                <a:noFill/>
                <a:prstDash val="solid"/>
              </a:ln>
            </spPr>
          </dPt>
          <dPt>
            <idx val="37"/>
            <invertIfNegative val="0"/>
            <spPr>
              <a:solidFill>
                <a:srgbClr val="F6BBA3"/>
              </a:solidFill>
              <a:ln>
                <a:noFill/>
                <a:prstDash val="solid"/>
              </a:ln>
            </spPr>
          </dPt>
          <dPt>
            <idx val="38"/>
            <invertIfNegative val="0"/>
            <spPr>
              <a:solidFill>
                <a:srgbClr val="F6BBA3"/>
              </a:solidFill>
              <a:ln>
                <a:noFill/>
                <a:prstDash val="solid"/>
              </a:ln>
            </spPr>
          </dPt>
          <dPt>
            <idx val="39"/>
            <invertIfNegative val="0"/>
            <spPr>
              <a:solidFill>
                <a:srgbClr val="F6BBA3"/>
              </a:solidFill>
              <a:ln>
                <a:noFill/>
                <a:prstDash val="solid"/>
              </a:ln>
            </spPr>
          </dPt>
          <dPt>
            <idx val="40"/>
            <invertIfNegative val="0"/>
            <spPr>
              <a:solidFill>
                <a:srgbClr val="F6BBA3"/>
              </a:solidFill>
              <a:ln>
                <a:noFill/>
                <a:prstDash val="solid"/>
              </a:ln>
            </spPr>
          </dPt>
          <dPt>
            <idx val="41"/>
            <invertIfNegative val="0"/>
            <spPr>
              <a:solidFill>
                <a:srgbClr val="F6BBA3"/>
              </a:solidFill>
              <a:ln>
                <a:noFill/>
                <a:prstDash val="solid"/>
              </a:ln>
            </spPr>
          </dPt>
          <dPt>
            <idx val="42"/>
            <invertIfNegative val="0"/>
            <spPr>
              <a:solidFill>
                <a:srgbClr val="F6BBA3"/>
              </a:solidFill>
              <a:ln>
                <a:noFill/>
                <a:prstDash val="solid"/>
              </a:ln>
            </spPr>
          </dPt>
          <dPt>
            <idx val="43"/>
            <invertIfNegative val="0"/>
            <spPr>
              <a:solidFill>
                <a:srgbClr val="F6BBA3"/>
              </a:solidFill>
              <a:ln>
                <a:noFill/>
                <a:prstDash val="solid"/>
              </a:ln>
            </spPr>
          </dPt>
          <dPt>
            <idx val="44"/>
            <invertIfNegative val="0"/>
            <spPr>
              <a:solidFill>
                <a:srgbClr val="F6BBA3"/>
              </a:solidFill>
              <a:ln>
                <a:noFill/>
                <a:prstDash val="solid"/>
              </a:ln>
            </spPr>
          </dPt>
          <dPt>
            <idx val="45"/>
            <invertIfNegative val="0"/>
            <spPr>
              <a:solidFill>
                <a:srgbClr val="F6BBA3"/>
              </a:solidFill>
              <a:ln>
                <a:noFill/>
                <a:prstDash val="solid"/>
              </a:ln>
            </spPr>
          </dPt>
          <dPt>
            <idx val="46"/>
            <invertIfNegative val="0"/>
            <spPr>
              <a:solidFill>
                <a:srgbClr val="F6BBA3"/>
              </a:solidFill>
              <a:ln>
                <a:noFill/>
                <a:prstDash val="solid"/>
              </a:ln>
            </spPr>
          </dPt>
          <dPt>
            <idx val="47"/>
            <invertIfNegative val="0"/>
            <spPr>
              <a:solidFill>
                <a:srgbClr val="F6BBA3"/>
              </a:solidFill>
              <a:ln>
                <a:noFill/>
                <a:prstDash val="solid"/>
              </a:ln>
            </spPr>
          </dPt>
          <dPt>
            <idx val="48"/>
            <invertIfNegative val="0"/>
            <spPr>
              <a:solidFill>
                <a:srgbClr val="F6BBA3"/>
              </a:solidFill>
              <a:ln>
                <a:noFill/>
                <a:prstDash val="solid"/>
              </a:ln>
            </spPr>
          </dPt>
          <dPt>
            <idx val="49"/>
            <invertIfNegative val="0"/>
            <spPr>
              <a:solidFill>
                <a:srgbClr val="F6BBA3"/>
              </a:solidFill>
              <a:ln>
                <a:noFill/>
                <a:prstDash val="solid"/>
              </a:ln>
            </spPr>
          </dPt>
          <dPt>
            <idx val="50"/>
            <invertIfNegative val="0"/>
            <spPr>
              <a:solidFill>
                <a:srgbClr val="F6BBA3"/>
              </a:solidFill>
              <a:ln>
                <a:noFill/>
                <a:prstDash val="solid"/>
              </a:ln>
            </spPr>
          </dPt>
          <dPt>
            <idx val="51"/>
            <invertIfNegative val="0"/>
            <spPr>
              <a:solidFill>
                <a:srgbClr val="F6BBA3"/>
              </a:solidFill>
              <a:ln>
                <a:noFill/>
                <a:prstDash val="solid"/>
              </a:ln>
            </spPr>
          </dPt>
          <dPt>
            <idx val="52"/>
            <invertIfNegative val="0"/>
            <spPr>
              <a:solidFill>
                <a:srgbClr val="F6BBA3"/>
              </a:solidFill>
              <a:ln>
                <a:noFill/>
                <a:prstDash val="solid"/>
              </a:ln>
            </spPr>
          </dPt>
          <dPt>
            <idx val="53"/>
            <invertIfNegative val="0"/>
            <spPr>
              <a:solidFill>
                <a:srgbClr val="F6BBA3"/>
              </a:solidFill>
              <a:ln>
                <a:noFill/>
                <a:prstDash val="solid"/>
              </a:ln>
            </spPr>
          </dPt>
          <dPt>
            <idx val="54"/>
            <invertIfNegative val="0"/>
            <spPr>
              <a:solidFill>
                <a:srgbClr val="F6BBA3"/>
              </a:solidFill>
              <a:ln>
                <a:noFill/>
                <a:prstDash val="solid"/>
              </a:ln>
            </spPr>
          </dPt>
          <dPt>
            <idx val="55"/>
            <invertIfNegative val="0"/>
            <spPr>
              <a:solidFill>
                <a:srgbClr val="F6BBA3"/>
              </a:solidFill>
              <a:ln>
                <a:noFill/>
                <a:prstDash val="solid"/>
              </a:ln>
            </spPr>
          </dPt>
          <dPt>
            <idx val="56"/>
            <invertIfNegative val="0"/>
            <spPr>
              <a:solidFill>
                <a:srgbClr val="F6BBA3"/>
              </a:solidFill>
              <a:ln>
                <a:noFill/>
                <a:prstDash val="solid"/>
              </a:ln>
            </spPr>
          </dPt>
          <dPt>
            <idx val="57"/>
            <invertIfNegative val="0"/>
            <spPr>
              <a:solidFill>
                <a:srgbClr val="F6BBA3"/>
              </a:solidFill>
              <a:ln>
                <a:noFill/>
                <a:prstDash val="solid"/>
              </a:ln>
            </spPr>
          </dPt>
          <dPt>
            <idx val="58"/>
            <invertIfNegative val="0"/>
            <spPr>
              <a:solidFill>
                <a:srgbClr val="F6BBA3"/>
              </a:solidFill>
              <a:ln>
                <a:noFill/>
                <a:prstDash val="solid"/>
              </a:ln>
            </spPr>
          </dPt>
          <dPt>
            <idx val="59"/>
            <invertIfNegative val="0"/>
            <spPr>
              <a:solidFill>
                <a:srgbClr val="F6BBA3"/>
              </a:solidFill>
              <a:ln>
                <a:noFill/>
                <a:prstDash val="solid"/>
              </a:ln>
            </spPr>
          </dPt>
          <dPt>
            <idx val="60"/>
            <invertIfNegative val="0"/>
            <spPr>
              <a:solidFill>
                <a:srgbClr val="FBE0D6"/>
              </a:solidFill>
              <a:ln>
                <a:noFill/>
                <a:prstDash val="solid"/>
              </a:ln>
            </spPr>
          </dPt>
          <dPt>
            <idx val="61"/>
            <invertIfNegative val="0"/>
            <spPr>
              <a:solidFill>
                <a:srgbClr val="FBE0D6"/>
              </a:solidFill>
              <a:ln>
                <a:noFill/>
                <a:prstDash val="solid"/>
              </a:ln>
            </spPr>
          </dPt>
          <dPt>
            <idx val="62"/>
            <invertIfNegative val="0"/>
            <spPr>
              <a:solidFill>
                <a:srgbClr val="FBE0D6"/>
              </a:solidFill>
              <a:ln>
                <a:noFill/>
                <a:prstDash val="solid"/>
              </a:ln>
            </spPr>
          </dPt>
          <dPt>
            <idx val="63"/>
            <invertIfNegative val="0"/>
            <spPr>
              <a:solidFill>
                <a:srgbClr val="FBE0D6"/>
              </a:solidFill>
              <a:ln>
                <a:noFill/>
                <a:prstDash val="solid"/>
              </a:ln>
            </spPr>
          </dPt>
          <dPt>
            <idx val="64"/>
            <invertIfNegative val="0"/>
            <spPr>
              <a:solidFill>
                <a:srgbClr val="FBE0D6"/>
              </a:solidFill>
              <a:ln>
                <a:noFill/>
                <a:prstDash val="solid"/>
              </a:ln>
            </spPr>
          </dPt>
          <dPt>
            <idx val="65"/>
            <invertIfNegative val="0"/>
            <spPr>
              <a:solidFill>
                <a:srgbClr val="FBE0D6"/>
              </a:solidFill>
              <a:ln>
                <a:noFill/>
                <a:prstDash val="solid"/>
              </a:ln>
            </spPr>
          </dPt>
          <dPt>
            <idx val="66"/>
            <invertIfNegative val="0"/>
            <spPr>
              <a:solidFill>
                <a:srgbClr val="FBE0D6"/>
              </a:solidFill>
              <a:ln>
                <a:noFill/>
                <a:prstDash val="solid"/>
              </a:ln>
            </spPr>
          </dPt>
          <dPt>
            <idx val="67"/>
            <invertIfNegative val="0"/>
            <spPr>
              <a:solidFill>
                <a:srgbClr val="FBE0D6"/>
              </a:solidFill>
              <a:ln>
                <a:noFill/>
                <a:prstDash val="solid"/>
              </a:ln>
            </spPr>
          </dPt>
          <dPt>
            <idx val="68"/>
            <invertIfNegative val="0"/>
            <spPr>
              <a:solidFill>
                <a:srgbClr val="FBE0D6"/>
              </a:solidFill>
              <a:ln>
                <a:noFill/>
                <a:prstDash val="solid"/>
              </a:ln>
            </spPr>
          </dPt>
          <dPt>
            <idx val="69"/>
            <invertIfNegative val="0"/>
            <spPr>
              <a:solidFill>
                <a:srgbClr val="FBE0D6"/>
              </a:solidFill>
              <a:ln>
                <a:noFill/>
                <a:prstDash val="solid"/>
              </a:ln>
            </spPr>
          </dPt>
          <dPt>
            <idx val="70"/>
            <invertIfNegative val="0"/>
            <spPr>
              <a:solidFill>
                <a:srgbClr val="FBE0D6"/>
              </a:solidFill>
              <a:ln>
                <a:noFill/>
                <a:prstDash val="solid"/>
              </a:ln>
            </spPr>
          </dPt>
          <dPt>
            <idx val="71"/>
            <invertIfNegative val="0"/>
            <spPr>
              <a:solidFill>
                <a:srgbClr val="FBE0D6"/>
              </a:solidFill>
              <a:ln>
                <a:noFill/>
                <a:prstDash val="solid"/>
              </a:ln>
            </spPr>
          </dPt>
          <dPt>
            <idx val="72"/>
            <invertIfNegative val="0"/>
            <spPr>
              <a:solidFill>
                <a:srgbClr val="FBE0D6"/>
              </a:solidFill>
              <a:ln>
                <a:noFill/>
                <a:prstDash val="solid"/>
              </a:ln>
            </spPr>
          </dPt>
          <dPt>
            <idx val="73"/>
            <invertIfNegative val="0"/>
            <spPr>
              <a:solidFill>
                <a:srgbClr val="FBE0D6"/>
              </a:solidFill>
              <a:ln>
                <a:noFill/>
                <a:prstDash val="solid"/>
              </a:ln>
            </spPr>
          </dPt>
          <dPt>
            <idx val="74"/>
            <invertIfNegative val="0"/>
            <spPr>
              <a:solidFill>
                <a:srgbClr val="FBE0D6"/>
              </a:solidFill>
              <a:ln>
                <a:noFill/>
                <a:prstDash val="solid"/>
              </a:ln>
            </spPr>
          </dPt>
          <dPt>
            <idx val="75"/>
            <invertIfNegative val="0"/>
            <spPr>
              <a:solidFill>
                <a:srgbClr val="FBE0D6"/>
              </a:solidFill>
              <a:ln>
                <a:noFill/>
                <a:prstDash val="solid"/>
              </a:ln>
            </spPr>
          </dPt>
          <dPt>
            <idx val="76"/>
            <invertIfNegative val="0"/>
            <spPr>
              <a:solidFill>
                <a:srgbClr val="FBE0D6"/>
              </a:solidFill>
              <a:ln>
                <a:noFill/>
                <a:prstDash val="solid"/>
              </a:ln>
            </spPr>
          </dPt>
          <dPt>
            <idx val="77"/>
            <invertIfNegative val="0"/>
            <spPr>
              <a:solidFill>
                <a:srgbClr val="FBE0D6"/>
              </a:solidFill>
              <a:ln>
                <a:noFill/>
                <a:prstDash val="solid"/>
              </a:ln>
            </spPr>
          </dPt>
          <dPt>
            <idx val="78"/>
            <invertIfNegative val="0"/>
            <spPr>
              <a:solidFill>
                <a:srgbClr val="FBE0D6"/>
              </a:solidFill>
              <a:ln>
                <a:noFill/>
                <a:prstDash val="solid"/>
              </a:ln>
            </spPr>
          </dPt>
          <dPt>
            <idx val="79"/>
            <invertIfNegative val="0"/>
            <spPr>
              <a:solidFill>
                <a:srgbClr val="FBE0D6"/>
              </a:solidFill>
              <a:ln>
                <a:noFill/>
                <a:prstDash val="solid"/>
              </a:ln>
            </spPr>
          </dPt>
          <dPt>
            <idx val="80"/>
            <invertIfNegative val="0"/>
            <spPr>
              <a:solidFill>
                <a:srgbClr val="FBE0D6"/>
              </a:solidFill>
              <a:ln>
                <a:noFill/>
                <a:prstDash val="solid"/>
              </a:ln>
            </spPr>
          </dPt>
          <dPt>
            <idx val="81"/>
            <invertIfNegative val="0"/>
            <spPr>
              <a:solidFill>
                <a:srgbClr val="FBE0D6"/>
              </a:solidFill>
              <a:ln>
                <a:noFill/>
                <a:prstDash val="solid"/>
              </a:ln>
            </spPr>
          </dPt>
          <dPt>
            <idx val="82"/>
            <invertIfNegative val="0"/>
            <spPr>
              <a:solidFill>
                <a:srgbClr val="FBE0D6"/>
              </a:solidFill>
              <a:ln>
                <a:noFill/>
                <a:prstDash val="solid"/>
              </a:ln>
            </spPr>
          </dPt>
          <dPt>
            <idx val="83"/>
            <invertIfNegative val="0"/>
            <spPr>
              <a:solidFill>
                <a:srgbClr val="FBE0D6"/>
              </a:solidFill>
              <a:ln>
                <a:noFill/>
                <a:prstDash val="solid"/>
              </a:ln>
            </spPr>
          </dPt>
          <dPt>
            <idx val="84"/>
            <invertIfNegative val="0"/>
            <spPr>
              <a:solidFill>
                <a:srgbClr val="FBE0D6"/>
              </a:solidFill>
              <a:ln>
                <a:noFill/>
                <a:prstDash val="solid"/>
              </a:ln>
            </spPr>
          </dPt>
          <dPt>
            <idx val="85"/>
            <invertIfNegative val="0"/>
            <spPr>
              <a:solidFill>
                <a:srgbClr val="FBE0D6"/>
              </a:solidFill>
              <a:ln>
                <a:noFill/>
                <a:prstDash val="solid"/>
              </a:ln>
            </spPr>
          </dPt>
          <dPt>
            <idx val="86"/>
            <invertIfNegative val="0"/>
            <spPr>
              <a:solidFill>
                <a:srgbClr val="FBE0D6"/>
              </a:solidFill>
              <a:ln>
                <a:noFill/>
                <a:prstDash val="solid"/>
              </a:ln>
            </spPr>
          </dPt>
          <dPt>
            <idx val="87"/>
            <invertIfNegative val="0"/>
            <spPr>
              <a:solidFill>
                <a:srgbClr val="FBE0D6"/>
              </a:solidFill>
              <a:ln>
                <a:noFill/>
                <a:prstDash val="solid"/>
              </a:ln>
            </spPr>
          </dPt>
          <dPt>
            <idx val="88"/>
            <invertIfNegative val="0"/>
            <spPr>
              <a:solidFill>
                <a:srgbClr val="FBE0D6"/>
              </a:solidFill>
              <a:ln>
                <a:noFill/>
                <a:prstDash val="solid"/>
              </a:ln>
            </spPr>
          </dPt>
          <dPt>
            <idx val="89"/>
            <invertIfNegative val="0"/>
            <spPr>
              <a:solidFill>
                <a:srgbClr val="FBE0D6"/>
              </a:solidFill>
              <a:ln>
                <a:noFill/>
                <a:prstDash val="solid"/>
              </a:ln>
            </spPr>
          </dPt>
          <dPt>
            <idx val="90"/>
            <invertIfNegative val="0"/>
            <spPr>
              <a:solidFill>
                <a:srgbClr val="FBE0D6"/>
              </a:solidFill>
              <a:ln>
                <a:noFill/>
                <a:prstDash val="solid"/>
              </a:ln>
            </spPr>
          </dPt>
          <dPt>
            <idx val="91"/>
            <invertIfNegative val="0"/>
            <spPr>
              <a:solidFill>
                <a:srgbClr val="FBE0D6"/>
              </a:solidFill>
              <a:ln>
                <a:noFill/>
                <a:prstDash val="solid"/>
              </a:ln>
            </spPr>
          </dPt>
          <dPt>
            <idx val="92"/>
            <invertIfNegative val="0"/>
            <spPr>
              <a:solidFill>
                <a:srgbClr val="FBE0D6"/>
              </a:solidFill>
              <a:ln>
                <a:noFill/>
                <a:prstDash val="solid"/>
              </a:ln>
            </spPr>
          </dPt>
          <dPt>
            <idx val="93"/>
            <invertIfNegative val="0"/>
            <spPr>
              <a:solidFill>
                <a:srgbClr val="FBE0D6"/>
              </a:solidFill>
              <a:ln>
                <a:noFill/>
                <a:prstDash val="solid"/>
              </a:ln>
            </spPr>
          </dPt>
          <dPt>
            <idx val="94"/>
            <invertIfNegative val="0"/>
            <spPr>
              <a:solidFill>
                <a:srgbClr val="FBE0D6"/>
              </a:solidFill>
              <a:ln>
                <a:noFill/>
                <a:prstDash val="solid"/>
              </a:ln>
            </spPr>
          </dPt>
          <dPt>
            <idx val="95"/>
            <invertIfNegative val="0"/>
            <spPr>
              <a:solidFill>
                <a:srgbClr val="FBE0D6"/>
              </a:solidFill>
              <a:ln>
                <a:noFill/>
                <a:prstDash val="solid"/>
              </a:ln>
            </spPr>
          </dPt>
          <dPt>
            <idx val="96"/>
            <invertIfNegative val="0"/>
            <spPr>
              <a:solidFill>
                <a:srgbClr val="FBE0D6"/>
              </a:solidFill>
              <a:ln>
                <a:noFill/>
                <a:prstDash val="solid"/>
              </a:ln>
            </spPr>
          </dPt>
          <dPt>
            <idx val="97"/>
            <invertIfNegative val="0"/>
            <spPr>
              <a:solidFill>
                <a:srgbClr val="FBE0D6"/>
              </a:solidFill>
              <a:ln>
                <a:noFill/>
                <a:prstDash val="solid"/>
              </a:ln>
            </spPr>
          </dPt>
          <dPt>
            <idx val="98"/>
            <invertIfNegative val="0"/>
            <spPr>
              <a:solidFill>
                <a:srgbClr val="FBE0D6"/>
              </a:solidFill>
              <a:ln>
                <a:noFill/>
                <a:prstDash val="solid"/>
              </a:ln>
            </spPr>
          </dPt>
          <dPt>
            <idx val="99"/>
            <invertIfNegative val="0"/>
            <spPr>
              <a:solidFill>
                <a:srgbClr val="FBE0D6"/>
              </a:solidFill>
              <a:ln>
                <a:noFill/>
                <a:prstDash val="solid"/>
              </a:ln>
            </spPr>
          </dPt>
          <dPt>
            <idx val="100"/>
            <invertIfNegative val="0"/>
            <spPr>
              <a:solidFill>
                <a:srgbClr val="FBE0D6"/>
              </a:solidFill>
              <a:ln>
                <a:noFill/>
                <a:prstDash val="solid"/>
              </a:ln>
            </spPr>
          </dPt>
          <dPt>
            <idx val="101"/>
            <invertIfNegative val="0"/>
            <spPr>
              <a:solidFill>
                <a:srgbClr val="FBE0D6"/>
              </a:solidFill>
              <a:ln>
                <a:noFill/>
                <a:prstDash val="solid"/>
              </a:ln>
            </spPr>
          </dPt>
          <dPt>
            <idx val="102"/>
            <invertIfNegative val="0"/>
            <spPr>
              <a:solidFill>
                <a:srgbClr val="FBE0D6"/>
              </a:solidFill>
              <a:ln>
                <a:noFill/>
                <a:prstDash val="solid"/>
              </a:ln>
            </spPr>
          </dPt>
          <dPt>
            <idx val="103"/>
            <invertIfNegative val="0"/>
            <spPr>
              <a:solidFill>
                <a:srgbClr val="FBE0D6"/>
              </a:solidFill>
              <a:ln>
                <a:noFill/>
                <a:prstDash val="solid"/>
              </a:ln>
            </spPr>
          </dPt>
          <dPt>
            <idx val="104"/>
            <invertIfNegative val="0"/>
            <spPr>
              <a:solidFill>
                <a:srgbClr val="FBE0D6"/>
              </a:solidFill>
              <a:ln>
                <a:noFill/>
                <a:prstDash val="solid"/>
              </a:ln>
            </spPr>
          </dPt>
          <dPt>
            <idx val="105"/>
            <invertIfNegative val="0"/>
            <spPr>
              <a:solidFill>
                <a:srgbClr val="FBE0D6"/>
              </a:solidFill>
              <a:ln>
                <a:noFill/>
                <a:prstDash val="solid"/>
              </a:ln>
            </spPr>
          </dPt>
          <dPt>
            <idx val="106"/>
            <invertIfNegative val="0"/>
            <spPr>
              <a:solidFill>
                <a:srgbClr val="FBE0D6"/>
              </a:solidFill>
              <a:ln>
                <a:noFill/>
                <a:prstDash val="solid"/>
              </a:ln>
            </spPr>
          </dPt>
          <dPt>
            <idx val="107"/>
            <invertIfNegative val="0"/>
            <spPr>
              <a:solidFill>
                <a:srgbClr val="FBE0D6"/>
              </a:solidFill>
              <a:ln>
                <a:noFill/>
                <a:prstDash val="solid"/>
              </a:ln>
            </spPr>
          </dPt>
          <dPt>
            <idx val="108"/>
            <invertIfNegative val="0"/>
            <spPr>
              <a:solidFill>
                <a:srgbClr val="FBE0D6"/>
              </a:solidFill>
              <a:ln>
                <a:noFill/>
                <a:prstDash val="solid"/>
              </a:ln>
            </spPr>
          </dPt>
          <dPt>
            <idx val="109"/>
            <invertIfNegative val="0"/>
            <spPr>
              <a:solidFill>
                <a:srgbClr val="FBE0D6"/>
              </a:solidFill>
              <a:ln>
                <a:noFill/>
                <a:prstDash val="solid"/>
              </a:ln>
            </spPr>
          </dPt>
          <dPt>
            <idx val="110"/>
            <invertIfNegative val="0"/>
            <spPr>
              <a:solidFill>
                <a:srgbClr val="FBE0D6"/>
              </a:solidFill>
              <a:ln>
                <a:noFill/>
                <a:prstDash val="solid"/>
              </a:ln>
            </spPr>
          </dPt>
          <dPt>
            <idx val="111"/>
            <invertIfNegative val="0"/>
            <spPr>
              <a:solidFill>
                <a:srgbClr val="FBE0D6"/>
              </a:solidFill>
              <a:ln>
                <a:noFill/>
                <a:prstDash val="solid"/>
              </a:ln>
            </spPr>
          </dPt>
          <dPt>
            <idx val="112"/>
            <invertIfNegative val="0"/>
            <spPr>
              <a:solidFill>
                <a:srgbClr val="FBE0D6"/>
              </a:solidFill>
              <a:ln>
                <a:noFill/>
                <a:prstDash val="solid"/>
              </a:ln>
            </spPr>
          </dPt>
          <dPt>
            <idx val="113"/>
            <invertIfNegative val="0"/>
            <spPr>
              <a:solidFill>
                <a:srgbClr val="FBE0D6"/>
              </a:solidFill>
              <a:ln>
                <a:noFill/>
                <a:prstDash val="solid"/>
              </a:ln>
            </spPr>
          </dPt>
          <dPt>
            <idx val="114"/>
            <invertIfNegative val="0"/>
            <spPr>
              <a:solidFill>
                <a:srgbClr val="FBE0D6"/>
              </a:solidFill>
              <a:ln>
                <a:noFill/>
                <a:prstDash val="solid"/>
              </a:ln>
            </spPr>
          </dPt>
          <dPt>
            <idx val="115"/>
            <invertIfNegative val="0"/>
            <spPr>
              <a:solidFill>
                <a:srgbClr val="FBE0D6"/>
              </a:solidFill>
              <a:ln>
                <a:noFill/>
                <a:prstDash val="solid"/>
              </a:ln>
            </spPr>
          </dPt>
          <dPt>
            <idx val="116"/>
            <invertIfNegative val="0"/>
            <spPr>
              <a:solidFill>
                <a:srgbClr val="FBE0D6"/>
              </a:solidFill>
              <a:ln>
                <a:noFill/>
                <a:prstDash val="solid"/>
              </a:ln>
            </spPr>
          </dPt>
          <dPt>
            <idx val="117"/>
            <invertIfNegative val="0"/>
            <spPr>
              <a:solidFill>
                <a:srgbClr val="FBE0D6"/>
              </a:solidFill>
              <a:ln>
                <a:noFill/>
                <a:prstDash val="solid"/>
              </a:ln>
            </spPr>
          </dPt>
          <dPt>
            <idx val="118"/>
            <invertIfNegative val="0"/>
            <spPr>
              <a:solidFill>
                <a:srgbClr val="FBE0D6"/>
              </a:solidFill>
              <a:ln>
                <a:noFill/>
                <a:prstDash val="solid"/>
              </a:ln>
            </spPr>
          </dPt>
          <dPt>
            <idx val="119"/>
            <invertIfNegative val="0"/>
            <spPr>
              <a:solidFill>
                <a:srgbClr val="FBE0D6"/>
              </a:solidFill>
              <a:ln>
                <a:noFill/>
                <a:prstDash val="solid"/>
              </a:ln>
            </spPr>
          </dPt>
          <cat>
            <numRef>
              <f>'Chart - Demand to 2033'!$A$2:$A$121</f>
            </numRef>
          </cat>
          <val>
            <numRef>
              <f>'Chart - Demand to 2033'!$C$2:$C$121</f>
            </numRef>
          </val>
        </ser>
        <ser>
          <idx val="2"/>
          <order val="2"/>
          <tx>
            <strRef>
              <f>'Chart - Demand to 2033'!D1</f>
            </strRef>
          </tx>
          <spPr>
            <a:solidFill>
              <a:srgbClr val="1BAF7A"/>
            </a:solidFill>
            <a:ln>
              <a:noFill/>
              <a:prstDash val="solid"/>
            </a:ln>
          </spPr>
          <dPt>
            <idx val="31"/>
            <invertIfNegative val="0"/>
            <spPr>
              <a:solidFill>
                <a:srgbClr val="98DBC3"/>
              </a:solidFill>
              <a:ln>
                <a:noFill/>
                <a:prstDash val="solid"/>
              </a:ln>
            </spPr>
          </dPt>
          <dPt>
            <idx val="32"/>
            <invertIfNegative val="0"/>
            <spPr>
              <a:solidFill>
                <a:srgbClr val="98DBC3"/>
              </a:solidFill>
              <a:ln>
                <a:noFill/>
                <a:prstDash val="solid"/>
              </a:ln>
            </spPr>
          </dPt>
          <dPt>
            <idx val="33"/>
            <invertIfNegative val="0"/>
            <spPr>
              <a:solidFill>
                <a:srgbClr val="98DBC3"/>
              </a:solidFill>
              <a:ln>
                <a:noFill/>
                <a:prstDash val="solid"/>
              </a:ln>
            </spPr>
          </dPt>
          <dPt>
            <idx val="34"/>
            <invertIfNegative val="0"/>
            <spPr>
              <a:solidFill>
                <a:srgbClr val="98DBC3"/>
              </a:solidFill>
              <a:ln>
                <a:noFill/>
                <a:prstDash val="solid"/>
              </a:ln>
            </spPr>
          </dPt>
          <dPt>
            <idx val="35"/>
            <invertIfNegative val="0"/>
            <spPr>
              <a:solidFill>
                <a:srgbClr val="98DBC3"/>
              </a:solidFill>
              <a:ln>
                <a:noFill/>
                <a:prstDash val="solid"/>
              </a:ln>
            </spPr>
          </dPt>
          <dPt>
            <idx val="36"/>
            <invertIfNegative val="0"/>
            <spPr>
              <a:solidFill>
                <a:srgbClr val="98DBC3"/>
              </a:solidFill>
              <a:ln>
                <a:noFill/>
                <a:prstDash val="solid"/>
              </a:ln>
            </spPr>
          </dPt>
          <dPt>
            <idx val="37"/>
            <invertIfNegative val="0"/>
            <spPr>
              <a:solidFill>
                <a:srgbClr val="98DBC3"/>
              </a:solidFill>
              <a:ln>
                <a:noFill/>
                <a:prstDash val="solid"/>
              </a:ln>
            </spPr>
          </dPt>
          <dPt>
            <idx val="38"/>
            <invertIfNegative val="0"/>
            <spPr>
              <a:solidFill>
                <a:srgbClr val="98DBC3"/>
              </a:solidFill>
              <a:ln>
                <a:noFill/>
                <a:prstDash val="solid"/>
              </a:ln>
            </spPr>
          </dPt>
          <dPt>
            <idx val="39"/>
            <invertIfNegative val="0"/>
            <spPr>
              <a:solidFill>
                <a:srgbClr val="98DBC3"/>
              </a:solidFill>
              <a:ln>
                <a:noFill/>
                <a:prstDash val="solid"/>
              </a:ln>
            </spPr>
          </dPt>
          <dPt>
            <idx val="40"/>
            <invertIfNegative val="0"/>
            <spPr>
              <a:solidFill>
                <a:srgbClr val="98DBC3"/>
              </a:solidFill>
              <a:ln>
                <a:noFill/>
                <a:prstDash val="solid"/>
              </a:ln>
            </spPr>
          </dPt>
          <dPt>
            <idx val="41"/>
            <invertIfNegative val="0"/>
            <spPr>
              <a:solidFill>
                <a:srgbClr val="98DBC3"/>
              </a:solidFill>
              <a:ln>
                <a:noFill/>
                <a:prstDash val="solid"/>
              </a:ln>
            </spPr>
          </dPt>
          <dPt>
            <idx val="42"/>
            <invertIfNegative val="0"/>
            <spPr>
              <a:solidFill>
                <a:srgbClr val="98DBC3"/>
              </a:solidFill>
              <a:ln>
                <a:noFill/>
                <a:prstDash val="solid"/>
              </a:ln>
            </spPr>
          </dPt>
          <dPt>
            <idx val="43"/>
            <invertIfNegative val="0"/>
            <spPr>
              <a:solidFill>
                <a:srgbClr val="98DBC3"/>
              </a:solidFill>
              <a:ln>
                <a:noFill/>
                <a:prstDash val="solid"/>
              </a:ln>
            </spPr>
          </dPt>
          <dPt>
            <idx val="44"/>
            <invertIfNegative val="0"/>
            <spPr>
              <a:solidFill>
                <a:srgbClr val="98DBC3"/>
              </a:solidFill>
              <a:ln>
                <a:noFill/>
                <a:prstDash val="solid"/>
              </a:ln>
            </spPr>
          </dPt>
          <dPt>
            <idx val="45"/>
            <invertIfNegative val="0"/>
            <spPr>
              <a:solidFill>
                <a:srgbClr val="98DBC3"/>
              </a:solidFill>
              <a:ln>
                <a:noFill/>
                <a:prstDash val="solid"/>
              </a:ln>
            </spPr>
          </dPt>
          <dPt>
            <idx val="46"/>
            <invertIfNegative val="0"/>
            <spPr>
              <a:solidFill>
                <a:srgbClr val="98DBC3"/>
              </a:solidFill>
              <a:ln>
                <a:noFill/>
                <a:prstDash val="solid"/>
              </a:ln>
            </spPr>
          </dPt>
          <dPt>
            <idx val="47"/>
            <invertIfNegative val="0"/>
            <spPr>
              <a:solidFill>
                <a:srgbClr val="98DBC3"/>
              </a:solidFill>
              <a:ln>
                <a:noFill/>
                <a:prstDash val="solid"/>
              </a:ln>
            </spPr>
          </dPt>
          <dPt>
            <idx val="48"/>
            <invertIfNegative val="0"/>
            <spPr>
              <a:solidFill>
                <a:srgbClr val="98DBC3"/>
              </a:solidFill>
              <a:ln>
                <a:noFill/>
                <a:prstDash val="solid"/>
              </a:ln>
            </spPr>
          </dPt>
          <dPt>
            <idx val="49"/>
            <invertIfNegative val="0"/>
            <spPr>
              <a:solidFill>
                <a:srgbClr val="98DBC3"/>
              </a:solidFill>
              <a:ln>
                <a:noFill/>
                <a:prstDash val="solid"/>
              </a:ln>
            </spPr>
          </dPt>
          <dPt>
            <idx val="50"/>
            <invertIfNegative val="0"/>
            <spPr>
              <a:solidFill>
                <a:srgbClr val="98DBC3"/>
              </a:solidFill>
              <a:ln>
                <a:noFill/>
                <a:prstDash val="solid"/>
              </a:ln>
            </spPr>
          </dPt>
          <dPt>
            <idx val="51"/>
            <invertIfNegative val="0"/>
            <spPr>
              <a:solidFill>
                <a:srgbClr val="98DBC3"/>
              </a:solidFill>
              <a:ln>
                <a:noFill/>
                <a:prstDash val="solid"/>
              </a:ln>
            </spPr>
          </dPt>
          <dPt>
            <idx val="52"/>
            <invertIfNegative val="0"/>
            <spPr>
              <a:solidFill>
                <a:srgbClr val="98DBC3"/>
              </a:solidFill>
              <a:ln>
                <a:noFill/>
                <a:prstDash val="solid"/>
              </a:ln>
            </spPr>
          </dPt>
          <dPt>
            <idx val="53"/>
            <invertIfNegative val="0"/>
            <spPr>
              <a:solidFill>
                <a:srgbClr val="98DBC3"/>
              </a:solidFill>
              <a:ln>
                <a:noFill/>
                <a:prstDash val="solid"/>
              </a:ln>
            </spPr>
          </dPt>
          <dPt>
            <idx val="54"/>
            <invertIfNegative val="0"/>
            <spPr>
              <a:solidFill>
                <a:srgbClr val="98DBC3"/>
              </a:solidFill>
              <a:ln>
                <a:noFill/>
                <a:prstDash val="solid"/>
              </a:ln>
            </spPr>
          </dPt>
          <dPt>
            <idx val="55"/>
            <invertIfNegative val="0"/>
            <spPr>
              <a:solidFill>
                <a:srgbClr val="98DBC3"/>
              </a:solidFill>
              <a:ln>
                <a:noFill/>
                <a:prstDash val="solid"/>
              </a:ln>
            </spPr>
          </dPt>
          <dPt>
            <idx val="56"/>
            <invertIfNegative val="0"/>
            <spPr>
              <a:solidFill>
                <a:srgbClr val="98DBC3"/>
              </a:solidFill>
              <a:ln>
                <a:noFill/>
                <a:prstDash val="solid"/>
              </a:ln>
            </spPr>
          </dPt>
          <dPt>
            <idx val="57"/>
            <invertIfNegative val="0"/>
            <spPr>
              <a:solidFill>
                <a:srgbClr val="98DBC3"/>
              </a:solidFill>
              <a:ln>
                <a:noFill/>
                <a:prstDash val="solid"/>
              </a:ln>
            </spPr>
          </dPt>
          <dPt>
            <idx val="58"/>
            <invertIfNegative val="0"/>
            <spPr>
              <a:solidFill>
                <a:srgbClr val="98DBC3"/>
              </a:solidFill>
              <a:ln>
                <a:noFill/>
                <a:prstDash val="solid"/>
              </a:ln>
            </spPr>
          </dPt>
          <dPt>
            <idx val="59"/>
            <invertIfNegative val="0"/>
            <spPr>
              <a:solidFill>
                <a:srgbClr val="98DBC3"/>
              </a:solidFill>
              <a:ln>
                <a:noFill/>
                <a:prstDash val="solid"/>
              </a:ln>
            </spPr>
          </dPt>
          <dPt>
            <idx val="60"/>
            <invertIfNegative val="0"/>
            <spPr>
              <a:solidFill>
                <a:srgbClr val="D1EFE4"/>
              </a:solidFill>
              <a:ln>
                <a:noFill/>
                <a:prstDash val="solid"/>
              </a:ln>
            </spPr>
          </dPt>
          <dPt>
            <idx val="61"/>
            <invertIfNegative val="0"/>
            <spPr>
              <a:solidFill>
                <a:srgbClr val="D1EFE4"/>
              </a:solidFill>
              <a:ln>
                <a:noFill/>
                <a:prstDash val="solid"/>
              </a:ln>
            </spPr>
          </dPt>
          <dPt>
            <idx val="62"/>
            <invertIfNegative val="0"/>
            <spPr>
              <a:solidFill>
                <a:srgbClr val="D1EFE4"/>
              </a:solidFill>
              <a:ln>
                <a:noFill/>
                <a:prstDash val="solid"/>
              </a:ln>
            </spPr>
          </dPt>
          <dPt>
            <idx val="63"/>
            <invertIfNegative val="0"/>
            <spPr>
              <a:solidFill>
                <a:srgbClr val="D1EFE4"/>
              </a:solidFill>
              <a:ln>
                <a:noFill/>
                <a:prstDash val="solid"/>
              </a:ln>
            </spPr>
          </dPt>
          <dPt>
            <idx val="64"/>
            <invertIfNegative val="0"/>
            <spPr>
              <a:solidFill>
                <a:srgbClr val="D1EFE4"/>
              </a:solidFill>
              <a:ln>
                <a:noFill/>
                <a:prstDash val="solid"/>
              </a:ln>
            </spPr>
          </dPt>
          <dPt>
            <idx val="65"/>
            <invertIfNegative val="0"/>
            <spPr>
              <a:solidFill>
                <a:srgbClr val="D1EFE4"/>
              </a:solidFill>
              <a:ln>
                <a:noFill/>
                <a:prstDash val="solid"/>
              </a:ln>
            </spPr>
          </dPt>
          <dPt>
            <idx val="66"/>
            <invertIfNegative val="0"/>
            <spPr>
              <a:solidFill>
                <a:srgbClr val="D1EFE4"/>
              </a:solidFill>
              <a:ln>
                <a:noFill/>
                <a:prstDash val="solid"/>
              </a:ln>
            </spPr>
          </dPt>
          <dPt>
            <idx val="67"/>
            <invertIfNegative val="0"/>
            <spPr>
              <a:solidFill>
                <a:srgbClr val="D1EFE4"/>
              </a:solidFill>
              <a:ln>
                <a:noFill/>
                <a:prstDash val="solid"/>
              </a:ln>
            </spPr>
          </dPt>
          <dPt>
            <idx val="68"/>
            <invertIfNegative val="0"/>
            <spPr>
              <a:solidFill>
                <a:srgbClr val="D1EFE4"/>
              </a:solidFill>
              <a:ln>
                <a:noFill/>
                <a:prstDash val="solid"/>
              </a:ln>
            </spPr>
          </dPt>
          <dPt>
            <idx val="69"/>
            <invertIfNegative val="0"/>
            <spPr>
              <a:solidFill>
                <a:srgbClr val="D1EFE4"/>
              </a:solidFill>
              <a:ln>
                <a:noFill/>
                <a:prstDash val="solid"/>
              </a:ln>
            </spPr>
          </dPt>
          <dPt>
            <idx val="70"/>
            <invertIfNegative val="0"/>
            <spPr>
              <a:solidFill>
                <a:srgbClr val="D1EFE4"/>
              </a:solidFill>
              <a:ln>
                <a:noFill/>
                <a:prstDash val="solid"/>
              </a:ln>
            </spPr>
          </dPt>
          <dPt>
            <idx val="71"/>
            <invertIfNegative val="0"/>
            <spPr>
              <a:solidFill>
                <a:srgbClr val="D1EFE4"/>
              </a:solidFill>
              <a:ln>
                <a:noFill/>
                <a:prstDash val="solid"/>
              </a:ln>
            </spPr>
          </dPt>
          <dPt>
            <idx val="72"/>
            <invertIfNegative val="0"/>
            <spPr>
              <a:solidFill>
                <a:srgbClr val="D1EFE4"/>
              </a:solidFill>
              <a:ln>
                <a:noFill/>
                <a:prstDash val="solid"/>
              </a:ln>
            </spPr>
          </dPt>
          <dPt>
            <idx val="73"/>
            <invertIfNegative val="0"/>
            <spPr>
              <a:solidFill>
                <a:srgbClr val="D1EFE4"/>
              </a:solidFill>
              <a:ln>
                <a:noFill/>
                <a:prstDash val="solid"/>
              </a:ln>
            </spPr>
          </dPt>
          <dPt>
            <idx val="74"/>
            <invertIfNegative val="0"/>
            <spPr>
              <a:solidFill>
                <a:srgbClr val="D1EFE4"/>
              </a:solidFill>
              <a:ln>
                <a:noFill/>
                <a:prstDash val="solid"/>
              </a:ln>
            </spPr>
          </dPt>
          <dPt>
            <idx val="75"/>
            <invertIfNegative val="0"/>
            <spPr>
              <a:solidFill>
                <a:srgbClr val="D1EFE4"/>
              </a:solidFill>
              <a:ln>
                <a:noFill/>
                <a:prstDash val="solid"/>
              </a:ln>
            </spPr>
          </dPt>
          <dPt>
            <idx val="76"/>
            <invertIfNegative val="0"/>
            <spPr>
              <a:solidFill>
                <a:srgbClr val="D1EFE4"/>
              </a:solidFill>
              <a:ln>
                <a:noFill/>
                <a:prstDash val="solid"/>
              </a:ln>
            </spPr>
          </dPt>
          <dPt>
            <idx val="77"/>
            <invertIfNegative val="0"/>
            <spPr>
              <a:solidFill>
                <a:srgbClr val="D1EFE4"/>
              </a:solidFill>
              <a:ln>
                <a:noFill/>
                <a:prstDash val="solid"/>
              </a:ln>
            </spPr>
          </dPt>
          <dPt>
            <idx val="78"/>
            <invertIfNegative val="0"/>
            <spPr>
              <a:solidFill>
                <a:srgbClr val="D1EFE4"/>
              </a:solidFill>
              <a:ln>
                <a:noFill/>
                <a:prstDash val="solid"/>
              </a:ln>
            </spPr>
          </dPt>
          <dPt>
            <idx val="79"/>
            <invertIfNegative val="0"/>
            <spPr>
              <a:solidFill>
                <a:srgbClr val="D1EFE4"/>
              </a:solidFill>
              <a:ln>
                <a:noFill/>
                <a:prstDash val="solid"/>
              </a:ln>
            </spPr>
          </dPt>
          <dPt>
            <idx val="80"/>
            <invertIfNegative val="0"/>
            <spPr>
              <a:solidFill>
                <a:srgbClr val="D1EFE4"/>
              </a:solidFill>
              <a:ln>
                <a:noFill/>
                <a:prstDash val="solid"/>
              </a:ln>
            </spPr>
          </dPt>
          <dPt>
            <idx val="81"/>
            <invertIfNegative val="0"/>
            <spPr>
              <a:solidFill>
                <a:srgbClr val="D1EFE4"/>
              </a:solidFill>
              <a:ln>
                <a:noFill/>
                <a:prstDash val="solid"/>
              </a:ln>
            </spPr>
          </dPt>
          <dPt>
            <idx val="82"/>
            <invertIfNegative val="0"/>
            <spPr>
              <a:solidFill>
                <a:srgbClr val="D1EFE4"/>
              </a:solidFill>
              <a:ln>
                <a:noFill/>
                <a:prstDash val="solid"/>
              </a:ln>
            </spPr>
          </dPt>
          <dPt>
            <idx val="83"/>
            <invertIfNegative val="0"/>
            <spPr>
              <a:solidFill>
                <a:srgbClr val="D1EFE4"/>
              </a:solidFill>
              <a:ln>
                <a:noFill/>
                <a:prstDash val="solid"/>
              </a:ln>
            </spPr>
          </dPt>
          <dPt>
            <idx val="84"/>
            <invertIfNegative val="0"/>
            <spPr>
              <a:solidFill>
                <a:srgbClr val="D1EFE4"/>
              </a:solidFill>
              <a:ln>
                <a:noFill/>
                <a:prstDash val="solid"/>
              </a:ln>
            </spPr>
          </dPt>
          <dPt>
            <idx val="85"/>
            <invertIfNegative val="0"/>
            <spPr>
              <a:solidFill>
                <a:srgbClr val="D1EFE4"/>
              </a:solidFill>
              <a:ln>
                <a:noFill/>
                <a:prstDash val="solid"/>
              </a:ln>
            </spPr>
          </dPt>
          <dPt>
            <idx val="86"/>
            <invertIfNegative val="0"/>
            <spPr>
              <a:solidFill>
                <a:srgbClr val="D1EFE4"/>
              </a:solidFill>
              <a:ln>
                <a:noFill/>
                <a:prstDash val="solid"/>
              </a:ln>
            </spPr>
          </dPt>
          <dPt>
            <idx val="87"/>
            <invertIfNegative val="0"/>
            <spPr>
              <a:solidFill>
                <a:srgbClr val="D1EFE4"/>
              </a:solidFill>
              <a:ln>
                <a:noFill/>
                <a:prstDash val="solid"/>
              </a:ln>
            </spPr>
          </dPt>
          <dPt>
            <idx val="88"/>
            <invertIfNegative val="0"/>
            <spPr>
              <a:solidFill>
                <a:srgbClr val="D1EFE4"/>
              </a:solidFill>
              <a:ln>
                <a:noFill/>
                <a:prstDash val="solid"/>
              </a:ln>
            </spPr>
          </dPt>
          <dPt>
            <idx val="89"/>
            <invertIfNegative val="0"/>
            <spPr>
              <a:solidFill>
                <a:srgbClr val="D1EFE4"/>
              </a:solidFill>
              <a:ln>
                <a:noFill/>
                <a:prstDash val="solid"/>
              </a:ln>
            </spPr>
          </dPt>
          <dPt>
            <idx val="90"/>
            <invertIfNegative val="0"/>
            <spPr>
              <a:solidFill>
                <a:srgbClr val="D1EFE4"/>
              </a:solidFill>
              <a:ln>
                <a:noFill/>
                <a:prstDash val="solid"/>
              </a:ln>
            </spPr>
          </dPt>
          <dPt>
            <idx val="91"/>
            <invertIfNegative val="0"/>
            <spPr>
              <a:solidFill>
                <a:srgbClr val="D1EFE4"/>
              </a:solidFill>
              <a:ln>
                <a:noFill/>
                <a:prstDash val="solid"/>
              </a:ln>
            </spPr>
          </dPt>
          <dPt>
            <idx val="92"/>
            <invertIfNegative val="0"/>
            <spPr>
              <a:solidFill>
                <a:srgbClr val="D1EFE4"/>
              </a:solidFill>
              <a:ln>
                <a:noFill/>
                <a:prstDash val="solid"/>
              </a:ln>
            </spPr>
          </dPt>
          <dPt>
            <idx val="93"/>
            <invertIfNegative val="0"/>
            <spPr>
              <a:solidFill>
                <a:srgbClr val="D1EFE4"/>
              </a:solidFill>
              <a:ln>
                <a:noFill/>
                <a:prstDash val="solid"/>
              </a:ln>
            </spPr>
          </dPt>
          <dPt>
            <idx val="94"/>
            <invertIfNegative val="0"/>
            <spPr>
              <a:solidFill>
                <a:srgbClr val="D1EFE4"/>
              </a:solidFill>
              <a:ln>
                <a:noFill/>
                <a:prstDash val="solid"/>
              </a:ln>
            </spPr>
          </dPt>
          <dPt>
            <idx val="95"/>
            <invertIfNegative val="0"/>
            <spPr>
              <a:solidFill>
                <a:srgbClr val="D1EFE4"/>
              </a:solidFill>
              <a:ln>
                <a:noFill/>
                <a:prstDash val="solid"/>
              </a:ln>
            </spPr>
          </dPt>
          <dPt>
            <idx val="96"/>
            <invertIfNegative val="0"/>
            <spPr>
              <a:solidFill>
                <a:srgbClr val="D1EFE4"/>
              </a:solidFill>
              <a:ln>
                <a:noFill/>
                <a:prstDash val="solid"/>
              </a:ln>
            </spPr>
          </dPt>
          <dPt>
            <idx val="97"/>
            <invertIfNegative val="0"/>
            <spPr>
              <a:solidFill>
                <a:srgbClr val="D1EFE4"/>
              </a:solidFill>
              <a:ln>
                <a:noFill/>
                <a:prstDash val="solid"/>
              </a:ln>
            </spPr>
          </dPt>
          <dPt>
            <idx val="98"/>
            <invertIfNegative val="0"/>
            <spPr>
              <a:solidFill>
                <a:srgbClr val="D1EFE4"/>
              </a:solidFill>
              <a:ln>
                <a:noFill/>
                <a:prstDash val="solid"/>
              </a:ln>
            </spPr>
          </dPt>
          <dPt>
            <idx val="99"/>
            <invertIfNegative val="0"/>
            <spPr>
              <a:solidFill>
                <a:srgbClr val="D1EFE4"/>
              </a:solidFill>
              <a:ln>
                <a:noFill/>
                <a:prstDash val="solid"/>
              </a:ln>
            </spPr>
          </dPt>
          <dPt>
            <idx val="100"/>
            <invertIfNegative val="0"/>
            <spPr>
              <a:solidFill>
                <a:srgbClr val="D1EFE4"/>
              </a:solidFill>
              <a:ln>
                <a:noFill/>
                <a:prstDash val="solid"/>
              </a:ln>
            </spPr>
          </dPt>
          <dPt>
            <idx val="101"/>
            <invertIfNegative val="0"/>
            <spPr>
              <a:solidFill>
                <a:srgbClr val="D1EFE4"/>
              </a:solidFill>
              <a:ln>
                <a:noFill/>
                <a:prstDash val="solid"/>
              </a:ln>
            </spPr>
          </dPt>
          <dPt>
            <idx val="102"/>
            <invertIfNegative val="0"/>
            <spPr>
              <a:solidFill>
                <a:srgbClr val="D1EFE4"/>
              </a:solidFill>
              <a:ln>
                <a:noFill/>
                <a:prstDash val="solid"/>
              </a:ln>
            </spPr>
          </dPt>
          <dPt>
            <idx val="103"/>
            <invertIfNegative val="0"/>
            <spPr>
              <a:solidFill>
                <a:srgbClr val="D1EFE4"/>
              </a:solidFill>
              <a:ln>
                <a:noFill/>
                <a:prstDash val="solid"/>
              </a:ln>
            </spPr>
          </dPt>
          <dPt>
            <idx val="104"/>
            <invertIfNegative val="0"/>
            <spPr>
              <a:solidFill>
                <a:srgbClr val="D1EFE4"/>
              </a:solidFill>
              <a:ln>
                <a:noFill/>
                <a:prstDash val="solid"/>
              </a:ln>
            </spPr>
          </dPt>
          <dPt>
            <idx val="105"/>
            <invertIfNegative val="0"/>
            <spPr>
              <a:solidFill>
                <a:srgbClr val="D1EFE4"/>
              </a:solidFill>
              <a:ln>
                <a:noFill/>
                <a:prstDash val="solid"/>
              </a:ln>
            </spPr>
          </dPt>
          <dPt>
            <idx val="106"/>
            <invertIfNegative val="0"/>
            <spPr>
              <a:solidFill>
                <a:srgbClr val="D1EFE4"/>
              </a:solidFill>
              <a:ln>
                <a:noFill/>
                <a:prstDash val="solid"/>
              </a:ln>
            </spPr>
          </dPt>
          <dPt>
            <idx val="107"/>
            <invertIfNegative val="0"/>
            <spPr>
              <a:solidFill>
                <a:srgbClr val="D1EFE4"/>
              </a:solidFill>
              <a:ln>
                <a:noFill/>
                <a:prstDash val="solid"/>
              </a:ln>
            </spPr>
          </dPt>
          <dPt>
            <idx val="108"/>
            <invertIfNegative val="0"/>
            <spPr>
              <a:solidFill>
                <a:srgbClr val="D1EFE4"/>
              </a:solidFill>
              <a:ln>
                <a:noFill/>
                <a:prstDash val="solid"/>
              </a:ln>
            </spPr>
          </dPt>
          <dPt>
            <idx val="109"/>
            <invertIfNegative val="0"/>
            <spPr>
              <a:solidFill>
                <a:srgbClr val="D1EFE4"/>
              </a:solidFill>
              <a:ln>
                <a:noFill/>
                <a:prstDash val="solid"/>
              </a:ln>
            </spPr>
          </dPt>
          <dPt>
            <idx val="110"/>
            <invertIfNegative val="0"/>
            <spPr>
              <a:solidFill>
                <a:srgbClr val="D1EFE4"/>
              </a:solidFill>
              <a:ln>
                <a:noFill/>
                <a:prstDash val="solid"/>
              </a:ln>
            </spPr>
          </dPt>
          <dPt>
            <idx val="111"/>
            <invertIfNegative val="0"/>
            <spPr>
              <a:solidFill>
                <a:srgbClr val="D1EFE4"/>
              </a:solidFill>
              <a:ln>
                <a:noFill/>
                <a:prstDash val="solid"/>
              </a:ln>
            </spPr>
          </dPt>
          <dPt>
            <idx val="112"/>
            <invertIfNegative val="0"/>
            <spPr>
              <a:solidFill>
                <a:srgbClr val="D1EFE4"/>
              </a:solidFill>
              <a:ln>
                <a:noFill/>
                <a:prstDash val="solid"/>
              </a:ln>
            </spPr>
          </dPt>
          <dPt>
            <idx val="113"/>
            <invertIfNegative val="0"/>
            <spPr>
              <a:solidFill>
                <a:srgbClr val="D1EFE4"/>
              </a:solidFill>
              <a:ln>
                <a:noFill/>
                <a:prstDash val="solid"/>
              </a:ln>
            </spPr>
          </dPt>
          <dPt>
            <idx val="114"/>
            <invertIfNegative val="0"/>
            <spPr>
              <a:solidFill>
                <a:srgbClr val="D1EFE4"/>
              </a:solidFill>
              <a:ln>
                <a:noFill/>
                <a:prstDash val="solid"/>
              </a:ln>
            </spPr>
          </dPt>
          <dPt>
            <idx val="115"/>
            <invertIfNegative val="0"/>
            <spPr>
              <a:solidFill>
                <a:srgbClr val="D1EFE4"/>
              </a:solidFill>
              <a:ln>
                <a:noFill/>
                <a:prstDash val="solid"/>
              </a:ln>
            </spPr>
          </dPt>
          <dPt>
            <idx val="116"/>
            <invertIfNegative val="0"/>
            <spPr>
              <a:solidFill>
                <a:srgbClr val="D1EFE4"/>
              </a:solidFill>
              <a:ln>
                <a:noFill/>
                <a:prstDash val="solid"/>
              </a:ln>
            </spPr>
          </dPt>
          <dPt>
            <idx val="117"/>
            <invertIfNegative val="0"/>
            <spPr>
              <a:solidFill>
                <a:srgbClr val="D1EFE4"/>
              </a:solidFill>
              <a:ln>
                <a:noFill/>
                <a:prstDash val="solid"/>
              </a:ln>
            </spPr>
          </dPt>
          <dPt>
            <idx val="118"/>
            <invertIfNegative val="0"/>
            <spPr>
              <a:solidFill>
                <a:srgbClr val="D1EFE4"/>
              </a:solidFill>
              <a:ln>
                <a:noFill/>
                <a:prstDash val="solid"/>
              </a:ln>
            </spPr>
          </dPt>
          <dPt>
            <idx val="119"/>
            <invertIfNegative val="0"/>
            <spPr>
              <a:solidFill>
                <a:srgbClr val="D1EFE4"/>
              </a:solidFill>
              <a:ln>
                <a:noFill/>
                <a:prstDash val="solid"/>
              </a:ln>
            </spPr>
          </dPt>
          <cat>
            <numRef>
              <f>'Chart - Demand to 2033'!$A$2:$A$121</f>
            </numRef>
          </cat>
          <val>
            <numRef>
              <f>'Chart - Demand to 2033'!$D$2:$D$121</f>
            </numRef>
          </val>
        </ser>
        <ser>
          <idx val="3"/>
          <order val="3"/>
          <tx>
            <strRef>
              <f>'Chart - Demand to 2033'!E1</f>
            </strRef>
          </tx>
          <spPr>
            <a:solidFill>
              <a:srgbClr val="EDA100"/>
            </a:solidFill>
            <a:ln>
              <a:noFill/>
              <a:prstDash val="solid"/>
            </a:ln>
          </spPr>
          <dPt>
            <idx val="31"/>
            <invertIfNegative val="0"/>
            <spPr>
              <a:solidFill>
                <a:srgbClr val="F6D48C"/>
              </a:solidFill>
              <a:ln>
                <a:noFill/>
                <a:prstDash val="solid"/>
              </a:ln>
            </spPr>
          </dPt>
          <dPt>
            <idx val="32"/>
            <invertIfNegative val="0"/>
            <spPr>
              <a:solidFill>
                <a:srgbClr val="F6D48C"/>
              </a:solidFill>
              <a:ln>
                <a:noFill/>
                <a:prstDash val="solid"/>
              </a:ln>
            </spPr>
          </dPt>
          <dPt>
            <idx val="33"/>
            <invertIfNegative val="0"/>
            <spPr>
              <a:solidFill>
                <a:srgbClr val="F6D48C"/>
              </a:solidFill>
              <a:ln>
                <a:noFill/>
                <a:prstDash val="solid"/>
              </a:ln>
            </spPr>
          </dPt>
          <dPt>
            <idx val="34"/>
            <invertIfNegative val="0"/>
            <spPr>
              <a:solidFill>
                <a:srgbClr val="F6D48C"/>
              </a:solidFill>
              <a:ln>
                <a:noFill/>
                <a:prstDash val="solid"/>
              </a:ln>
            </spPr>
          </dPt>
          <dPt>
            <idx val="35"/>
            <invertIfNegative val="0"/>
            <spPr>
              <a:solidFill>
                <a:srgbClr val="F6D48C"/>
              </a:solidFill>
              <a:ln>
                <a:noFill/>
                <a:prstDash val="solid"/>
              </a:ln>
            </spPr>
          </dPt>
          <dPt>
            <idx val="36"/>
            <invertIfNegative val="0"/>
            <spPr>
              <a:solidFill>
                <a:srgbClr val="F6D48C"/>
              </a:solidFill>
              <a:ln>
                <a:noFill/>
                <a:prstDash val="solid"/>
              </a:ln>
            </spPr>
          </dPt>
          <dPt>
            <idx val="37"/>
            <invertIfNegative val="0"/>
            <spPr>
              <a:solidFill>
                <a:srgbClr val="F6D48C"/>
              </a:solidFill>
              <a:ln>
                <a:noFill/>
                <a:prstDash val="solid"/>
              </a:ln>
            </spPr>
          </dPt>
          <dPt>
            <idx val="38"/>
            <invertIfNegative val="0"/>
            <spPr>
              <a:solidFill>
                <a:srgbClr val="F6D48C"/>
              </a:solidFill>
              <a:ln>
                <a:noFill/>
                <a:prstDash val="solid"/>
              </a:ln>
            </spPr>
          </dPt>
          <dPt>
            <idx val="39"/>
            <invertIfNegative val="0"/>
            <spPr>
              <a:solidFill>
                <a:srgbClr val="F6D48C"/>
              </a:solidFill>
              <a:ln>
                <a:noFill/>
                <a:prstDash val="solid"/>
              </a:ln>
            </spPr>
          </dPt>
          <dPt>
            <idx val="40"/>
            <invertIfNegative val="0"/>
            <spPr>
              <a:solidFill>
                <a:srgbClr val="F6D48C"/>
              </a:solidFill>
              <a:ln>
                <a:noFill/>
                <a:prstDash val="solid"/>
              </a:ln>
            </spPr>
          </dPt>
          <dPt>
            <idx val="41"/>
            <invertIfNegative val="0"/>
            <spPr>
              <a:solidFill>
                <a:srgbClr val="F6D48C"/>
              </a:solidFill>
              <a:ln>
                <a:noFill/>
                <a:prstDash val="solid"/>
              </a:ln>
            </spPr>
          </dPt>
          <dPt>
            <idx val="42"/>
            <invertIfNegative val="0"/>
            <spPr>
              <a:solidFill>
                <a:srgbClr val="F6D48C"/>
              </a:solidFill>
              <a:ln>
                <a:noFill/>
                <a:prstDash val="solid"/>
              </a:ln>
            </spPr>
          </dPt>
          <dPt>
            <idx val="43"/>
            <invertIfNegative val="0"/>
            <spPr>
              <a:solidFill>
                <a:srgbClr val="F6D48C"/>
              </a:solidFill>
              <a:ln>
                <a:noFill/>
                <a:prstDash val="solid"/>
              </a:ln>
            </spPr>
          </dPt>
          <dPt>
            <idx val="44"/>
            <invertIfNegative val="0"/>
            <spPr>
              <a:solidFill>
                <a:srgbClr val="F6D48C"/>
              </a:solidFill>
              <a:ln>
                <a:noFill/>
                <a:prstDash val="solid"/>
              </a:ln>
            </spPr>
          </dPt>
          <dPt>
            <idx val="45"/>
            <invertIfNegative val="0"/>
            <spPr>
              <a:solidFill>
                <a:srgbClr val="F6D48C"/>
              </a:solidFill>
              <a:ln>
                <a:noFill/>
                <a:prstDash val="solid"/>
              </a:ln>
            </spPr>
          </dPt>
          <dPt>
            <idx val="46"/>
            <invertIfNegative val="0"/>
            <spPr>
              <a:solidFill>
                <a:srgbClr val="F6D48C"/>
              </a:solidFill>
              <a:ln>
                <a:noFill/>
                <a:prstDash val="solid"/>
              </a:ln>
            </spPr>
          </dPt>
          <dPt>
            <idx val="47"/>
            <invertIfNegative val="0"/>
            <spPr>
              <a:solidFill>
                <a:srgbClr val="F6D48C"/>
              </a:solidFill>
              <a:ln>
                <a:noFill/>
                <a:prstDash val="solid"/>
              </a:ln>
            </spPr>
          </dPt>
          <dPt>
            <idx val="48"/>
            <invertIfNegative val="0"/>
            <spPr>
              <a:solidFill>
                <a:srgbClr val="F6D48C"/>
              </a:solidFill>
              <a:ln>
                <a:noFill/>
                <a:prstDash val="solid"/>
              </a:ln>
            </spPr>
          </dPt>
          <dPt>
            <idx val="49"/>
            <invertIfNegative val="0"/>
            <spPr>
              <a:solidFill>
                <a:srgbClr val="F6D48C"/>
              </a:solidFill>
              <a:ln>
                <a:noFill/>
                <a:prstDash val="solid"/>
              </a:ln>
            </spPr>
          </dPt>
          <dPt>
            <idx val="50"/>
            <invertIfNegative val="0"/>
            <spPr>
              <a:solidFill>
                <a:srgbClr val="F6D48C"/>
              </a:solidFill>
              <a:ln>
                <a:noFill/>
                <a:prstDash val="solid"/>
              </a:ln>
            </spPr>
          </dPt>
          <dPt>
            <idx val="51"/>
            <invertIfNegative val="0"/>
            <spPr>
              <a:solidFill>
                <a:srgbClr val="F6D48C"/>
              </a:solidFill>
              <a:ln>
                <a:noFill/>
                <a:prstDash val="solid"/>
              </a:ln>
            </spPr>
          </dPt>
          <dPt>
            <idx val="52"/>
            <invertIfNegative val="0"/>
            <spPr>
              <a:solidFill>
                <a:srgbClr val="F6D48C"/>
              </a:solidFill>
              <a:ln>
                <a:noFill/>
                <a:prstDash val="solid"/>
              </a:ln>
            </spPr>
          </dPt>
          <dPt>
            <idx val="53"/>
            <invertIfNegative val="0"/>
            <spPr>
              <a:solidFill>
                <a:srgbClr val="F6D48C"/>
              </a:solidFill>
              <a:ln>
                <a:noFill/>
                <a:prstDash val="solid"/>
              </a:ln>
            </spPr>
          </dPt>
          <dPt>
            <idx val="54"/>
            <invertIfNegative val="0"/>
            <spPr>
              <a:solidFill>
                <a:srgbClr val="F6D48C"/>
              </a:solidFill>
              <a:ln>
                <a:noFill/>
                <a:prstDash val="solid"/>
              </a:ln>
            </spPr>
          </dPt>
          <dPt>
            <idx val="55"/>
            <invertIfNegative val="0"/>
            <spPr>
              <a:solidFill>
                <a:srgbClr val="F6D48C"/>
              </a:solidFill>
              <a:ln>
                <a:noFill/>
                <a:prstDash val="solid"/>
              </a:ln>
            </spPr>
          </dPt>
          <dPt>
            <idx val="56"/>
            <invertIfNegative val="0"/>
            <spPr>
              <a:solidFill>
                <a:srgbClr val="F6D48C"/>
              </a:solidFill>
              <a:ln>
                <a:noFill/>
                <a:prstDash val="solid"/>
              </a:ln>
            </spPr>
          </dPt>
          <dPt>
            <idx val="57"/>
            <invertIfNegative val="0"/>
            <spPr>
              <a:solidFill>
                <a:srgbClr val="F6D48C"/>
              </a:solidFill>
              <a:ln>
                <a:noFill/>
                <a:prstDash val="solid"/>
              </a:ln>
            </spPr>
          </dPt>
          <dPt>
            <idx val="58"/>
            <invertIfNegative val="0"/>
            <spPr>
              <a:solidFill>
                <a:srgbClr val="F6D48C"/>
              </a:solidFill>
              <a:ln>
                <a:noFill/>
                <a:prstDash val="solid"/>
              </a:ln>
            </spPr>
          </dPt>
          <dPt>
            <idx val="59"/>
            <invertIfNegative val="0"/>
            <spPr>
              <a:solidFill>
                <a:srgbClr val="F6D48C"/>
              </a:solidFill>
              <a:ln>
                <a:noFill/>
                <a:prstDash val="solid"/>
              </a:ln>
            </spPr>
          </dPt>
          <dPt>
            <idx val="60"/>
            <invertIfNegative val="0"/>
            <spPr>
              <a:solidFill>
                <a:srgbClr val="FBECCC"/>
              </a:solidFill>
              <a:ln>
                <a:noFill/>
                <a:prstDash val="solid"/>
              </a:ln>
            </spPr>
          </dPt>
          <dPt>
            <idx val="61"/>
            <invertIfNegative val="0"/>
            <spPr>
              <a:solidFill>
                <a:srgbClr val="FBECCC"/>
              </a:solidFill>
              <a:ln>
                <a:noFill/>
                <a:prstDash val="solid"/>
              </a:ln>
            </spPr>
          </dPt>
          <dPt>
            <idx val="62"/>
            <invertIfNegative val="0"/>
            <spPr>
              <a:solidFill>
                <a:srgbClr val="FBECCC"/>
              </a:solidFill>
              <a:ln>
                <a:noFill/>
                <a:prstDash val="solid"/>
              </a:ln>
            </spPr>
          </dPt>
          <dPt>
            <idx val="63"/>
            <invertIfNegative val="0"/>
            <spPr>
              <a:solidFill>
                <a:srgbClr val="FBECCC"/>
              </a:solidFill>
              <a:ln>
                <a:noFill/>
                <a:prstDash val="solid"/>
              </a:ln>
            </spPr>
          </dPt>
          <dPt>
            <idx val="64"/>
            <invertIfNegative val="0"/>
            <spPr>
              <a:solidFill>
                <a:srgbClr val="FBECCC"/>
              </a:solidFill>
              <a:ln>
                <a:noFill/>
                <a:prstDash val="solid"/>
              </a:ln>
            </spPr>
          </dPt>
          <dPt>
            <idx val="65"/>
            <invertIfNegative val="0"/>
            <spPr>
              <a:solidFill>
                <a:srgbClr val="FBECCC"/>
              </a:solidFill>
              <a:ln>
                <a:noFill/>
                <a:prstDash val="solid"/>
              </a:ln>
            </spPr>
          </dPt>
          <dPt>
            <idx val="66"/>
            <invertIfNegative val="0"/>
            <spPr>
              <a:solidFill>
                <a:srgbClr val="FBECCC"/>
              </a:solidFill>
              <a:ln>
                <a:noFill/>
                <a:prstDash val="solid"/>
              </a:ln>
            </spPr>
          </dPt>
          <dPt>
            <idx val="67"/>
            <invertIfNegative val="0"/>
            <spPr>
              <a:solidFill>
                <a:srgbClr val="FBECCC"/>
              </a:solidFill>
              <a:ln>
                <a:noFill/>
                <a:prstDash val="solid"/>
              </a:ln>
            </spPr>
          </dPt>
          <dPt>
            <idx val="68"/>
            <invertIfNegative val="0"/>
            <spPr>
              <a:solidFill>
                <a:srgbClr val="FBECCC"/>
              </a:solidFill>
              <a:ln>
                <a:noFill/>
                <a:prstDash val="solid"/>
              </a:ln>
            </spPr>
          </dPt>
          <dPt>
            <idx val="69"/>
            <invertIfNegative val="0"/>
            <spPr>
              <a:solidFill>
                <a:srgbClr val="FBECCC"/>
              </a:solidFill>
              <a:ln>
                <a:noFill/>
                <a:prstDash val="solid"/>
              </a:ln>
            </spPr>
          </dPt>
          <dPt>
            <idx val="70"/>
            <invertIfNegative val="0"/>
            <spPr>
              <a:solidFill>
                <a:srgbClr val="FBECCC"/>
              </a:solidFill>
              <a:ln>
                <a:noFill/>
                <a:prstDash val="solid"/>
              </a:ln>
            </spPr>
          </dPt>
          <dPt>
            <idx val="71"/>
            <invertIfNegative val="0"/>
            <spPr>
              <a:solidFill>
                <a:srgbClr val="FBECCC"/>
              </a:solidFill>
              <a:ln>
                <a:noFill/>
                <a:prstDash val="solid"/>
              </a:ln>
            </spPr>
          </dPt>
          <dPt>
            <idx val="72"/>
            <invertIfNegative val="0"/>
            <spPr>
              <a:solidFill>
                <a:srgbClr val="FBECCC"/>
              </a:solidFill>
              <a:ln>
                <a:noFill/>
                <a:prstDash val="solid"/>
              </a:ln>
            </spPr>
          </dPt>
          <dPt>
            <idx val="73"/>
            <invertIfNegative val="0"/>
            <spPr>
              <a:solidFill>
                <a:srgbClr val="FBECCC"/>
              </a:solidFill>
              <a:ln>
                <a:noFill/>
                <a:prstDash val="solid"/>
              </a:ln>
            </spPr>
          </dPt>
          <dPt>
            <idx val="74"/>
            <invertIfNegative val="0"/>
            <spPr>
              <a:solidFill>
                <a:srgbClr val="FBECCC"/>
              </a:solidFill>
              <a:ln>
                <a:noFill/>
                <a:prstDash val="solid"/>
              </a:ln>
            </spPr>
          </dPt>
          <dPt>
            <idx val="75"/>
            <invertIfNegative val="0"/>
            <spPr>
              <a:solidFill>
                <a:srgbClr val="FBECCC"/>
              </a:solidFill>
              <a:ln>
                <a:noFill/>
                <a:prstDash val="solid"/>
              </a:ln>
            </spPr>
          </dPt>
          <dPt>
            <idx val="76"/>
            <invertIfNegative val="0"/>
            <spPr>
              <a:solidFill>
                <a:srgbClr val="FBECCC"/>
              </a:solidFill>
              <a:ln>
                <a:noFill/>
                <a:prstDash val="solid"/>
              </a:ln>
            </spPr>
          </dPt>
          <dPt>
            <idx val="77"/>
            <invertIfNegative val="0"/>
            <spPr>
              <a:solidFill>
                <a:srgbClr val="FBECCC"/>
              </a:solidFill>
              <a:ln>
                <a:noFill/>
                <a:prstDash val="solid"/>
              </a:ln>
            </spPr>
          </dPt>
          <dPt>
            <idx val="78"/>
            <invertIfNegative val="0"/>
            <spPr>
              <a:solidFill>
                <a:srgbClr val="FBECCC"/>
              </a:solidFill>
              <a:ln>
                <a:noFill/>
                <a:prstDash val="solid"/>
              </a:ln>
            </spPr>
          </dPt>
          <dPt>
            <idx val="79"/>
            <invertIfNegative val="0"/>
            <spPr>
              <a:solidFill>
                <a:srgbClr val="FBECCC"/>
              </a:solidFill>
              <a:ln>
                <a:noFill/>
                <a:prstDash val="solid"/>
              </a:ln>
            </spPr>
          </dPt>
          <dPt>
            <idx val="80"/>
            <invertIfNegative val="0"/>
            <spPr>
              <a:solidFill>
                <a:srgbClr val="FBECCC"/>
              </a:solidFill>
              <a:ln>
                <a:noFill/>
                <a:prstDash val="solid"/>
              </a:ln>
            </spPr>
          </dPt>
          <dPt>
            <idx val="81"/>
            <invertIfNegative val="0"/>
            <spPr>
              <a:solidFill>
                <a:srgbClr val="FBECCC"/>
              </a:solidFill>
              <a:ln>
                <a:noFill/>
                <a:prstDash val="solid"/>
              </a:ln>
            </spPr>
          </dPt>
          <dPt>
            <idx val="82"/>
            <invertIfNegative val="0"/>
            <spPr>
              <a:solidFill>
                <a:srgbClr val="FBECCC"/>
              </a:solidFill>
              <a:ln>
                <a:noFill/>
                <a:prstDash val="solid"/>
              </a:ln>
            </spPr>
          </dPt>
          <dPt>
            <idx val="83"/>
            <invertIfNegative val="0"/>
            <spPr>
              <a:solidFill>
                <a:srgbClr val="FBECCC"/>
              </a:solidFill>
              <a:ln>
                <a:noFill/>
                <a:prstDash val="solid"/>
              </a:ln>
            </spPr>
          </dPt>
          <dPt>
            <idx val="84"/>
            <invertIfNegative val="0"/>
            <spPr>
              <a:solidFill>
                <a:srgbClr val="FBECCC"/>
              </a:solidFill>
              <a:ln>
                <a:noFill/>
                <a:prstDash val="solid"/>
              </a:ln>
            </spPr>
          </dPt>
          <dPt>
            <idx val="85"/>
            <invertIfNegative val="0"/>
            <spPr>
              <a:solidFill>
                <a:srgbClr val="FBECCC"/>
              </a:solidFill>
              <a:ln>
                <a:noFill/>
                <a:prstDash val="solid"/>
              </a:ln>
            </spPr>
          </dPt>
          <dPt>
            <idx val="86"/>
            <invertIfNegative val="0"/>
            <spPr>
              <a:solidFill>
                <a:srgbClr val="FBECCC"/>
              </a:solidFill>
              <a:ln>
                <a:noFill/>
                <a:prstDash val="solid"/>
              </a:ln>
            </spPr>
          </dPt>
          <dPt>
            <idx val="87"/>
            <invertIfNegative val="0"/>
            <spPr>
              <a:solidFill>
                <a:srgbClr val="FBECCC"/>
              </a:solidFill>
              <a:ln>
                <a:noFill/>
                <a:prstDash val="solid"/>
              </a:ln>
            </spPr>
          </dPt>
          <dPt>
            <idx val="88"/>
            <invertIfNegative val="0"/>
            <spPr>
              <a:solidFill>
                <a:srgbClr val="FBECCC"/>
              </a:solidFill>
              <a:ln>
                <a:noFill/>
                <a:prstDash val="solid"/>
              </a:ln>
            </spPr>
          </dPt>
          <dPt>
            <idx val="89"/>
            <invertIfNegative val="0"/>
            <spPr>
              <a:solidFill>
                <a:srgbClr val="FBECCC"/>
              </a:solidFill>
              <a:ln>
                <a:noFill/>
                <a:prstDash val="solid"/>
              </a:ln>
            </spPr>
          </dPt>
          <dPt>
            <idx val="90"/>
            <invertIfNegative val="0"/>
            <spPr>
              <a:solidFill>
                <a:srgbClr val="FBECCC"/>
              </a:solidFill>
              <a:ln>
                <a:noFill/>
                <a:prstDash val="solid"/>
              </a:ln>
            </spPr>
          </dPt>
          <dPt>
            <idx val="91"/>
            <invertIfNegative val="0"/>
            <spPr>
              <a:solidFill>
                <a:srgbClr val="FBECCC"/>
              </a:solidFill>
              <a:ln>
                <a:noFill/>
                <a:prstDash val="solid"/>
              </a:ln>
            </spPr>
          </dPt>
          <dPt>
            <idx val="92"/>
            <invertIfNegative val="0"/>
            <spPr>
              <a:solidFill>
                <a:srgbClr val="FBECCC"/>
              </a:solidFill>
              <a:ln>
                <a:noFill/>
                <a:prstDash val="solid"/>
              </a:ln>
            </spPr>
          </dPt>
          <dPt>
            <idx val="93"/>
            <invertIfNegative val="0"/>
            <spPr>
              <a:solidFill>
                <a:srgbClr val="FBECCC"/>
              </a:solidFill>
              <a:ln>
                <a:noFill/>
                <a:prstDash val="solid"/>
              </a:ln>
            </spPr>
          </dPt>
          <dPt>
            <idx val="94"/>
            <invertIfNegative val="0"/>
            <spPr>
              <a:solidFill>
                <a:srgbClr val="FBECCC"/>
              </a:solidFill>
              <a:ln>
                <a:noFill/>
                <a:prstDash val="solid"/>
              </a:ln>
            </spPr>
          </dPt>
          <dPt>
            <idx val="95"/>
            <invertIfNegative val="0"/>
            <spPr>
              <a:solidFill>
                <a:srgbClr val="FBECCC"/>
              </a:solidFill>
              <a:ln>
                <a:noFill/>
                <a:prstDash val="solid"/>
              </a:ln>
            </spPr>
          </dPt>
          <dPt>
            <idx val="96"/>
            <invertIfNegative val="0"/>
            <spPr>
              <a:solidFill>
                <a:srgbClr val="FBECCC"/>
              </a:solidFill>
              <a:ln>
                <a:noFill/>
                <a:prstDash val="solid"/>
              </a:ln>
            </spPr>
          </dPt>
          <dPt>
            <idx val="97"/>
            <invertIfNegative val="0"/>
            <spPr>
              <a:solidFill>
                <a:srgbClr val="FBECCC"/>
              </a:solidFill>
              <a:ln>
                <a:noFill/>
                <a:prstDash val="solid"/>
              </a:ln>
            </spPr>
          </dPt>
          <dPt>
            <idx val="98"/>
            <invertIfNegative val="0"/>
            <spPr>
              <a:solidFill>
                <a:srgbClr val="FBECCC"/>
              </a:solidFill>
              <a:ln>
                <a:noFill/>
                <a:prstDash val="solid"/>
              </a:ln>
            </spPr>
          </dPt>
          <dPt>
            <idx val="99"/>
            <invertIfNegative val="0"/>
            <spPr>
              <a:solidFill>
                <a:srgbClr val="FBECCC"/>
              </a:solidFill>
              <a:ln>
                <a:noFill/>
                <a:prstDash val="solid"/>
              </a:ln>
            </spPr>
          </dPt>
          <dPt>
            <idx val="100"/>
            <invertIfNegative val="0"/>
            <spPr>
              <a:solidFill>
                <a:srgbClr val="FBECCC"/>
              </a:solidFill>
              <a:ln>
                <a:noFill/>
                <a:prstDash val="solid"/>
              </a:ln>
            </spPr>
          </dPt>
          <dPt>
            <idx val="101"/>
            <invertIfNegative val="0"/>
            <spPr>
              <a:solidFill>
                <a:srgbClr val="FBECCC"/>
              </a:solidFill>
              <a:ln>
                <a:noFill/>
                <a:prstDash val="solid"/>
              </a:ln>
            </spPr>
          </dPt>
          <dPt>
            <idx val="102"/>
            <invertIfNegative val="0"/>
            <spPr>
              <a:solidFill>
                <a:srgbClr val="FBECCC"/>
              </a:solidFill>
              <a:ln>
                <a:noFill/>
                <a:prstDash val="solid"/>
              </a:ln>
            </spPr>
          </dPt>
          <dPt>
            <idx val="103"/>
            <invertIfNegative val="0"/>
            <spPr>
              <a:solidFill>
                <a:srgbClr val="FBECCC"/>
              </a:solidFill>
              <a:ln>
                <a:noFill/>
                <a:prstDash val="solid"/>
              </a:ln>
            </spPr>
          </dPt>
          <dPt>
            <idx val="104"/>
            <invertIfNegative val="0"/>
            <spPr>
              <a:solidFill>
                <a:srgbClr val="FBECCC"/>
              </a:solidFill>
              <a:ln>
                <a:noFill/>
                <a:prstDash val="solid"/>
              </a:ln>
            </spPr>
          </dPt>
          <dPt>
            <idx val="105"/>
            <invertIfNegative val="0"/>
            <spPr>
              <a:solidFill>
                <a:srgbClr val="FBECCC"/>
              </a:solidFill>
              <a:ln>
                <a:noFill/>
                <a:prstDash val="solid"/>
              </a:ln>
            </spPr>
          </dPt>
          <dPt>
            <idx val="106"/>
            <invertIfNegative val="0"/>
            <spPr>
              <a:solidFill>
                <a:srgbClr val="FBECCC"/>
              </a:solidFill>
              <a:ln>
                <a:noFill/>
                <a:prstDash val="solid"/>
              </a:ln>
            </spPr>
          </dPt>
          <dPt>
            <idx val="107"/>
            <invertIfNegative val="0"/>
            <spPr>
              <a:solidFill>
                <a:srgbClr val="FBECCC"/>
              </a:solidFill>
              <a:ln>
                <a:noFill/>
                <a:prstDash val="solid"/>
              </a:ln>
            </spPr>
          </dPt>
          <dPt>
            <idx val="108"/>
            <invertIfNegative val="0"/>
            <spPr>
              <a:solidFill>
                <a:srgbClr val="FBECCC"/>
              </a:solidFill>
              <a:ln>
                <a:noFill/>
                <a:prstDash val="solid"/>
              </a:ln>
            </spPr>
          </dPt>
          <dPt>
            <idx val="109"/>
            <invertIfNegative val="0"/>
            <spPr>
              <a:solidFill>
                <a:srgbClr val="FBECCC"/>
              </a:solidFill>
              <a:ln>
                <a:noFill/>
                <a:prstDash val="solid"/>
              </a:ln>
            </spPr>
          </dPt>
          <dPt>
            <idx val="110"/>
            <invertIfNegative val="0"/>
            <spPr>
              <a:solidFill>
                <a:srgbClr val="FBECCC"/>
              </a:solidFill>
              <a:ln>
                <a:noFill/>
                <a:prstDash val="solid"/>
              </a:ln>
            </spPr>
          </dPt>
          <dPt>
            <idx val="111"/>
            <invertIfNegative val="0"/>
            <spPr>
              <a:solidFill>
                <a:srgbClr val="FBECCC"/>
              </a:solidFill>
              <a:ln>
                <a:noFill/>
                <a:prstDash val="solid"/>
              </a:ln>
            </spPr>
          </dPt>
          <dPt>
            <idx val="112"/>
            <invertIfNegative val="0"/>
            <spPr>
              <a:solidFill>
                <a:srgbClr val="FBECCC"/>
              </a:solidFill>
              <a:ln>
                <a:noFill/>
                <a:prstDash val="solid"/>
              </a:ln>
            </spPr>
          </dPt>
          <dPt>
            <idx val="113"/>
            <invertIfNegative val="0"/>
            <spPr>
              <a:solidFill>
                <a:srgbClr val="FBECCC"/>
              </a:solidFill>
              <a:ln>
                <a:noFill/>
                <a:prstDash val="solid"/>
              </a:ln>
            </spPr>
          </dPt>
          <dPt>
            <idx val="114"/>
            <invertIfNegative val="0"/>
            <spPr>
              <a:solidFill>
                <a:srgbClr val="FBECCC"/>
              </a:solidFill>
              <a:ln>
                <a:noFill/>
                <a:prstDash val="solid"/>
              </a:ln>
            </spPr>
          </dPt>
          <dPt>
            <idx val="115"/>
            <invertIfNegative val="0"/>
            <spPr>
              <a:solidFill>
                <a:srgbClr val="FBECCC"/>
              </a:solidFill>
              <a:ln>
                <a:noFill/>
                <a:prstDash val="solid"/>
              </a:ln>
            </spPr>
          </dPt>
          <dPt>
            <idx val="116"/>
            <invertIfNegative val="0"/>
            <spPr>
              <a:solidFill>
                <a:srgbClr val="FBECCC"/>
              </a:solidFill>
              <a:ln>
                <a:noFill/>
                <a:prstDash val="solid"/>
              </a:ln>
            </spPr>
          </dPt>
          <dPt>
            <idx val="117"/>
            <invertIfNegative val="0"/>
            <spPr>
              <a:solidFill>
                <a:srgbClr val="FBECCC"/>
              </a:solidFill>
              <a:ln>
                <a:noFill/>
                <a:prstDash val="solid"/>
              </a:ln>
            </spPr>
          </dPt>
          <dPt>
            <idx val="118"/>
            <invertIfNegative val="0"/>
            <spPr>
              <a:solidFill>
                <a:srgbClr val="FBECCC"/>
              </a:solidFill>
              <a:ln>
                <a:noFill/>
                <a:prstDash val="solid"/>
              </a:ln>
            </spPr>
          </dPt>
          <dPt>
            <idx val="119"/>
            <invertIfNegative val="0"/>
            <spPr>
              <a:solidFill>
                <a:srgbClr val="FBECCC"/>
              </a:solidFill>
              <a:ln>
                <a:noFill/>
                <a:prstDash val="solid"/>
              </a:ln>
            </spPr>
          </dPt>
          <cat>
            <numRef>
              <f>'Chart - Demand to 2033'!$A$2:$A$121</f>
            </numRef>
          </cat>
          <val>
            <numRef>
              <f>'Chart - Demand to 2033'!$E$2:$E$121</f>
            </numRef>
          </val>
        </ser>
        <ser>
          <idx val="4"/>
          <order val="4"/>
          <tx>
            <strRef>
              <f>'Chart - Demand to 2033'!F1</f>
            </strRef>
          </tx>
          <spPr>
            <a:solidFill>
              <a:srgbClr val="E87BA4"/>
            </a:solidFill>
            <a:ln>
              <a:noFill/>
              <a:prstDash val="solid"/>
            </a:ln>
          </spPr>
          <dPt>
            <idx val="31"/>
            <invertIfNegative val="0"/>
            <spPr>
              <a:solidFill>
                <a:srgbClr val="F4C3D6"/>
              </a:solidFill>
              <a:ln>
                <a:noFill/>
                <a:prstDash val="solid"/>
              </a:ln>
            </spPr>
          </dPt>
          <dPt>
            <idx val="32"/>
            <invertIfNegative val="0"/>
            <spPr>
              <a:solidFill>
                <a:srgbClr val="F4C3D6"/>
              </a:solidFill>
              <a:ln>
                <a:noFill/>
                <a:prstDash val="solid"/>
              </a:ln>
            </spPr>
          </dPt>
          <dPt>
            <idx val="33"/>
            <invertIfNegative val="0"/>
            <spPr>
              <a:solidFill>
                <a:srgbClr val="F4C3D6"/>
              </a:solidFill>
              <a:ln>
                <a:noFill/>
                <a:prstDash val="solid"/>
              </a:ln>
            </spPr>
          </dPt>
          <dPt>
            <idx val="34"/>
            <invertIfNegative val="0"/>
            <spPr>
              <a:solidFill>
                <a:srgbClr val="F4C3D6"/>
              </a:solidFill>
              <a:ln>
                <a:noFill/>
                <a:prstDash val="solid"/>
              </a:ln>
            </spPr>
          </dPt>
          <dPt>
            <idx val="35"/>
            <invertIfNegative val="0"/>
            <spPr>
              <a:solidFill>
                <a:srgbClr val="F4C3D6"/>
              </a:solidFill>
              <a:ln>
                <a:noFill/>
                <a:prstDash val="solid"/>
              </a:ln>
            </spPr>
          </dPt>
          <dPt>
            <idx val="36"/>
            <invertIfNegative val="0"/>
            <spPr>
              <a:solidFill>
                <a:srgbClr val="F4C3D6"/>
              </a:solidFill>
              <a:ln>
                <a:noFill/>
                <a:prstDash val="solid"/>
              </a:ln>
            </spPr>
          </dPt>
          <dPt>
            <idx val="37"/>
            <invertIfNegative val="0"/>
            <spPr>
              <a:solidFill>
                <a:srgbClr val="F4C3D6"/>
              </a:solidFill>
              <a:ln>
                <a:noFill/>
                <a:prstDash val="solid"/>
              </a:ln>
            </spPr>
          </dPt>
          <dPt>
            <idx val="38"/>
            <invertIfNegative val="0"/>
            <spPr>
              <a:solidFill>
                <a:srgbClr val="F4C3D6"/>
              </a:solidFill>
              <a:ln>
                <a:noFill/>
                <a:prstDash val="solid"/>
              </a:ln>
            </spPr>
          </dPt>
          <dPt>
            <idx val="39"/>
            <invertIfNegative val="0"/>
            <spPr>
              <a:solidFill>
                <a:srgbClr val="F4C3D6"/>
              </a:solidFill>
              <a:ln>
                <a:noFill/>
                <a:prstDash val="solid"/>
              </a:ln>
            </spPr>
          </dPt>
          <dPt>
            <idx val="40"/>
            <invertIfNegative val="0"/>
            <spPr>
              <a:solidFill>
                <a:srgbClr val="F4C3D6"/>
              </a:solidFill>
              <a:ln>
                <a:noFill/>
                <a:prstDash val="solid"/>
              </a:ln>
            </spPr>
          </dPt>
          <dPt>
            <idx val="41"/>
            <invertIfNegative val="0"/>
            <spPr>
              <a:solidFill>
                <a:srgbClr val="F4C3D6"/>
              </a:solidFill>
              <a:ln>
                <a:noFill/>
                <a:prstDash val="solid"/>
              </a:ln>
            </spPr>
          </dPt>
          <dPt>
            <idx val="42"/>
            <invertIfNegative val="0"/>
            <spPr>
              <a:solidFill>
                <a:srgbClr val="F4C3D6"/>
              </a:solidFill>
              <a:ln>
                <a:noFill/>
                <a:prstDash val="solid"/>
              </a:ln>
            </spPr>
          </dPt>
          <dPt>
            <idx val="43"/>
            <invertIfNegative val="0"/>
            <spPr>
              <a:solidFill>
                <a:srgbClr val="F4C3D6"/>
              </a:solidFill>
              <a:ln>
                <a:noFill/>
                <a:prstDash val="solid"/>
              </a:ln>
            </spPr>
          </dPt>
          <dPt>
            <idx val="44"/>
            <invertIfNegative val="0"/>
            <spPr>
              <a:solidFill>
                <a:srgbClr val="F4C3D6"/>
              </a:solidFill>
              <a:ln>
                <a:noFill/>
                <a:prstDash val="solid"/>
              </a:ln>
            </spPr>
          </dPt>
          <dPt>
            <idx val="45"/>
            <invertIfNegative val="0"/>
            <spPr>
              <a:solidFill>
                <a:srgbClr val="F4C3D6"/>
              </a:solidFill>
              <a:ln>
                <a:noFill/>
                <a:prstDash val="solid"/>
              </a:ln>
            </spPr>
          </dPt>
          <dPt>
            <idx val="46"/>
            <invertIfNegative val="0"/>
            <spPr>
              <a:solidFill>
                <a:srgbClr val="F4C3D6"/>
              </a:solidFill>
              <a:ln>
                <a:noFill/>
                <a:prstDash val="solid"/>
              </a:ln>
            </spPr>
          </dPt>
          <dPt>
            <idx val="47"/>
            <invertIfNegative val="0"/>
            <spPr>
              <a:solidFill>
                <a:srgbClr val="F4C3D6"/>
              </a:solidFill>
              <a:ln>
                <a:noFill/>
                <a:prstDash val="solid"/>
              </a:ln>
            </spPr>
          </dPt>
          <dPt>
            <idx val="48"/>
            <invertIfNegative val="0"/>
            <spPr>
              <a:solidFill>
                <a:srgbClr val="F4C3D6"/>
              </a:solidFill>
              <a:ln>
                <a:noFill/>
                <a:prstDash val="solid"/>
              </a:ln>
            </spPr>
          </dPt>
          <dPt>
            <idx val="49"/>
            <invertIfNegative val="0"/>
            <spPr>
              <a:solidFill>
                <a:srgbClr val="F4C3D6"/>
              </a:solidFill>
              <a:ln>
                <a:noFill/>
                <a:prstDash val="solid"/>
              </a:ln>
            </spPr>
          </dPt>
          <dPt>
            <idx val="50"/>
            <invertIfNegative val="0"/>
            <spPr>
              <a:solidFill>
                <a:srgbClr val="F4C3D6"/>
              </a:solidFill>
              <a:ln>
                <a:noFill/>
                <a:prstDash val="solid"/>
              </a:ln>
            </spPr>
          </dPt>
          <dPt>
            <idx val="51"/>
            <invertIfNegative val="0"/>
            <spPr>
              <a:solidFill>
                <a:srgbClr val="F4C3D6"/>
              </a:solidFill>
              <a:ln>
                <a:noFill/>
                <a:prstDash val="solid"/>
              </a:ln>
            </spPr>
          </dPt>
          <dPt>
            <idx val="52"/>
            <invertIfNegative val="0"/>
            <spPr>
              <a:solidFill>
                <a:srgbClr val="F4C3D6"/>
              </a:solidFill>
              <a:ln>
                <a:noFill/>
                <a:prstDash val="solid"/>
              </a:ln>
            </spPr>
          </dPt>
          <dPt>
            <idx val="53"/>
            <invertIfNegative val="0"/>
            <spPr>
              <a:solidFill>
                <a:srgbClr val="F4C3D6"/>
              </a:solidFill>
              <a:ln>
                <a:noFill/>
                <a:prstDash val="solid"/>
              </a:ln>
            </spPr>
          </dPt>
          <dPt>
            <idx val="54"/>
            <invertIfNegative val="0"/>
            <spPr>
              <a:solidFill>
                <a:srgbClr val="F4C3D6"/>
              </a:solidFill>
              <a:ln>
                <a:noFill/>
                <a:prstDash val="solid"/>
              </a:ln>
            </spPr>
          </dPt>
          <dPt>
            <idx val="55"/>
            <invertIfNegative val="0"/>
            <spPr>
              <a:solidFill>
                <a:srgbClr val="F4C3D6"/>
              </a:solidFill>
              <a:ln>
                <a:noFill/>
                <a:prstDash val="solid"/>
              </a:ln>
            </spPr>
          </dPt>
          <dPt>
            <idx val="56"/>
            <invertIfNegative val="0"/>
            <spPr>
              <a:solidFill>
                <a:srgbClr val="F4C3D6"/>
              </a:solidFill>
              <a:ln>
                <a:noFill/>
                <a:prstDash val="solid"/>
              </a:ln>
            </spPr>
          </dPt>
          <dPt>
            <idx val="57"/>
            <invertIfNegative val="0"/>
            <spPr>
              <a:solidFill>
                <a:srgbClr val="F4C3D6"/>
              </a:solidFill>
              <a:ln>
                <a:noFill/>
                <a:prstDash val="solid"/>
              </a:ln>
            </spPr>
          </dPt>
          <dPt>
            <idx val="58"/>
            <invertIfNegative val="0"/>
            <spPr>
              <a:solidFill>
                <a:srgbClr val="F4C3D6"/>
              </a:solidFill>
              <a:ln>
                <a:noFill/>
                <a:prstDash val="solid"/>
              </a:ln>
            </spPr>
          </dPt>
          <dPt>
            <idx val="59"/>
            <invertIfNegative val="0"/>
            <spPr>
              <a:solidFill>
                <a:srgbClr val="F4C3D6"/>
              </a:solidFill>
              <a:ln>
                <a:noFill/>
                <a:prstDash val="solid"/>
              </a:ln>
            </spPr>
          </dPt>
          <dPt>
            <idx val="60"/>
            <invertIfNegative val="0"/>
            <spPr>
              <a:solidFill>
                <a:srgbClr val="FAE4EC"/>
              </a:solidFill>
              <a:ln>
                <a:noFill/>
                <a:prstDash val="solid"/>
              </a:ln>
            </spPr>
          </dPt>
          <dPt>
            <idx val="61"/>
            <invertIfNegative val="0"/>
            <spPr>
              <a:solidFill>
                <a:srgbClr val="FAE4EC"/>
              </a:solidFill>
              <a:ln>
                <a:noFill/>
                <a:prstDash val="solid"/>
              </a:ln>
            </spPr>
          </dPt>
          <dPt>
            <idx val="62"/>
            <invertIfNegative val="0"/>
            <spPr>
              <a:solidFill>
                <a:srgbClr val="FAE4EC"/>
              </a:solidFill>
              <a:ln>
                <a:noFill/>
                <a:prstDash val="solid"/>
              </a:ln>
            </spPr>
          </dPt>
          <dPt>
            <idx val="63"/>
            <invertIfNegative val="0"/>
            <spPr>
              <a:solidFill>
                <a:srgbClr val="FAE4EC"/>
              </a:solidFill>
              <a:ln>
                <a:noFill/>
                <a:prstDash val="solid"/>
              </a:ln>
            </spPr>
          </dPt>
          <dPt>
            <idx val="64"/>
            <invertIfNegative val="0"/>
            <spPr>
              <a:solidFill>
                <a:srgbClr val="FAE4EC"/>
              </a:solidFill>
              <a:ln>
                <a:noFill/>
                <a:prstDash val="solid"/>
              </a:ln>
            </spPr>
          </dPt>
          <dPt>
            <idx val="65"/>
            <invertIfNegative val="0"/>
            <spPr>
              <a:solidFill>
                <a:srgbClr val="FAE4EC"/>
              </a:solidFill>
              <a:ln>
                <a:noFill/>
                <a:prstDash val="solid"/>
              </a:ln>
            </spPr>
          </dPt>
          <dPt>
            <idx val="66"/>
            <invertIfNegative val="0"/>
            <spPr>
              <a:solidFill>
                <a:srgbClr val="FAE4EC"/>
              </a:solidFill>
              <a:ln>
                <a:noFill/>
                <a:prstDash val="solid"/>
              </a:ln>
            </spPr>
          </dPt>
          <dPt>
            <idx val="67"/>
            <invertIfNegative val="0"/>
            <spPr>
              <a:solidFill>
                <a:srgbClr val="FAE4EC"/>
              </a:solidFill>
              <a:ln>
                <a:noFill/>
                <a:prstDash val="solid"/>
              </a:ln>
            </spPr>
          </dPt>
          <dPt>
            <idx val="68"/>
            <invertIfNegative val="0"/>
            <spPr>
              <a:solidFill>
                <a:srgbClr val="FAE4EC"/>
              </a:solidFill>
              <a:ln>
                <a:noFill/>
                <a:prstDash val="solid"/>
              </a:ln>
            </spPr>
          </dPt>
          <dPt>
            <idx val="69"/>
            <invertIfNegative val="0"/>
            <spPr>
              <a:solidFill>
                <a:srgbClr val="FAE4EC"/>
              </a:solidFill>
              <a:ln>
                <a:noFill/>
                <a:prstDash val="solid"/>
              </a:ln>
            </spPr>
          </dPt>
          <dPt>
            <idx val="70"/>
            <invertIfNegative val="0"/>
            <spPr>
              <a:solidFill>
                <a:srgbClr val="FAE4EC"/>
              </a:solidFill>
              <a:ln>
                <a:noFill/>
                <a:prstDash val="solid"/>
              </a:ln>
            </spPr>
          </dPt>
          <dPt>
            <idx val="71"/>
            <invertIfNegative val="0"/>
            <spPr>
              <a:solidFill>
                <a:srgbClr val="FAE4EC"/>
              </a:solidFill>
              <a:ln>
                <a:noFill/>
                <a:prstDash val="solid"/>
              </a:ln>
            </spPr>
          </dPt>
          <dPt>
            <idx val="72"/>
            <invertIfNegative val="0"/>
            <spPr>
              <a:solidFill>
                <a:srgbClr val="FAE4EC"/>
              </a:solidFill>
              <a:ln>
                <a:noFill/>
                <a:prstDash val="solid"/>
              </a:ln>
            </spPr>
          </dPt>
          <dPt>
            <idx val="73"/>
            <invertIfNegative val="0"/>
            <spPr>
              <a:solidFill>
                <a:srgbClr val="FAE4EC"/>
              </a:solidFill>
              <a:ln>
                <a:noFill/>
                <a:prstDash val="solid"/>
              </a:ln>
            </spPr>
          </dPt>
          <dPt>
            <idx val="74"/>
            <invertIfNegative val="0"/>
            <spPr>
              <a:solidFill>
                <a:srgbClr val="FAE4EC"/>
              </a:solidFill>
              <a:ln>
                <a:noFill/>
                <a:prstDash val="solid"/>
              </a:ln>
            </spPr>
          </dPt>
          <dPt>
            <idx val="75"/>
            <invertIfNegative val="0"/>
            <spPr>
              <a:solidFill>
                <a:srgbClr val="FAE4EC"/>
              </a:solidFill>
              <a:ln>
                <a:noFill/>
                <a:prstDash val="solid"/>
              </a:ln>
            </spPr>
          </dPt>
          <dPt>
            <idx val="76"/>
            <invertIfNegative val="0"/>
            <spPr>
              <a:solidFill>
                <a:srgbClr val="FAE4EC"/>
              </a:solidFill>
              <a:ln>
                <a:noFill/>
                <a:prstDash val="solid"/>
              </a:ln>
            </spPr>
          </dPt>
          <dPt>
            <idx val="77"/>
            <invertIfNegative val="0"/>
            <spPr>
              <a:solidFill>
                <a:srgbClr val="FAE4EC"/>
              </a:solidFill>
              <a:ln>
                <a:noFill/>
                <a:prstDash val="solid"/>
              </a:ln>
            </spPr>
          </dPt>
          <dPt>
            <idx val="78"/>
            <invertIfNegative val="0"/>
            <spPr>
              <a:solidFill>
                <a:srgbClr val="FAE4EC"/>
              </a:solidFill>
              <a:ln>
                <a:noFill/>
                <a:prstDash val="solid"/>
              </a:ln>
            </spPr>
          </dPt>
          <dPt>
            <idx val="79"/>
            <invertIfNegative val="0"/>
            <spPr>
              <a:solidFill>
                <a:srgbClr val="FAE4EC"/>
              </a:solidFill>
              <a:ln>
                <a:noFill/>
                <a:prstDash val="solid"/>
              </a:ln>
            </spPr>
          </dPt>
          <dPt>
            <idx val="80"/>
            <invertIfNegative val="0"/>
            <spPr>
              <a:solidFill>
                <a:srgbClr val="FAE4EC"/>
              </a:solidFill>
              <a:ln>
                <a:noFill/>
                <a:prstDash val="solid"/>
              </a:ln>
            </spPr>
          </dPt>
          <dPt>
            <idx val="81"/>
            <invertIfNegative val="0"/>
            <spPr>
              <a:solidFill>
                <a:srgbClr val="FAE4EC"/>
              </a:solidFill>
              <a:ln>
                <a:noFill/>
                <a:prstDash val="solid"/>
              </a:ln>
            </spPr>
          </dPt>
          <dPt>
            <idx val="82"/>
            <invertIfNegative val="0"/>
            <spPr>
              <a:solidFill>
                <a:srgbClr val="FAE4EC"/>
              </a:solidFill>
              <a:ln>
                <a:noFill/>
                <a:prstDash val="solid"/>
              </a:ln>
            </spPr>
          </dPt>
          <dPt>
            <idx val="83"/>
            <invertIfNegative val="0"/>
            <spPr>
              <a:solidFill>
                <a:srgbClr val="FAE4EC"/>
              </a:solidFill>
              <a:ln>
                <a:noFill/>
                <a:prstDash val="solid"/>
              </a:ln>
            </spPr>
          </dPt>
          <dPt>
            <idx val="84"/>
            <invertIfNegative val="0"/>
            <spPr>
              <a:solidFill>
                <a:srgbClr val="FAE4EC"/>
              </a:solidFill>
              <a:ln>
                <a:noFill/>
                <a:prstDash val="solid"/>
              </a:ln>
            </spPr>
          </dPt>
          <dPt>
            <idx val="85"/>
            <invertIfNegative val="0"/>
            <spPr>
              <a:solidFill>
                <a:srgbClr val="FAE4EC"/>
              </a:solidFill>
              <a:ln>
                <a:noFill/>
                <a:prstDash val="solid"/>
              </a:ln>
            </spPr>
          </dPt>
          <dPt>
            <idx val="86"/>
            <invertIfNegative val="0"/>
            <spPr>
              <a:solidFill>
                <a:srgbClr val="FAE4EC"/>
              </a:solidFill>
              <a:ln>
                <a:noFill/>
                <a:prstDash val="solid"/>
              </a:ln>
            </spPr>
          </dPt>
          <dPt>
            <idx val="87"/>
            <invertIfNegative val="0"/>
            <spPr>
              <a:solidFill>
                <a:srgbClr val="FAE4EC"/>
              </a:solidFill>
              <a:ln>
                <a:noFill/>
                <a:prstDash val="solid"/>
              </a:ln>
            </spPr>
          </dPt>
          <dPt>
            <idx val="88"/>
            <invertIfNegative val="0"/>
            <spPr>
              <a:solidFill>
                <a:srgbClr val="FAE4EC"/>
              </a:solidFill>
              <a:ln>
                <a:noFill/>
                <a:prstDash val="solid"/>
              </a:ln>
            </spPr>
          </dPt>
          <dPt>
            <idx val="89"/>
            <invertIfNegative val="0"/>
            <spPr>
              <a:solidFill>
                <a:srgbClr val="FAE4EC"/>
              </a:solidFill>
              <a:ln>
                <a:noFill/>
                <a:prstDash val="solid"/>
              </a:ln>
            </spPr>
          </dPt>
          <dPt>
            <idx val="90"/>
            <invertIfNegative val="0"/>
            <spPr>
              <a:solidFill>
                <a:srgbClr val="FAE4EC"/>
              </a:solidFill>
              <a:ln>
                <a:noFill/>
                <a:prstDash val="solid"/>
              </a:ln>
            </spPr>
          </dPt>
          <dPt>
            <idx val="91"/>
            <invertIfNegative val="0"/>
            <spPr>
              <a:solidFill>
                <a:srgbClr val="FAE4EC"/>
              </a:solidFill>
              <a:ln>
                <a:noFill/>
                <a:prstDash val="solid"/>
              </a:ln>
            </spPr>
          </dPt>
          <dPt>
            <idx val="92"/>
            <invertIfNegative val="0"/>
            <spPr>
              <a:solidFill>
                <a:srgbClr val="FAE4EC"/>
              </a:solidFill>
              <a:ln>
                <a:noFill/>
                <a:prstDash val="solid"/>
              </a:ln>
            </spPr>
          </dPt>
          <dPt>
            <idx val="93"/>
            <invertIfNegative val="0"/>
            <spPr>
              <a:solidFill>
                <a:srgbClr val="FAE4EC"/>
              </a:solidFill>
              <a:ln>
                <a:noFill/>
                <a:prstDash val="solid"/>
              </a:ln>
            </spPr>
          </dPt>
          <dPt>
            <idx val="94"/>
            <invertIfNegative val="0"/>
            <spPr>
              <a:solidFill>
                <a:srgbClr val="FAE4EC"/>
              </a:solidFill>
              <a:ln>
                <a:noFill/>
                <a:prstDash val="solid"/>
              </a:ln>
            </spPr>
          </dPt>
          <dPt>
            <idx val="95"/>
            <invertIfNegative val="0"/>
            <spPr>
              <a:solidFill>
                <a:srgbClr val="FAE4EC"/>
              </a:solidFill>
              <a:ln>
                <a:noFill/>
                <a:prstDash val="solid"/>
              </a:ln>
            </spPr>
          </dPt>
          <dPt>
            <idx val="96"/>
            <invertIfNegative val="0"/>
            <spPr>
              <a:solidFill>
                <a:srgbClr val="FAE4EC"/>
              </a:solidFill>
              <a:ln>
                <a:noFill/>
                <a:prstDash val="solid"/>
              </a:ln>
            </spPr>
          </dPt>
          <dPt>
            <idx val="97"/>
            <invertIfNegative val="0"/>
            <spPr>
              <a:solidFill>
                <a:srgbClr val="FAE4EC"/>
              </a:solidFill>
              <a:ln>
                <a:noFill/>
                <a:prstDash val="solid"/>
              </a:ln>
            </spPr>
          </dPt>
          <dPt>
            <idx val="98"/>
            <invertIfNegative val="0"/>
            <spPr>
              <a:solidFill>
                <a:srgbClr val="FAE4EC"/>
              </a:solidFill>
              <a:ln>
                <a:noFill/>
                <a:prstDash val="solid"/>
              </a:ln>
            </spPr>
          </dPt>
          <dPt>
            <idx val="99"/>
            <invertIfNegative val="0"/>
            <spPr>
              <a:solidFill>
                <a:srgbClr val="FAE4EC"/>
              </a:solidFill>
              <a:ln>
                <a:noFill/>
                <a:prstDash val="solid"/>
              </a:ln>
            </spPr>
          </dPt>
          <dPt>
            <idx val="100"/>
            <invertIfNegative val="0"/>
            <spPr>
              <a:solidFill>
                <a:srgbClr val="FAE4EC"/>
              </a:solidFill>
              <a:ln>
                <a:noFill/>
                <a:prstDash val="solid"/>
              </a:ln>
            </spPr>
          </dPt>
          <dPt>
            <idx val="101"/>
            <invertIfNegative val="0"/>
            <spPr>
              <a:solidFill>
                <a:srgbClr val="FAE4EC"/>
              </a:solidFill>
              <a:ln>
                <a:noFill/>
                <a:prstDash val="solid"/>
              </a:ln>
            </spPr>
          </dPt>
          <dPt>
            <idx val="102"/>
            <invertIfNegative val="0"/>
            <spPr>
              <a:solidFill>
                <a:srgbClr val="FAE4EC"/>
              </a:solidFill>
              <a:ln>
                <a:noFill/>
                <a:prstDash val="solid"/>
              </a:ln>
            </spPr>
          </dPt>
          <dPt>
            <idx val="103"/>
            <invertIfNegative val="0"/>
            <spPr>
              <a:solidFill>
                <a:srgbClr val="FAE4EC"/>
              </a:solidFill>
              <a:ln>
                <a:noFill/>
                <a:prstDash val="solid"/>
              </a:ln>
            </spPr>
          </dPt>
          <dPt>
            <idx val="104"/>
            <invertIfNegative val="0"/>
            <spPr>
              <a:solidFill>
                <a:srgbClr val="FAE4EC"/>
              </a:solidFill>
              <a:ln>
                <a:noFill/>
                <a:prstDash val="solid"/>
              </a:ln>
            </spPr>
          </dPt>
          <dPt>
            <idx val="105"/>
            <invertIfNegative val="0"/>
            <spPr>
              <a:solidFill>
                <a:srgbClr val="FAE4EC"/>
              </a:solidFill>
              <a:ln>
                <a:noFill/>
                <a:prstDash val="solid"/>
              </a:ln>
            </spPr>
          </dPt>
          <dPt>
            <idx val="106"/>
            <invertIfNegative val="0"/>
            <spPr>
              <a:solidFill>
                <a:srgbClr val="FAE4EC"/>
              </a:solidFill>
              <a:ln>
                <a:noFill/>
                <a:prstDash val="solid"/>
              </a:ln>
            </spPr>
          </dPt>
          <dPt>
            <idx val="107"/>
            <invertIfNegative val="0"/>
            <spPr>
              <a:solidFill>
                <a:srgbClr val="FAE4EC"/>
              </a:solidFill>
              <a:ln>
                <a:noFill/>
                <a:prstDash val="solid"/>
              </a:ln>
            </spPr>
          </dPt>
          <dPt>
            <idx val="108"/>
            <invertIfNegative val="0"/>
            <spPr>
              <a:solidFill>
                <a:srgbClr val="FAE4EC"/>
              </a:solidFill>
              <a:ln>
                <a:noFill/>
                <a:prstDash val="solid"/>
              </a:ln>
            </spPr>
          </dPt>
          <dPt>
            <idx val="109"/>
            <invertIfNegative val="0"/>
            <spPr>
              <a:solidFill>
                <a:srgbClr val="FAE4EC"/>
              </a:solidFill>
              <a:ln>
                <a:noFill/>
                <a:prstDash val="solid"/>
              </a:ln>
            </spPr>
          </dPt>
          <dPt>
            <idx val="110"/>
            <invertIfNegative val="0"/>
            <spPr>
              <a:solidFill>
                <a:srgbClr val="FAE4EC"/>
              </a:solidFill>
              <a:ln>
                <a:noFill/>
                <a:prstDash val="solid"/>
              </a:ln>
            </spPr>
          </dPt>
          <dPt>
            <idx val="111"/>
            <invertIfNegative val="0"/>
            <spPr>
              <a:solidFill>
                <a:srgbClr val="FAE4EC"/>
              </a:solidFill>
              <a:ln>
                <a:noFill/>
                <a:prstDash val="solid"/>
              </a:ln>
            </spPr>
          </dPt>
          <dPt>
            <idx val="112"/>
            <invertIfNegative val="0"/>
            <spPr>
              <a:solidFill>
                <a:srgbClr val="FAE4EC"/>
              </a:solidFill>
              <a:ln>
                <a:noFill/>
                <a:prstDash val="solid"/>
              </a:ln>
            </spPr>
          </dPt>
          <dPt>
            <idx val="113"/>
            <invertIfNegative val="0"/>
            <spPr>
              <a:solidFill>
                <a:srgbClr val="FAE4EC"/>
              </a:solidFill>
              <a:ln>
                <a:noFill/>
                <a:prstDash val="solid"/>
              </a:ln>
            </spPr>
          </dPt>
          <dPt>
            <idx val="114"/>
            <invertIfNegative val="0"/>
            <spPr>
              <a:solidFill>
                <a:srgbClr val="FAE4EC"/>
              </a:solidFill>
              <a:ln>
                <a:noFill/>
                <a:prstDash val="solid"/>
              </a:ln>
            </spPr>
          </dPt>
          <dPt>
            <idx val="115"/>
            <invertIfNegative val="0"/>
            <spPr>
              <a:solidFill>
                <a:srgbClr val="FAE4EC"/>
              </a:solidFill>
              <a:ln>
                <a:noFill/>
                <a:prstDash val="solid"/>
              </a:ln>
            </spPr>
          </dPt>
          <dPt>
            <idx val="116"/>
            <invertIfNegative val="0"/>
            <spPr>
              <a:solidFill>
                <a:srgbClr val="FAE4EC"/>
              </a:solidFill>
              <a:ln>
                <a:noFill/>
                <a:prstDash val="solid"/>
              </a:ln>
            </spPr>
          </dPt>
          <dPt>
            <idx val="117"/>
            <invertIfNegative val="0"/>
            <spPr>
              <a:solidFill>
                <a:srgbClr val="FAE4EC"/>
              </a:solidFill>
              <a:ln>
                <a:noFill/>
                <a:prstDash val="solid"/>
              </a:ln>
            </spPr>
          </dPt>
          <dPt>
            <idx val="118"/>
            <invertIfNegative val="0"/>
            <spPr>
              <a:solidFill>
                <a:srgbClr val="FAE4EC"/>
              </a:solidFill>
              <a:ln>
                <a:noFill/>
                <a:prstDash val="solid"/>
              </a:ln>
            </spPr>
          </dPt>
          <dPt>
            <idx val="119"/>
            <invertIfNegative val="0"/>
            <spPr>
              <a:solidFill>
                <a:srgbClr val="FAE4EC"/>
              </a:solidFill>
              <a:ln>
                <a:noFill/>
                <a:prstDash val="solid"/>
              </a:ln>
            </spPr>
          </dPt>
          <cat>
            <numRef>
              <f>'Chart - Demand to 2033'!$A$2:$A$121</f>
            </numRef>
          </cat>
          <val>
            <numRef>
              <f>'Chart - Demand to 2033'!$F$2:$F$121</f>
            </numRef>
          </val>
        </ser>
        <ser>
          <idx val="5"/>
          <order val="5"/>
          <tx>
            <strRef>
              <f>'Chart - Demand to 2033'!G1</f>
            </strRef>
          </tx>
          <spPr>
            <a:solidFill>
              <a:srgbClr val="008300"/>
            </a:solidFill>
            <a:ln>
              <a:noFill/>
              <a:prstDash val="solid"/>
            </a:ln>
          </spPr>
          <dPt>
            <idx val="31"/>
            <invertIfNegative val="0"/>
            <spPr>
              <a:solidFill>
                <a:srgbClr val="8CC78C"/>
              </a:solidFill>
              <a:ln>
                <a:noFill/>
                <a:prstDash val="solid"/>
              </a:ln>
            </spPr>
          </dPt>
          <dPt>
            <idx val="32"/>
            <invertIfNegative val="0"/>
            <spPr>
              <a:solidFill>
                <a:srgbClr val="8CC78C"/>
              </a:solidFill>
              <a:ln>
                <a:noFill/>
                <a:prstDash val="solid"/>
              </a:ln>
            </spPr>
          </dPt>
          <dPt>
            <idx val="33"/>
            <invertIfNegative val="0"/>
            <spPr>
              <a:solidFill>
                <a:srgbClr val="8CC78C"/>
              </a:solidFill>
              <a:ln>
                <a:noFill/>
                <a:prstDash val="solid"/>
              </a:ln>
            </spPr>
          </dPt>
          <dPt>
            <idx val="34"/>
            <invertIfNegative val="0"/>
            <spPr>
              <a:solidFill>
                <a:srgbClr val="8CC78C"/>
              </a:solidFill>
              <a:ln>
                <a:noFill/>
                <a:prstDash val="solid"/>
              </a:ln>
            </spPr>
          </dPt>
          <dPt>
            <idx val="35"/>
            <invertIfNegative val="0"/>
            <spPr>
              <a:solidFill>
                <a:srgbClr val="8CC78C"/>
              </a:solidFill>
              <a:ln>
                <a:noFill/>
                <a:prstDash val="solid"/>
              </a:ln>
            </spPr>
          </dPt>
          <dPt>
            <idx val="36"/>
            <invertIfNegative val="0"/>
            <spPr>
              <a:solidFill>
                <a:srgbClr val="8CC78C"/>
              </a:solidFill>
              <a:ln>
                <a:noFill/>
                <a:prstDash val="solid"/>
              </a:ln>
            </spPr>
          </dPt>
          <dPt>
            <idx val="37"/>
            <invertIfNegative val="0"/>
            <spPr>
              <a:solidFill>
                <a:srgbClr val="8CC78C"/>
              </a:solidFill>
              <a:ln>
                <a:noFill/>
                <a:prstDash val="solid"/>
              </a:ln>
            </spPr>
          </dPt>
          <dPt>
            <idx val="38"/>
            <invertIfNegative val="0"/>
            <spPr>
              <a:solidFill>
                <a:srgbClr val="8CC78C"/>
              </a:solidFill>
              <a:ln>
                <a:noFill/>
                <a:prstDash val="solid"/>
              </a:ln>
            </spPr>
          </dPt>
          <dPt>
            <idx val="39"/>
            <invertIfNegative val="0"/>
            <spPr>
              <a:solidFill>
                <a:srgbClr val="8CC78C"/>
              </a:solidFill>
              <a:ln>
                <a:noFill/>
                <a:prstDash val="solid"/>
              </a:ln>
            </spPr>
          </dPt>
          <dPt>
            <idx val="40"/>
            <invertIfNegative val="0"/>
            <spPr>
              <a:solidFill>
                <a:srgbClr val="8CC78C"/>
              </a:solidFill>
              <a:ln>
                <a:noFill/>
                <a:prstDash val="solid"/>
              </a:ln>
            </spPr>
          </dPt>
          <dPt>
            <idx val="41"/>
            <invertIfNegative val="0"/>
            <spPr>
              <a:solidFill>
                <a:srgbClr val="8CC78C"/>
              </a:solidFill>
              <a:ln>
                <a:noFill/>
                <a:prstDash val="solid"/>
              </a:ln>
            </spPr>
          </dPt>
          <dPt>
            <idx val="42"/>
            <invertIfNegative val="0"/>
            <spPr>
              <a:solidFill>
                <a:srgbClr val="8CC78C"/>
              </a:solidFill>
              <a:ln>
                <a:noFill/>
                <a:prstDash val="solid"/>
              </a:ln>
            </spPr>
          </dPt>
          <dPt>
            <idx val="43"/>
            <invertIfNegative val="0"/>
            <spPr>
              <a:solidFill>
                <a:srgbClr val="8CC78C"/>
              </a:solidFill>
              <a:ln>
                <a:noFill/>
                <a:prstDash val="solid"/>
              </a:ln>
            </spPr>
          </dPt>
          <dPt>
            <idx val="44"/>
            <invertIfNegative val="0"/>
            <spPr>
              <a:solidFill>
                <a:srgbClr val="8CC78C"/>
              </a:solidFill>
              <a:ln>
                <a:noFill/>
                <a:prstDash val="solid"/>
              </a:ln>
            </spPr>
          </dPt>
          <dPt>
            <idx val="45"/>
            <invertIfNegative val="0"/>
            <spPr>
              <a:solidFill>
                <a:srgbClr val="8CC78C"/>
              </a:solidFill>
              <a:ln>
                <a:noFill/>
                <a:prstDash val="solid"/>
              </a:ln>
            </spPr>
          </dPt>
          <dPt>
            <idx val="46"/>
            <invertIfNegative val="0"/>
            <spPr>
              <a:solidFill>
                <a:srgbClr val="8CC78C"/>
              </a:solidFill>
              <a:ln>
                <a:noFill/>
                <a:prstDash val="solid"/>
              </a:ln>
            </spPr>
          </dPt>
          <dPt>
            <idx val="47"/>
            <invertIfNegative val="0"/>
            <spPr>
              <a:solidFill>
                <a:srgbClr val="8CC78C"/>
              </a:solidFill>
              <a:ln>
                <a:noFill/>
                <a:prstDash val="solid"/>
              </a:ln>
            </spPr>
          </dPt>
          <dPt>
            <idx val="48"/>
            <invertIfNegative val="0"/>
            <spPr>
              <a:solidFill>
                <a:srgbClr val="8CC78C"/>
              </a:solidFill>
              <a:ln>
                <a:noFill/>
                <a:prstDash val="solid"/>
              </a:ln>
            </spPr>
          </dPt>
          <dPt>
            <idx val="49"/>
            <invertIfNegative val="0"/>
            <spPr>
              <a:solidFill>
                <a:srgbClr val="8CC78C"/>
              </a:solidFill>
              <a:ln>
                <a:noFill/>
                <a:prstDash val="solid"/>
              </a:ln>
            </spPr>
          </dPt>
          <dPt>
            <idx val="50"/>
            <invertIfNegative val="0"/>
            <spPr>
              <a:solidFill>
                <a:srgbClr val="8CC78C"/>
              </a:solidFill>
              <a:ln>
                <a:noFill/>
                <a:prstDash val="solid"/>
              </a:ln>
            </spPr>
          </dPt>
          <dPt>
            <idx val="51"/>
            <invertIfNegative val="0"/>
            <spPr>
              <a:solidFill>
                <a:srgbClr val="8CC78C"/>
              </a:solidFill>
              <a:ln>
                <a:noFill/>
                <a:prstDash val="solid"/>
              </a:ln>
            </spPr>
          </dPt>
          <dPt>
            <idx val="52"/>
            <invertIfNegative val="0"/>
            <spPr>
              <a:solidFill>
                <a:srgbClr val="8CC78C"/>
              </a:solidFill>
              <a:ln>
                <a:noFill/>
                <a:prstDash val="solid"/>
              </a:ln>
            </spPr>
          </dPt>
          <dPt>
            <idx val="53"/>
            <invertIfNegative val="0"/>
            <spPr>
              <a:solidFill>
                <a:srgbClr val="8CC78C"/>
              </a:solidFill>
              <a:ln>
                <a:noFill/>
                <a:prstDash val="solid"/>
              </a:ln>
            </spPr>
          </dPt>
          <dPt>
            <idx val="54"/>
            <invertIfNegative val="0"/>
            <spPr>
              <a:solidFill>
                <a:srgbClr val="8CC78C"/>
              </a:solidFill>
              <a:ln>
                <a:noFill/>
                <a:prstDash val="solid"/>
              </a:ln>
            </spPr>
          </dPt>
          <dPt>
            <idx val="55"/>
            <invertIfNegative val="0"/>
            <spPr>
              <a:solidFill>
                <a:srgbClr val="8CC78C"/>
              </a:solidFill>
              <a:ln>
                <a:noFill/>
                <a:prstDash val="solid"/>
              </a:ln>
            </spPr>
          </dPt>
          <dPt>
            <idx val="56"/>
            <invertIfNegative val="0"/>
            <spPr>
              <a:solidFill>
                <a:srgbClr val="8CC78C"/>
              </a:solidFill>
              <a:ln>
                <a:noFill/>
                <a:prstDash val="solid"/>
              </a:ln>
            </spPr>
          </dPt>
          <dPt>
            <idx val="57"/>
            <invertIfNegative val="0"/>
            <spPr>
              <a:solidFill>
                <a:srgbClr val="8CC78C"/>
              </a:solidFill>
              <a:ln>
                <a:noFill/>
                <a:prstDash val="solid"/>
              </a:ln>
            </spPr>
          </dPt>
          <dPt>
            <idx val="58"/>
            <invertIfNegative val="0"/>
            <spPr>
              <a:solidFill>
                <a:srgbClr val="8CC78C"/>
              </a:solidFill>
              <a:ln>
                <a:noFill/>
                <a:prstDash val="solid"/>
              </a:ln>
            </spPr>
          </dPt>
          <dPt>
            <idx val="59"/>
            <invertIfNegative val="0"/>
            <spPr>
              <a:solidFill>
                <a:srgbClr val="8CC78C"/>
              </a:solidFill>
              <a:ln>
                <a:noFill/>
                <a:prstDash val="solid"/>
              </a:ln>
            </spPr>
          </dPt>
          <dPt>
            <idx val="60"/>
            <invertIfNegative val="0"/>
            <spPr>
              <a:solidFill>
                <a:srgbClr val="CCE6CC"/>
              </a:solidFill>
              <a:ln>
                <a:noFill/>
                <a:prstDash val="solid"/>
              </a:ln>
            </spPr>
          </dPt>
          <dPt>
            <idx val="61"/>
            <invertIfNegative val="0"/>
            <spPr>
              <a:solidFill>
                <a:srgbClr val="CCE6CC"/>
              </a:solidFill>
              <a:ln>
                <a:noFill/>
                <a:prstDash val="solid"/>
              </a:ln>
            </spPr>
          </dPt>
          <dPt>
            <idx val="62"/>
            <invertIfNegative val="0"/>
            <spPr>
              <a:solidFill>
                <a:srgbClr val="CCE6CC"/>
              </a:solidFill>
              <a:ln>
                <a:noFill/>
                <a:prstDash val="solid"/>
              </a:ln>
            </spPr>
          </dPt>
          <dPt>
            <idx val="63"/>
            <invertIfNegative val="0"/>
            <spPr>
              <a:solidFill>
                <a:srgbClr val="CCE6CC"/>
              </a:solidFill>
              <a:ln>
                <a:noFill/>
                <a:prstDash val="solid"/>
              </a:ln>
            </spPr>
          </dPt>
          <dPt>
            <idx val="64"/>
            <invertIfNegative val="0"/>
            <spPr>
              <a:solidFill>
                <a:srgbClr val="CCE6CC"/>
              </a:solidFill>
              <a:ln>
                <a:noFill/>
                <a:prstDash val="solid"/>
              </a:ln>
            </spPr>
          </dPt>
          <dPt>
            <idx val="65"/>
            <invertIfNegative val="0"/>
            <spPr>
              <a:solidFill>
                <a:srgbClr val="CCE6CC"/>
              </a:solidFill>
              <a:ln>
                <a:noFill/>
                <a:prstDash val="solid"/>
              </a:ln>
            </spPr>
          </dPt>
          <dPt>
            <idx val="66"/>
            <invertIfNegative val="0"/>
            <spPr>
              <a:solidFill>
                <a:srgbClr val="CCE6CC"/>
              </a:solidFill>
              <a:ln>
                <a:noFill/>
                <a:prstDash val="solid"/>
              </a:ln>
            </spPr>
          </dPt>
          <dPt>
            <idx val="67"/>
            <invertIfNegative val="0"/>
            <spPr>
              <a:solidFill>
                <a:srgbClr val="CCE6CC"/>
              </a:solidFill>
              <a:ln>
                <a:noFill/>
                <a:prstDash val="solid"/>
              </a:ln>
            </spPr>
          </dPt>
          <dPt>
            <idx val="68"/>
            <invertIfNegative val="0"/>
            <spPr>
              <a:solidFill>
                <a:srgbClr val="CCE6CC"/>
              </a:solidFill>
              <a:ln>
                <a:noFill/>
                <a:prstDash val="solid"/>
              </a:ln>
            </spPr>
          </dPt>
          <dPt>
            <idx val="69"/>
            <invertIfNegative val="0"/>
            <spPr>
              <a:solidFill>
                <a:srgbClr val="CCE6CC"/>
              </a:solidFill>
              <a:ln>
                <a:noFill/>
                <a:prstDash val="solid"/>
              </a:ln>
            </spPr>
          </dPt>
          <dPt>
            <idx val="70"/>
            <invertIfNegative val="0"/>
            <spPr>
              <a:solidFill>
                <a:srgbClr val="CCE6CC"/>
              </a:solidFill>
              <a:ln>
                <a:noFill/>
                <a:prstDash val="solid"/>
              </a:ln>
            </spPr>
          </dPt>
          <dPt>
            <idx val="71"/>
            <invertIfNegative val="0"/>
            <spPr>
              <a:solidFill>
                <a:srgbClr val="CCE6CC"/>
              </a:solidFill>
              <a:ln>
                <a:noFill/>
                <a:prstDash val="solid"/>
              </a:ln>
            </spPr>
          </dPt>
          <dPt>
            <idx val="72"/>
            <invertIfNegative val="0"/>
            <spPr>
              <a:solidFill>
                <a:srgbClr val="CCE6CC"/>
              </a:solidFill>
              <a:ln>
                <a:noFill/>
                <a:prstDash val="solid"/>
              </a:ln>
            </spPr>
          </dPt>
          <dPt>
            <idx val="73"/>
            <invertIfNegative val="0"/>
            <spPr>
              <a:solidFill>
                <a:srgbClr val="CCE6CC"/>
              </a:solidFill>
              <a:ln>
                <a:noFill/>
                <a:prstDash val="solid"/>
              </a:ln>
            </spPr>
          </dPt>
          <dPt>
            <idx val="74"/>
            <invertIfNegative val="0"/>
            <spPr>
              <a:solidFill>
                <a:srgbClr val="CCE6CC"/>
              </a:solidFill>
              <a:ln>
                <a:noFill/>
                <a:prstDash val="solid"/>
              </a:ln>
            </spPr>
          </dPt>
          <dPt>
            <idx val="75"/>
            <invertIfNegative val="0"/>
            <spPr>
              <a:solidFill>
                <a:srgbClr val="CCE6CC"/>
              </a:solidFill>
              <a:ln>
                <a:noFill/>
                <a:prstDash val="solid"/>
              </a:ln>
            </spPr>
          </dPt>
          <dPt>
            <idx val="76"/>
            <invertIfNegative val="0"/>
            <spPr>
              <a:solidFill>
                <a:srgbClr val="CCE6CC"/>
              </a:solidFill>
              <a:ln>
                <a:noFill/>
                <a:prstDash val="solid"/>
              </a:ln>
            </spPr>
          </dPt>
          <dPt>
            <idx val="77"/>
            <invertIfNegative val="0"/>
            <spPr>
              <a:solidFill>
                <a:srgbClr val="CCE6CC"/>
              </a:solidFill>
              <a:ln>
                <a:noFill/>
                <a:prstDash val="solid"/>
              </a:ln>
            </spPr>
          </dPt>
          <dPt>
            <idx val="78"/>
            <invertIfNegative val="0"/>
            <spPr>
              <a:solidFill>
                <a:srgbClr val="CCE6CC"/>
              </a:solidFill>
              <a:ln>
                <a:noFill/>
                <a:prstDash val="solid"/>
              </a:ln>
            </spPr>
          </dPt>
          <dPt>
            <idx val="79"/>
            <invertIfNegative val="0"/>
            <spPr>
              <a:solidFill>
                <a:srgbClr val="CCE6CC"/>
              </a:solidFill>
              <a:ln>
                <a:noFill/>
                <a:prstDash val="solid"/>
              </a:ln>
            </spPr>
          </dPt>
          <dPt>
            <idx val="80"/>
            <invertIfNegative val="0"/>
            <spPr>
              <a:solidFill>
                <a:srgbClr val="CCE6CC"/>
              </a:solidFill>
              <a:ln>
                <a:noFill/>
                <a:prstDash val="solid"/>
              </a:ln>
            </spPr>
          </dPt>
          <dPt>
            <idx val="81"/>
            <invertIfNegative val="0"/>
            <spPr>
              <a:solidFill>
                <a:srgbClr val="CCE6CC"/>
              </a:solidFill>
              <a:ln>
                <a:noFill/>
                <a:prstDash val="solid"/>
              </a:ln>
            </spPr>
          </dPt>
          <dPt>
            <idx val="82"/>
            <invertIfNegative val="0"/>
            <spPr>
              <a:solidFill>
                <a:srgbClr val="CCE6CC"/>
              </a:solidFill>
              <a:ln>
                <a:noFill/>
                <a:prstDash val="solid"/>
              </a:ln>
            </spPr>
          </dPt>
          <dPt>
            <idx val="83"/>
            <invertIfNegative val="0"/>
            <spPr>
              <a:solidFill>
                <a:srgbClr val="CCE6CC"/>
              </a:solidFill>
              <a:ln>
                <a:noFill/>
                <a:prstDash val="solid"/>
              </a:ln>
            </spPr>
          </dPt>
          <dPt>
            <idx val="84"/>
            <invertIfNegative val="0"/>
            <spPr>
              <a:solidFill>
                <a:srgbClr val="CCE6CC"/>
              </a:solidFill>
              <a:ln>
                <a:noFill/>
                <a:prstDash val="solid"/>
              </a:ln>
            </spPr>
          </dPt>
          <dPt>
            <idx val="85"/>
            <invertIfNegative val="0"/>
            <spPr>
              <a:solidFill>
                <a:srgbClr val="CCE6CC"/>
              </a:solidFill>
              <a:ln>
                <a:noFill/>
                <a:prstDash val="solid"/>
              </a:ln>
            </spPr>
          </dPt>
          <dPt>
            <idx val="86"/>
            <invertIfNegative val="0"/>
            <spPr>
              <a:solidFill>
                <a:srgbClr val="CCE6CC"/>
              </a:solidFill>
              <a:ln>
                <a:noFill/>
                <a:prstDash val="solid"/>
              </a:ln>
            </spPr>
          </dPt>
          <dPt>
            <idx val="87"/>
            <invertIfNegative val="0"/>
            <spPr>
              <a:solidFill>
                <a:srgbClr val="CCE6CC"/>
              </a:solidFill>
              <a:ln>
                <a:noFill/>
                <a:prstDash val="solid"/>
              </a:ln>
            </spPr>
          </dPt>
          <dPt>
            <idx val="88"/>
            <invertIfNegative val="0"/>
            <spPr>
              <a:solidFill>
                <a:srgbClr val="CCE6CC"/>
              </a:solidFill>
              <a:ln>
                <a:noFill/>
                <a:prstDash val="solid"/>
              </a:ln>
            </spPr>
          </dPt>
          <dPt>
            <idx val="89"/>
            <invertIfNegative val="0"/>
            <spPr>
              <a:solidFill>
                <a:srgbClr val="CCE6CC"/>
              </a:solidFill>
              <a:ln>
                <a:noFill/>
                <a:prstDash val="solid"/>
              </a:ln>
            </spPr>
          </dPt>
          <dPt>
            <idx val="90"/>
            <invertIfNegative val="0"/>
            <spPr>
              <a:solidFill>
                <a:srgbClr val="CCE6CC"/>
              </a:solidFill>
              <a:ln>
                <a:noFill/>
                <a:prstDash val="solid"/>
              </a:ln>
            </spPr>
          </dPt>
          <dPt>
            <idx val="91"/>
            <invertIfNegative val="0"/>
            <spPr>
              <a:solidFill>
                <a:srgbClr val="CCE6CC"/>
              </a:solidFill>
              <a:ln>
                <a:noFill/>
                <a:prstDash val="solid"/>
              </a:ln>
            </spPr>
          </dPt>
          <dPt>
            <idx val="92"/>
            <invertIfNegative val="0"/>
            <spPr>
              <a:solidFill>
                <a:srgbClr val="CCE6CC"/>
              </a:solidFill>
              <a:ln>
                <a:noFill/>
                <a:prstDash val="solid"/>
              </a:ln>
            </spPr>
          </dPt>
          <dPt>
            <idx val="93"/>
            <invertIfNegative val="0"/>
            <spPr>
              <a:solidFill>
                <a:srgbClr val="CCE6CC"/>
              </a:solidFill>
              <a:ln>
                <a:noFill/>
                <a:prstDash val="solid"/>
              </a:ln>
            </spPr>
          </dPt>
          <dPt>
            <idx val="94"/>
            <invertIfNegative val="0"/>
            <spPr>
              <a:solidFill>
                <a:srgbClr val="CCE6CC"/>
              </a:solidFill>
              <a:ln>
                <a:noFill/>
                <a:prstDash val="solid"/>
              </a:ln>
            </spPr>
          </dPt>
          <dPt>
            <idx val="95"/>
            <invertIfNegative val="0"/>
            <spPr>
              <a:solidFill>
                <a:srgbClr val="CCE6CC"/>
              </a:solidFill>
              <a:ln>
                <a:noFill/>
                <a:prstDash val="solid"/>
              </a:ln>
            </spPr>
          </dPt>
          <dPt>
            <idx val="96"/>
            <invertIfNegative val="0"/>
            <spPr>
              <a:solidFill>
                <a:srgbClr val="CCE6CC"/>
              </a:solidFill>
              <a:ln>
                <a:noFill/>
                <a:prstDash val="solid"/>
              </a:ln>
            </spPr>
          </dPt>
          <dPt>
            <idx val="97"/>
            <invertIfNegative val="0"/>
            <spPr>
              <a:solidFill>
                <a:srgbClr val="CCE6CC"/>
              </a:solidFill>
              <a:ln>
                <a:noFill/>
                <a:prstDash val="solid"/>
              </a:ln>
            </spPr>
          </dPt>
          <dPt>
            <idx val="98"/>
            <invertIfNegative val="0"/>
            <spPr>
              <a:solidFill>
                <a:srgbClr val="CCE6CC"/>
              </a:solidFill>
              <a:ln>
                <a:noFill/>
                <a:prstDash val="solid"/>
              </a:ln>
            </spPr>
          </dPt>
          <dPt>
            <idx val="99"/>
            <invertIfNegative val="0"/>
            <spPr>
              <a:solidFill>
                <a:srgbClr val="CCE6CC"/>
              </a:solidFill>
              <a:ln>
                <a:noFill/>
                <a:prstDash val="solid"/>
              </a:ln>
            </spPr>
          </dPt>
          <dPt>
            <idx val="100"/>
            <invertIfNegative val="0"/>
            <spPr>
              <a:solidFill>
                <a:srgbClr val="CCE6CC"/>
              </a:solidFill>
              <a:ln>
                <a:noFill/>
                <a:prstDash val="solid"/>
              </a:ln>
            </spPr>
          </dPt>
          <dPt>
            <idx val="101"/>
            <invertIfNegative val="0"/>
            <spPr>
              <a:solidFill>
                <a:srgbClr val="CCE6CC"/>
              </a:solidFill>
              <a:ln>
                <a:noFill/>
                <a:prstDash val="solid"/>
              </a:ln>
            </spPr>
          </dPt>
          <dPt>
            <idx val="102"/>
            <invertIfNegative val="0"/>
            <spPr>
              <a:solidFill>
                <a:srgbClr val="CCE6CC"/>
              </a:solidFill>
              <a:ln>
                <a:noFill/>
                <a:prstDash val="solid"/>
              </a:ln>
            </spPr>
          </dPt>
          <dPt>
            <idx val="103"/>
            <invertIfNegative val="0"/>
            <spPr>
              <a:solidFill>
                <a:srgbClr val="CCE6CC"/>
              </a:solidFill>
              <a:ln>
                <a:noFill/>
                <a:prstDash val="solid"/>
              </a:ln>
            </spPr>
          </dPt>
          <dPt>
            <idx val="104"/>
            <invertIfNegative val="0"/>
            <spPr>
              <a:solidFill>
                <a:srgbClr val="CCE6CC"/>
              </a:solidFill>
              <a:ln>
                <a:noFill/>
                <a:prstDash val="solid"/>
              </a:ln>
            </spPr>
          </dPt>
          <dPt>
            <idx val="105"/>
            <invertIfNegative val="0"/>
            <spPr>
              <a:solidFill>
                <a:srgbClr val="CCE6CC"/>
              </a:solidFill>
              <a:ln>
                <a:noFill/>
                <a:prstDash val="solid"/>
              </a:ln>
            </spPr>
          </dPt>
          <dPt>
            <idx val="106"/>
            <invertIfNegative val="0"/>
            <spPr>
              <a:solidFill>
                <a:srgbClr val="CCE6CC"/>
              </a:solidFill>
              <a:ln>
                <a:noFill/>
                <a:prstDash val="solid"/>
              </a:ln>
            </spPr>
          </dPt>
          <dPt>
            <idx val="107"/>
            <invertIfNegative val="0"/>
            <spPr>
              <a:solidFill>
                <a:srgbClr val="CCE6CC"/>
              </a:solidFill>
              <a:ln>
                <a:noFill/>
                <a:prstDash val="solid"/>
              </a:ln>
            </spPr>
          </dPt>
          <dPt>
            <idx val="108"/>
            <invertIfNegative val="0"/>
            <spPr>
              <a:solidFill>
                <a:srgbClr val="CCE6CC"/>
              </a:solidFill>
              <a:ln>
                <a:noFill/>
                <a:prstDash val="solid"/>
              </a:ln>
            </spPr>
          </dPt>
          <dPt>
            <idx val="109"/>
            <invertIfNegative val="0"/>
            <spPr>
              <a:solidFill>
                <a:srgbClr val="CCE6CC"/>
              </a:solidFill>
              <a:ln>
                <a:noFill/>
                <a:prstDash val="solid"/>
              </a:ln>
            </spPr>
          </dPt>
          <dPt>
            <idx val="110"/>
            <invertIfNegative val="0"/>
            <spPr>
              <a:solidFill>
                <a:srgbClr val="CCE6CC"/>
              </a:solidFill>
              <a:ln>
                <a:noFill/>
                <a:prstDash val="solid"/>
              </a:ln>
            </spPr>
          </dPt>
          <dPt>
            <idx val="111"/>
            <invertIfNegative val="0"/>
            <spPr>
              <a:solidFill>
                <a:srgbClr val="CCE6CC"/>
              </a:solidFill>
              <a:ln>
                <a:noFill/>
                <a:prstDash val="solid"/>
              </a:ln>
            </spPr>
          </dPt>
          <dPt>
            <idx val="112"/>
            <invertIfNegative val="0"/>
            <spPr>
              <a:solidFill>
                <a:srgbClr val="CCE6CC"/>
              </a:solidFill>
              <a:ln>
                <a:noFill/>
                <a:prstDash val="solid"/>
              </a:ln>
            </spPr>
          </dPt>
          <dPt>
            <idx val="113"/>
            <invertIfNegative val="0"/>
            <spPr>
              <a:solidFill>
                <a:srgbClr val="CCE6CC"/>
              </a:solidFill>
              <a:ln>
                <a:noFill/>
                <a:prstDash val="solid"/>
              </a:ln>
            </spPr>
          </dPt>
          <dPt>
            <idx val="114"/>
            <invertIfNegative val="0"/>
            <spPr>
              <a:solidFill>
                <a:srgbClr val="CCE6CC"/>
              </a:solidFill>
              <a:ln>
                <a:noFill/>
                <a:prstDash val="solid"/>
              </a:ln>
            </spPr>
          </dPt>
          <dPt>
            <idx val="115"/>
            <invertIfNegative val="0"/>
            <spPr>
              <a:solidFill>
                <a:srgbClr val="CCE6CC"/>
              </a:solidFill>
              <a:ln>
                <a:noFill/>
                <a:prstDash val="solid"/>
              </a:ln>
            </spPr>
          </dPt>
          <dPt>
            <idx val="116"/>
            <invertIfNegative val="0"/>
            <spPr>
              <a:solidFill>
                <a:srgbClr val="CCE6CC"/>
              </a:solidFill>
              <a:ln>
                <a:noFill/>
                <a:prstDash val="solid"/>
              </a:ln>
            </spPr>
          </dPt>
          <dPt>
            <idx val="117"/>
            <invertIfNegative val="0"/>
            <spPr>
              <a:solidFill>
                <a:srgbClr val="CCE6CC"/>
              </a:solidFill>
              <a:ln>
                <a:noFill/>
                <a:prstDash val="solid"/>
              </a:ln>
            </spPr>
          </dPt>
          <dPt>
            <idx val="118"/>
            <invertIfNegative val="0"/>
            <spPr>
              <a:solidFill>
                <a:srgbClr val="CCE6CC"/>
              </a:solidFill>
              <a:ln>
                <a:noFill/>
                <a:prstDash val="solid"/>
              </a:ln>
            </spPr>
          </dPt>
          <dPt>
            <idx val="119"/>
            <invertIfNegative val="0"/>
            <spPr>
              <a:solidFill>
                <a:srgbClr val="CCE6CC"/>
              </a:solidFill>
              <a:ln>
                <a:noFill/>
                <a:prstDash val="solid"/>
              </a:ln>
            </spPr>
          </dPt>
          <cat>
            <numRef>
              <f>'Chart - Demand to 2033'!$A$2:$A$121</f>
            </numRef>
          </cat>
          <val>
            <numRef>
              <f>'Chart - Demand to 2033'!$G$2:$G$121</f>
            </numRef>
          </val>
        </ser>
        <ser>
          <idx val="6"/>
          <order val="6"/>
          <tx>
            <strRef>
              <f>'Chart - Demand to 2033'!H1</f>
            </strRef>
          </tx>
          <spPr>
            <a:solidFill>
              <a:srgbClr val="4A3AA7"/>
            </a:solidFill>
            <a:ln>
              <a:noFill/>
              <a:prstDash val="solid"/>
            </a:ln>
          </spPr>
          <dPt>
            <idx val="31"/>
            <invertIfNegative val="0"/>
            <spPr>
              <a:solidFill>
                <a:srgbClr val="ADA6D7"/>
              </a:solidFill>
              <a:ln>
                <a:noFill/>
                <a:prstDash val="solid"/>
              </a:ln>
            </spPr>
          </dPt>
          <dPt>
            <idx val="32"/>
            <invertIfNegative val="0"/>
            <spPr>
              <a:solidFill>
                <a:srgbClr val="ADA6D7"/>
              </a:solidFill>
              <a:ln>
                <a:noFill/>
                <a:prstDash val="solid"/>
              </a:ln>
            </spPr>
          </dPt>
          <dPt>
            <idx val="33"/>
            <invertIfNegative val="0"/>
            <spPr>
              <a:solidFill>
                <a:srgbClr val="ADA6D7"/>
              </a:solidFill>
              <a:ln>
                <a:noFill/>
                <a:prstDash val="solid"/>
              </a:ln>
            </spPr>
          </dPt>
          <dPt>
            <idx val="34"/>
            <invertIfNegative val="0"/>
            <spPr>
              <a:solidFill>
                <a:srgbClr val="ADA6D7"/>
              </a:solidFill>
              <a:ln>
                <a:noFill/>
                <a:prstDash val="solid"/>
              </a:ln>
            </spPr>
          </dPt>
          <dPt>
            <idx val="35"/>
            <invertIfNegative val="0"/>
            <spPr>
              <a:solidFill>
                <a:srgbClr val="ADA6D7"/>
              </a:solidFill>
              <a:ln>
                <a:noFill/>
                <a:prstDash val="solid"/>
              </a:ln>
            </spPr>
          </dPt>
          <dPt>
            <idx val="36"/>
            <invertIfNegative val="0"/>
            <spPr>
              <a:solidFill>
                <a:srgbClr val="ADA6D7"/>
              </a:solidFill>
              <a:ln>
                <a:noFill/>
                <a:prstDash val="solid"/>
              </a:ln>
            </spPr>
          </dPt>
          <dPt>
            <idx val="37"/>
            <invertIfNegative val="0"/>
            <spPr>
              <a:solidFill>
                <a:srgbClr val="ADA6D7"/>
              </a:solidFill>
              <a:ln>
                <a:noFill/>
                <a:prstDash val="solid"/>
              </a:ln>
            </spPr>
          </dPt>
          <dPt>
            <idx val="38"/>
            <invertIfNegative val="0"/>
            <spPr>
              <a:solidFill>
                <a:srgbClr val="ADA6D7"/>
              </a:solidFill>
              <a:ln>
                <a:noFill/>
                <a:prstDash val="solid"/>
              </a:ln>
            </spPr>
          </dPt>
          <dPt>
            <idx val="39"/>
            <invertIfNegative val="0"/>
            <spPr>
              <a:solidFill>
                <a:srgbClr val="ADA6D7"/>
              </a:solidFill>
              <a:ln>
                <a:noFill/>
                <a:prstDash val="solid"/>
              </a:ln>
            </spPr>
          </dPt>
          <dPt>
            <idx val="40"/>
            <invertIfNegative val="0"/>
            <spPr>
              <a:solidFill>
                <a:srgbClr val="ADA6D7"/>
              </a:solidFill>
              <a:ln>
                <a:noFill/>
                <a:prstDash val="solid"/>
              </a:ln>
            </spPr>
          </dPt>
          <dPt>
            <idx val="41"/>
            <invertIfNegative val="0"/>
            <spPr>
              <a:solidFill>
                <a:srgbClr val="ADA6D7"/>
              </a:solidFill>
              <a:ln>
                <a:noFill/>
                <a:prstDash val="solid"/>
              </a:ln>
            </spPr>
          </dPt>
          <dPt>
            <idx val="42"/>
            <invertIfNegative val="0"/>
            <spPr>
              <a:solidFill>
                <a:srgbClr val="ADA6D7"/>
              </a:solidFill>
              <a:ln>
                <a:noFill/>
                <a:prstDash val="solid"/>
              </a:ln>
            </spPr>
          </dPt>
          <dPt>
            <idx val="43"/>
            <invertIfNegative val="0"/>
            <spPr>
              <a:solidFill>
                <a:srgbClr val="ADA6D7"/>
              </a:solidFill>
              <a:ln>
                <a:noFill/>
                <a:prstDash val="solid"/>
              </a:ln>
            </spPr>
          </dPt>
          <dPt>
            <idx val="44"/>
            <invertIfNegative val="0"/>
            <spPr>
              <a:solidFill>
                <a:srgbClr val="ADA6D7"/>
              </a:solidFill>
              <a:ln>
                <a:noFill/>
                <a:prstDash val="solid"/>
              </a:ln>
            </spPr>
          </dPt>
          <dPt>
            <idx val="45"/>
            <invertIfNegative val="0"/>
            <spPr>
              <a:solidFill>
                <a:srgbClr val="ADA6D7"/>
              </a:solidFill>
              <a:ln>
                <a:noFill/>
                <a:prstDash val="solid"/>
              </a:ln>
            </spPr>
          </dPt>
          <dPt>
            <idx val="46"/>
            <invertIfNegative val="0"/>
            <spPr>
              <a:solidFill>
                <a:srgbClr val="ADA6D7"/>
              </a:solidFill>
              <a:ln>
                <a:noFill/>
                <a:prstDash val="solid"/>
              </a:ln>
            </spPr>
          </dPt>
          <dPt>
            <idx val="47"/>
            <invertIfNegative val="0"/>
            <spPr>
              <a:solidFill>
                <a:srgbClr val="ADA6D7"/>
              </a:solidFill>
              <a:ln>
                <a:noFill/>
                <a:prstDash val="solid"/>
              </a:ln>
            </spPr>
          </dPt>
          <dPt>
            <idx val="48"/>
            <invertIfNegative val="0"/>
            <spPr>
              <a:solidFill>
                <a:srgbClr val="ADA6D7"/>
              </a:solidFill>
              <a:ln>
                <a:noFill/>
                <a:prstDash val="solid"/>
              </a:ln>
            </spPr>
          </dPt>
          <dPt>
            <idx val="49"/>
            <invertIfNegative val="0"/>
            <spPr>
              <a:solidFill>
                <a:srgbClr val="ADA6D7"/>
              </a:solidFill>
              <a:ln>
                <a:noFill/>
                <a:prstDash val="solid"/>
              </a:ln>
            </spPr>
          </dPt>
          <dPt>
            <idx val="50"/>
            <invertIfNegative val="0"/>
            <spPr>
              <a:solidFill>
                <a:srgbClr val="ADA6D7"/>
              </a:solidFill>
              <a:ln>
                <a:noFill/>
                <a:prstDash val="solid"/>
              </a:ln>
            </spPr>
          </dPt>
          <dPt>
            <idx val="51"/>
            <invertIfNegative val="0"/>
            <spPr>
              <a:solidFill>
                <a:srgbClr val="ADA6D7"/>
              </a:solidFill>
              <a:ln>
                <a:noFill/>
                <a:prstDash val="solid"/>
              </a:ln>
            </spPr>
          </dPt>
          <dPt>
            <idx val="52"/>
            <invertIfNegative val="0"/>
            <spPr>
              <a:solidFill>
                <a:srgbClr val="ADA6D7"/>
              </a:solidFill>
              <a:ln>
                <a:noFill/>
                <a:prstDash val="solid"/>
              </a:ln>
            </spPr>
          </dPt>
          <dPt>
            <idx val="53"/>
            <invertIfNegative val="0"/>
            <spPr>
              <a:solidFill>
                <a:srgbClr val="ADA6D7"/>
              </a:solidFill>
              <a:ln>
                <a:noFill/>
                <a:prstDash val="solid"/>
              </a:ln>
            </spPr>
          </dPt>
          <dPt>
            <idx val="54"/>
            <invertIfNegative val="0"/>
            <spPr>
              <a:solidFill>
                <a:srgbClr val="ADA6D7"/>
              </a:solidFill>
              <a:ln>
                <a:noFill/>
                <a:prstDash val="solid"/>
              </a:ln>
            </spPr>
          </dPt>
          <dPt>
            <idx val="55"/>
            <invertIfNegative val="0"/>
            <spPr>
              <a:solidFill>
                <a:srgbClr val="ADA6D7"/>
              </a:solidFill>
              <a:ln>
                <a:noFill/>
                <a:prstDash val="solid"/>
              </a:ln>
            </spPr>
          </dPt>
          <dPt>
            <idx val="56"/>
            <invertIfNegative val="0"/>
            <spPr>
              <a:solidFill>
                <a:srgbClr val="ADA6D7"/>
              </a:solidFill>
              <a:ln>
                <a:noFill/>
                <a:prstDash val="solid"/>
              </a:ln>
            </spPr>
          </dPt>
          <dPt>
            <idx val="57"/>
            <invertIfNegative val="0"/>
            <spPr>
              <a:solidFill>
                <a:srgbClr val="ADA6D7"/>
              </a:solidFill>
              <a:ln>
                <a:noFill/>
                <a:prstDash val="solid"/>
              </a:ln>
            </spPr>
          </dPt>
          <dPt>
            <idx val="58"/>
            <invertIfNegative val="0"/>
            <spPr>
              <a:solidFill>
                <a:srgbClr val="ADA6D7"/>
              </a:solidFill>
              <a:ln>
                <a:noFill/>
                <a:prstDash val="solid"/>
              </a:ln>
            </spPr>
          </dPt>
          <dPt>
            <idx val="59"/>
            <invertIfNegative val="0"/>
            <spPr>
              <a:solidFill>
                <a:srgbClr val="ADA6D7"/>
              </a:solidFill>
              <a:ln>
                <a:noFill/>
                <a:prstDash val="solid"/>
              </a:ln>
            </spPr>
          </dPt>
          <dPt>
            <idx val="60"/>
            <invertIfNegative val="0"/>
            <spPr>
              <a:solidFill>
                <a:srgbClr val="DAD7ED"/>
              </a:solidFill>
              <a:ln>
                <a:noFill/>
                <a:prstDash val="solid"/>
              </a:ln>
            </spPr>
          </dPt>
          <dPt>
            <idx val="61"/>
            <invertIfNegative val="0"/>
            <spPr>
              <a:solidFill>
                <a:srgbClr val="DAD7ED"/>
              </a:solidFill>
              <a:ln>
                <a:noFill/>
                <a:prstDash val="solid"/>
              </a:ln>
            </spPr>
          </dPt>
          <dPt>
            <idx val="62"/>
            <invertIfNegative val="0"/>
            <spPr>
              <a:solidFill>
                <a:srgbClr val="DAD7ED"/>
              </a:solidFill>
              <a:ln>
                <a:noFill/>
                <a:prstDash val="solid"/>
              </a:ln>
            </spPr>
          </dPt>
          <dPt>
            <idx val="63"/>
            <invertIfNegative val="0"/>
            <spPr>
              <a:solidFill>
                <a:srgbClr val="DAD7ED"/>
              </a:solidFill>
              <a:ln>
                <a:noFill/>
                <a:prstDash val="solid"/>
              </a:ln>
            </spPr>
          </dPt>
          <dPt>
            <idx val="64"/>
            <invertIfNegative val="0"/>
            <spPr>
              <a:solidFill>
                <a:srgbClr val="DAD7ED"/>
              </a:solidFill>
              <a:ln>
                <a:noFill/>
                <a:prstDash val="solid"/>
              </a:ln>
            </spPr>
          </dPt>
          <dPt>
            <idx val="65"/>
            <invertIfNegative val="0"/>
            <spPr>
              <a:solidFill>
                <a:srgbClr val="DAD7ED"/>
              </a:solidFill>
              <a:ln>
                <a:noFill/>
                <a:prstDash val="solid"/>
              </a:ln>
            </spPr>
          </dPt>
          <dPt>
            <idx val="66"/>
            <invertIfNegative val="0"/>
            <spPr>
              <a:solidFill>
                <a:srgbClr val="DAD7ED"/>
              </a:solidFill>
              <a:ln>
                <a:noFill/>
                <a:prstDash val="solid"/>
              </a:ln>
            </spPr>
          </dPt>
          <dPt>
            <idx val="67"/>
            <invertIfNegative val="0"/>
            <spPr>
              <a:solidFill>
                <a:srgbClr val="DAD7ED"/>
              </a:solidFill>
              <a:ln>
                <a:noFill/>
                <a:prstDash val="solid"/>
              </a:ln>
            </spPr>
          </dPt>
          <dPt>
            <idx val="68"/>
            <invertIfNegative val="0"/>
            <spPr>
              <a:solidFill>
                <a:srgbClr val="DAD7ED"/>
              </a:solidFill>
              <a:ln>
                <a:noFill/>
                <a:prstDash val="solid"/>
              </a:ln>
            </spPr>
          </dPt>
          <dPt>
            <idx val="69"/>
            <invertIfNegative val="0"/>
            <spPr>
              <a:solidFill>
                <a:srgbClr val="DAD7ED"/>
              </a:solidFill>
              <a:ln>
                <a:noFill/>
                <a:prstDash val="solid"/>
              </a:ln>
            </spPr>
          </dPt>
          <dPt>
            <idx val="70"/>
            <invertIfNegative val="0"/>
            <spPr>
              <a:solidFill>
                <a:srgbClr val="DAD7ED"/>
              </a:solidFill>
              <a:ln>
                <a:noFill/>
                <a:prstDash val="solid"/>
              </a:ln>
            </spPr>
          </dPt>
          <dPt>
            <idx val="71"/>
            <invertIfNegative val="0"/>
            <spPr>
              <a:solidFill>
                <a:srgbClr val="DAD7ED"/>
              </a:solidFill>
              <a:ln>
                <a:noFill/>
                <a:prstDash val="solid"/>
              </a:ln>
            </spPr>
          </dPt>
          <dPt>
            <idx val="72"/>
            <invertIfNegative val="0"/>
            <spPr>
              <a:solidFill>
                <a:srgbClr val="DAD7ED"/>
              </a:solidFill>
              <a:ln>
                <a:noFill/>
                <a:prstDash val="solid"/>
              </a:ln>
            </spPr>
          </dPt>
          <dPt>
            <idx val="73"/>
            <invertIfNegative val="0"/>
            <spPr>
              <a:solidFill>
                <a:srgbClr val="DAD7ED"/>
              </a:solidFill>
              <a:ln>
                <a:noFill/>
                <a:prstDash val="solid"/>
              </a:ln>
            </spPr>
          </dPt>
          <dPt>
            <idx val="74"/>
            <invertIfNegative val="0"/>
            <spPr>
              <a:solidFill>
                <a:srgbClr val="DAD7ED"/>
              </a:solidFill>
              <a:ln>
                <a:noFill/>
                <a:prstDash val="solid"/>
              </a:ln>
            </spPr>
          </dPt>
          <dPt>
            <idx val="75"/>
            <invertIfNegative val="0"/>
            <spPr>
              <a:solidFill>
                <a:srgbClr val="DAD7ED"/>
              </a:solidFill>
              <a:ln>
                <a:noFill/>
                <a:prstDash val="solid"/>
              </a:ln>
            </spPr>
          </dPt>
          <dPt>
            <idx val="76"/>
            <invertIfNegative val="0"/>
            <spPr>
              <a:solidFill>
                <a:srgbClr val="DAD7ED"/>
              </a:solidFill>
              <a:ln>
                <a:noFill/>
                <a:prstDash val="solid"/>
              </a:ln>
            </spPr>
          </dPt>
          <dPt>
            <idx val="77"/>
            <invertIfNegative val="0"/>
            <spPr>
              <a:solidFill>
                <a:srgbClr val="DAD7ED"/>
              </a:solidFill>
              <a:ln>
                <a:noFill/>
                <a:prstDash val="solid"/>
              </a:ln>
            </spPr>
          </dPt>
          <dPt>
            <idx val="78"/>
            <invertIfNegative val="0"/>
            <spPr>
              <a:solidFill>
                <a:srgbClr val="DAD7ED"/>
              </a:solidFill>
              <a:ln>
                <a:noFill/>
                <a:prstDash val="solid"/>
              </a:ln>
            </spPr>
          </dPt>
          <dPt>
            <idx val="79"/>
            <invertIfNegative val="0"/>
            <spPr>
              <a:solidFill>
                <a:srgbClr val="DAD7ED"/>
              </a:solidFill>
              <a:ln>
                <a:noFill/>
                <a:prstDash val="solid"/>
              </a:ln>
            </spPr>
          </dPt>
          <dPt>
            <idx val="80"/>
            <invertIfNegative val="0"/>
            <spPr>
              <a:solidFill>
                <a:srgbClr val="DAD7ED"/>
              </a:solidFill>
              <a:ln>
                <a:noFill/>
                <a:prstDash val="solid"/>
              </a:ln>
            </spPr>
          </dPt>
          <dPt>
            <idx val="81"/>
            <invertIfNegative val="0"/>
            <spPr>
              <a:solidFill>
                <a:srgbClr val="DAD7ED"/>
              </a:solidFill>
              <a:ln>
                <a:noFill/>
                <a:prstDash val="solid"/>
              </a:ln>
            </spPr>
          </dPt>
          <dPt>
            <idx val="82"/>
            <invertIfNegative val="0"/>
            <spPr>
              <a:solidFill>
                <a:srgbClr val="DAD7ED"/>
              </a:solidFill>
              <a:ln>
                <a:noFill/>
                <a:prstDash val="solid"/>
              </a:ln>
            </spPr>
          </dPt>
          <dPt>
            <idx val="83"/>
            <invertIfNegative val="0"/>
            <spPr>
              <a:solidFill>
                <a:srgbClr val="DAD7ED"/>
              </a:solidFill>
              <a:ln>
                <a:noFill/>
                <a:prstDash val="solid"/>
              </a:ln>
            </spPr>
          </dPt>
          <dPt>
            <idx val="84"/>
            <invertIfNegative val="0"/>
            <spPr>
              <a:solidFill>
                <a:srgbClr val="DAD7ED"/>
              </a:solidFill>
              <a:ln>
                <a:noFill/>
                <a:prstDash val="solid"/>
              </a:ln>
            </spPr>
          </dPt>
          <dPt>
            <idx val="85"/>
            <invertIfNegative val="0"/>
            <spPr>
              <a:solidFill>
                <a:srgbClr val="DAD7ED"/>
              </a:solidFill>
              <a:ln>
                <a:noFill/>
                <a:prstDash val="solid"/>
              </a:ln>
            </spPr>
          </dPt>
          <dPt>
            <idx val="86"/>
            <invertIfNegative val="0"/>
            <spPr>
              <a:solidFill>
                <a:srgbClr val="DAD7ED"/>
              </a:solidFill>
              <a:ln>
                <a:noFill/>
                <a:prstDash val="solid"/>
              </a:ln>
            </spPr>
          </dPt>
          <dPt>
            <idx val="87"/>
            <invertIfNegative val="0"/>
            <spPr>
              <a:solidFill>
                <a:srgbClr val="DAD7ED"/>
              </a:solidFill>
              <a:ln>
                <a:noFill/>
                <a:prstDash val="solid"/>
              </a:ln>
            </spPr>
          </dPt>
          <dPt>
            <idx val="88"/>
            <invertIfNegative val="0"/>
            <spPr>
              <a:solidFill>
                <a:srgbClr val="DAD7ED"/>
              </a:solidFill>
              <a:ln>
                <a:noFill/>
                <a:prstDash val="solid"/>
              </a:ln>
            </spPr>
          </dPt>
          <dPt>
            <idx val="89"/>
            <invertIfNegative val="0"/>
            <spPr>
              <a:solidFill>
                <a:srgbClr val="DAD7ED"/>
              </a:solidFill>
              <a:ln>
                <a:noFill/>
                <a:prstDash val="solid"/>
              </a:ln>
            </spPr>
          </dPt>
          <dPt>
            <idx val="90"/>
            <invertIfNegative val="0"/>
            <spPr>
              <a:solidFill>
                <a:srgbClr val="DAD7ED"/>
              </a:solidFill>
              <a:ln>
                <a:noFill/>
                <a:prstDash val="solid"/>
              </a:ln>
            </spPr>
          </dPt>
          <dPt>
            <idx val="91"/>
            <invertIfNegative val="0"/>
            <spPr>
              <a:solidFill>
                <a:srgbClr val="DAD7ED"/>
              </a:solidFill>
              <a:ln>
                <a:noFill/>
                <a:prstDash val="solid"/>
              </a:ln>
            </spPr>
          </dPt>
          <dPt>
            <idx val="92"/>
            <invertIfNegative val="0"/>
            <spPr>
              <a:solidFill>
                <a:srgbClr val="DAD7ED"/>
              </a:solidFill>
              <a:ln>
                <a:noFill/>
                <a:prstDash val="solid"/>
              </a:ln>
            </spPr>
          </dPt>
          <dPt>
            <idx val="93"/>
            <invertIfNegative val="0"/>
            <spPr>
              <a:solidFill>
                <a:srgbClr val="DAD7ED"/>
              </a:solidFill>
              <a:ln>
                <a:noFill/>
                <a:prstDash val="solid"/>
              </a:ln>
            </spPr>
          </dPt>
          <dPt>
            <idx val="94"/>
            <invertIfNegative val="0"/>
            <spPr>
              <a:solidFill>
                <a:srgbClr val="DAD7ED"/>
              </a:solidFill>
              <a:ln>
                <a:noFill/>
                <a:prstDash val="solid"/>
              </a:ln>
            </spPr>
          </dPt>
          <dPt>
            <idx val="95"/>
            <invertIfNegative val="0"/>
            <spPr>
              <a:solidFill>
                <a:srgbClr val="DAD7ED"/>
              </a:solidFill>
              <a:ln>
                <a:noFill/>
                <a:prstDash val="solid"/>
              </a:ln>
            </spPr>
          </dPt>
          <dPt>
            <idx val="96"/>
            <invertIfNegative val="0"/>
            <spPr>
              <a:solidFill>
                <a:srgbClr val="DAD7ED"/>
              </a:solidFill>
              <a:ln>
                <a:noFill/>
                <a:prstDash val="solid"/>
              </a:ln>
            </spPr>
          </dPt>
          <dPt>
            <idx val="97"/>
            <invertIfNegative val="0"/>
            <spPr>
              <a:solidFill>
                <a:srgbClr val="DAD7ED"/>
              </a:solidFill>
              <a:ln>
                <a:noFill/>
                <a:prstDash val="solid"/>
              </a:ln>
            </spPr>
          </dPt>
          <dPt>
            <idx val="98"/>
            <invertIfNegative val="0"/>
            <spPr>
              <a:solidFill>
                <a:srgbClr val="DAD7ED"/>
              </a:solidFill>
              <a:ln>
                <a:noFill/>
                <a:prstDash val="solid"/>
              </a:ln>
            </spPr>
          </dPt>
          <dPt>
            <idx val="99"/>
            <invertIfNegative val="0"/>
            <spPr>
              <a:solidFill>
                <a:srgbClr val="DAD7ED"/>
              </a:solidFill>
              <a:ln>
                <a:noFill/>
                <a:prstDash val="solid"/>
              </a:ln>
            </spPr>
          </dPt>
          <dPt>
            <idx val="100"/>
            <invertIfNegative val="0"/>
            <spPr>
              <a:solidFill>
                <a:srgbClr val="DAD7ED"/>
              </a:solidFill>
              <a:ln>
                <a:noFill/>
                <a:prstDash val="solid"/>
              </a:ln>
            </spPr>
          </dPt>
          <dPt>
            <idx val="101"/>
            <invertIfNegative val="0"/>
            <spPr>
              <a:solidFill>
                <a:srgbClr val="DAD7ED"/>
              </a:solidFill>
              <a:ln>
                <a:noFill/>
                <a:prstDash val="solid"/>
              </a:ln>
            </spPr>
          </dPt>
          <dPt>
            <idx val="102"/>
            <invertIfNegative val="0"/>
            <spPr>
              <a:solidFill>
                <a:srgbClr val="DAD7ED"/>
              </a:solidFill>
              <a:ln>
                <a:noFill/>
                <a:prstDash val="solid"/>
              </a:ln>
            </spPr>
          </dPt>
          <dPt>
            <idx val="103"/>
            <invertIfNegative val="0"/>
            <spPr>
              <a:solidFill>
                <a:srgbClr val="DAD7ED"/>
              </a:solidFill>
              <a:ln>
                <a:noFill/>
                <a:prstDash val="solid"/>
              </a:ln>
            </spPr>
          </dPt>
          <dPt>
            <idx val="104"/>
            <invertIfNegative val="0"/>
            <spPr>
              <a:solidFill>
                <a:srgbClr val="DAD7ED"/>
              </a:solidFill>
              <a:ln>
                <a:noFill/>
                <a:prstDash val="solid"/>
              </a:ln>
            </spPr>
          </dPt>
          <dPt>
            <idx val="105"/>
            <invertIfNegative val="0"/>
            <spPr>
              <a:solidFill>
                <a:srgbClr val="DAD7ED"/>
              </a:solidFill>
              <a:ln>
                <a:noFill/>
                <a:prstDash val="solid"/>
              </a:ln>
            </spPr>
          </dPt>
          <dPt>
            <idx val="106"/>
            <invertIfNegative val="0"/>
            <spPr>
              <a:solidFill>
                <a:srgbClr val="DAD7ED"/>
              </a:solidFill>
              <a:ln>
                <a:noFill/>
                <a:prstDash val="solid"/>
              </a:ln>
            </spPr>
          </dPt>
          <dPt>
            <idx val="107"/>
            <invertIfNegative val="0"/>
            <spPr>
              <a:solidFill>
                <a:srgbClr val="DAD7ED"/>
              </a:solidFill>
              <a:ln>
                <a:noFill/>
                <a:prstDash val="solid"/>
              </a:ln>
            </spPr>
          </dPt>
          <dPt>
            <idx val="108"/>
            <invertIfNegative val="0"/>
            <spPr>
              <a:solidFill>
                <a:srgbClr val="DAD7ED"/>
              </a:solidFill>
              <a:ln>
                <a:noFill/>
                <a:prstDash val="solid"/>
              </a:ln>
            </spPr>
          </dPt>
          <dPt>
            <idx val="109"/>
            <invertIfNegative val="0"/>
            <spPr>
              <a:solidFill>
                <a:srgbClr val="DAD7ED"/>
              </a:solidFill>
              <a:ln>
                <a:noFill/>
                <a:prstDash val="solid"/>
              </a:ln>
            </spPr>
          </dPt>
          <dPt>
            <idx val="110"/>
            <invertIfNegative val="0"/>
            <spPr>
              <a:solidFill>
                <a:srgbClr val="DAD7ED"/>
              </a:solidFill>
              <a:ln>
                <a:noFill/>
                <a:prstDash val="solid"/>
              </a:ln>
            </spPr>
          </dPt>
          <dPt>
            <idx val="111"/>
            <invertIfNegative val="0"/>
            <spPr>
              <a:solidFill>
                <a:srgbClr val="DAD7ED"/>
              </a:solidFill>
              <a:ln>
                <a:noFill/>
                <a:prstDash val="solid"/>
              </a:ln>
            </spPr>
          </dPt>
          <dPt>
            <idx val="112"/>
            <invertIfNegative val="0"/>
            <spPr>
              <a:solidFill>
                <a:srgbClr val="DAD7ED"/>
              </a:solidFill>
              <a:ln>
                <a:noFill/>
                <a:prstDash val="solid"/>
              </a:ln>
            </spPr>
          </dPt>
          <dPt>
            <idx val="113"/>
            <invertIfNegative val="0"/>
            <spPr>
              <a:solidFill>
                <a:srgbClr val="DAD7ED"/>
              </a:solidFill>
              <a:ln>
                <a:noFill/>
                <a:prstDash val="solid"/>
              </a:ln>
            </spPr>
          </dPt>
          <dPt>
            <idx val="114"/>
            <invertIfNegative val="0"/>
            <spPr>
              <a:solidFill>
                <a:srgbClr val="DAD7ED"/>
              </a:solidFill>
              <a:ln>
                <a:noFill/>
                <a:prstDash val="solid"/>
              </a:ln>
            </spPr>
          </dPt>
          <dPt>
            <idx val="115"/>
            <invertIfNegative val="0"/>
            <spPr>
              <a:solidFill>
                <a:srgbClr val="DAD7ED"/>
              </a:solidFill>
              <a:ln>
                <a:noFill/>
                <a:prstDash val="solid"/>
              </a:ln>
            </spPr>
          </dPt>
          <dPt>
            <idx val="116"/>
            <invertIfNegative val="0"/>
            <spPr>
              <a:solidFill>
                <a:srgbClr val="DAD7ED"/>
              </a:solidFill>
              <a:ln>
                <a:noFill/>
                <a:prstDash val="solid"/>
              </a:ln>
            </spPr>
          </dPt>
          <dPt>
            <idx val="117"/>
            <invertIfNegative val="0"/>
            <spPr>
              <a:solidFill>
                <a:srgbClr val="DAD7ED"/>
              </a:solidFill>
              <a:ln>
                <a:noFill/>
                <a:prstDash val="solid"/>
              </a:ln>
            </spPr>
          </dPt>
          <dPt>
            <idx val="118"/>
            <invertIfNegative val="0"/>
            <spPr>
              <a:solidFill>
                <a:srgbClr val="DAD7ED"/>
              </a:solidFill>
              <a:ln>
                <a:noFill/>
                <a:prstDash val="solid"/>
              </a:ln>
            </spPr>
          </dPt>
          <dPt>
            <idx val="119"/>
            <invertIfNegative val="0"/>
            <spPr>
              <a:solidFill>
                <a:srgbClr val="DAD7ED"/>
              </a:solidFill>
              <a:ln>
                <a:noFill/>
                <a:prstDash val="solid"/>
              </a:ln>
            </spPr>
          </dPt>
          <cat>
            <numRef>
              <f>'Chart - Demand to 2033'!$A$2:$A$121</f>
            </numRef>
          </cat>
          <val>
            <numRef>
              <f>'Chart - Demand to 2033'!$H$2:$H$121</f>
            </numRef>
          </val>
        </ser>
        <gapWidth val="30"/>
        <overlap val="100"/>
        <axId val="10"/>
        <axId val="100"/>
      </barChart>
      <lineChart>
        <grouping val="standard"/>
        <ser>
          <idx val="7"/>
          <order val="7"/>
          <tx>
            <strRef>
              <f>'Chart - Demand to 2033'!I1</f>
            </strRef>
          </tx>
          <spPr>
            <a:ln w="28575">
              <a:solidFill>
                <a:srgbClr val="252525"/>
              </a:solidFill>
              <a:prstDash val="solid"/>
            </a:ln>
          </spPr>
          <marker>
            <symbol val="none"/>
            <spPr>
              <a:ln>
                <a:prstDash val="solid"/>
              </a:ln>
            </spPr>
          </marker>
          <cat>
            <numRef>
              <f>'Chart - Demand to 2033'!$A$2:$A$121</f>
            </numRef>
          </cat>
          <val>
            <numRef>
              <f>'Chart - Demand to 2033'!$I$2:$I$121</f>
            </numRef>
          </val>
          <smooth val="0"/>
        </ser>
        <ser>
          <idx val="8"/>
          <order val="8"/>
          <tx>
            <strRef>
              <f>'Chart - Demand to 2033'!J1</f>
            </strRef>
          </tx>
          <spPr>
            <a:ln w="28575">
              <a:solidFill>
                <a:srgbClr val="252525"/>
              </a:solidFill>
              <a:prstDash val="dash"/>
            </a:ln>
          </spPr>
          <marker>
            <symbol val="none"/>
            <spPr>
              <a:ln>
                <a:prstDash val="solid"/>
              </a:ln>
            </spPr>
          </marker>
          <cat>
            <numRef>
              <f>'Chart - Demand to 2033'!$A$2:$A$121</f>
            </numRef>
          </cat>
          <val>
            <numRef>
              <f>'Chart - Demand to 2033'!$J$2:$J$121</f>
            </numRef>
          </val>
          <smooth val="0"/>
        </ser>
        <ser>
          <idx val="9"/>
          <order val="9"/>
          <tx>
            <strRef>
              <f>'Chart - Demand to 2033'!K1</f>
            </strRef>
          </tx>
          <spPr>
            <a:ln w="28575">
              <a:solidFill>
                <a:srgbClr val="252525"/>
              </a:solidFill>
              <a:prstDash val="sysDot"/>
            </a:ln>
          </spPr>
          <marker>
            <symbol val="none"/>
            <spPr>
              <a:ln>
                <a:prstDash val="solid"/>
              </a:ln>
            </spPr>
          </marker>
          <cat>
            <numRef>
              <f>'Chart - Demand to 2033'!$A$2:$A$121</f>
            </numRef>
          </cat>
          <val>
            <numRef>
              <f>'Chart - Demand to 2033'!$K$2:$K$121</f>
            </numRef>
          </val>
          <smooth val="0"/>
        </ser>
        <ser>
          <idx val="10"/>
          <order val="10"/>
          <tx>
            <strRef>
              <f>'Chart - Demand to 2033'!L1</f>
            </strRef>
          </tx>
          <spPr>
            <a:ln w="28575">
              <a:solidFill>
                <a:srgbClr val="6D4C41"/>
              </a:solidFill>
              <a:prstDash val="dash"/>
            </a:ln>
          </spPr>
          <marker>
            <symbol val="none"/>
            <spPr>
              <a:ln>
                <a:prstDash val="solid"/>
              </a:ln>
            </spPr>
          </marker>
          <cat>
            <numRef>
              <f>'Chart - Demand to 2033'!$A$2:$A$121</f>
            </numRef>
          </cat>
          <val>
            <numRef>
              <f>'Chart - Demand to 2033'!$L$2:$L$121</f>
            </numRef>
          </val>
          <smooth val="0"/>
        </ser>
        <ser>
          <idx val="11"/>
          <order val="11"/>
          <tx>
            <strRef>
              <f>'Chart - Demand to 2033'!M1</f>
            </strRef>
          </tx>
          <spPr>
            <a:ln w="28575">
              <a:solidFill>
                <a:srgbClr val="6D4C41"/>
              </a:solidFill>
              <a:prstDash val="solid"/>
            </a:ln>
          </spPr>
          <marker>
            <symbol val="none"/>
            <spPr>
              <a:ln>
                <a:prstDash val="solid"/>
              </a:ln>
            </spPr>
          </marker>
          <cat>
            <numRef>
              <f>'Chart - Demand to 2033'!$A$2:$A$121</f>
            </numRef>
          </cat>
          <val>
            <numRef>
              <f>'Chart - Demand to 2033'!$M$2:$M$121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majorGridlines/>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Implied net outflow to other states incl. storage, to 2033 (scenario after Dec/28)</a:t>
            </a:r>
          </a:p>
          <a:p>
            <a:pPr>
              <a:defRPr/>
            </a:pPr>
            <a:r>
              <a:rPr sz="1200" b="1"/>
              <a:t>Data-centre inputs: 10 of 17 sourced, 3 derived, 1 proxy, 3 assumption (to Dec/33; forecast from Aug/26, scenario from Jan/29)</a:t>
            </a:r>
          </a:p>
        </rich>
      </tx>
      <overlay val="0"/>
    </title>
    <plotArea>
      <lineChart>
        <grouping val="standard"/>
        <ser>
          <idx val="0"/>
          <order val="0"/>
          <tx>
            <strRef>
              <f>'Chart - Outflow to 2033'!B1</f>
            </strRef>
          </tx>
          <spPr>
            <a:ln w="22225">
              <a:solidFill>
                <a:srgbClr val="2A78D6"/>
              </a:solidFill>
              <a:prstDash val="solid"/>
            </a:ln>
          </spPr>
          <marker>
            <symbol val="none"/>
            <spPr>
              <a:ln>
                <a:prstDash val="solid"/>
              </a:ln>
            </spPr>
          </marker>
          <cat>
            <numRef>
              <f>'Chart - Outflow to 2033'!$A$2:$A$121</f>
            </numRef>
          </cat>
          <val>
            <numRef>
              <f>'Chart - Outflow to 2033'!$B$2:$B$121</f>
            </numRef>
          </val>
          <smooth val="0"/>
        </ser>
        <ser>
          <idx val="1"/>
          <order val="1"/>
          <tx>
            <strRef>
              <f>'Chart - Outflow to 2033'!C1</f>
            </strRef>
          </tx>
          <spPr>
            <a:ln w="22225">
              <a:solidFill>
                <a:srgbClr val="EB6834"/>
              </a:solidFill>
              <a:prstDash val="solid"/>
            </a:ln>
          </spPr>
          <marker>
            <symbol val="none"/>
            <spPr>
              <a:ln>
                <a:prstDash val="solid"/>
              </a:ln>
            </spPr>
          </marker>
          <cat>
            <numRef>
              <f>'Chart - Outflow to 2033'!$A$2:$A$121</f>
            </numRef>
          </cat>
          <val>
            <numRef>
              <f>'Chart - Outflow to 2033'!$C$2:$C$121</f>
            </numRef>
          </val>
          <smooth val="0"/>
        </ser>
        <ser>
          <idx val="2"/>
          <order val="2"/>
          <tx>
            <strRef>
              <f>'Chart - Outflow to 2033'!D1</f>
            </strRef>
          </tx>
          <spPr>
            <a:ln w="22225">
              <a:solidFill>
                <a:srgbClr val="1BAF7A"/>
              </a:solidFill>
              <a:prstDash val="solid"/>
            </a:ln>
          </spPr>
          <marker>
            <symbol val="none"/>
            <spPr>
              <a:ln>
                <a:prstDash val="solid"/>
              </a:ln>
            </spPr>
          </marker>
          <cat>
            <numRef>
              <f>'Chart - Outflow to 2033'!$A$2:$A$121</f>
            </numRef>
          </cat>
          <val>
            <numRef>
              <f>'Chart - Outflow to 2033'!$D$2:$D$121</f>
            </numRef>
          </val>
          <smooth val="0"/>
        </ser>
        <ser>
          <idx val="3"/>
          <order val="3"/>
          <tx>
            <strRef>
              <f>'Chart - Outflow to 2033'!E1</f>
            </strRef>
          </tx>
          <spPr>
            <a:ln w="22225">
              <a:solidFill>
                <a:srgbClr val="EDA100"/>
              </a:solidFill>
              <a:prstDash val="solid"/>
            </a:ln>
          </spPr>
          <marker>
            <symbol val="none"/>
            <spPr>
              <a:ln>
                <a:prstDash val="solid"/>
              </a:ln>
            </spPr>
          </marker>
          <cat>
            <numRef>
              <f>'Chart - Outflow to 2033'!$A$2:$A$121</f>
            </numRef>
          </cat>
          <val>
            <numRef>
              <f>'Chart - Outflow to 2033'!$E$2:$E$121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majorGridlines/>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Texas marketed gas production: history and forecast (EIA STEO regions, Permian takeaway cap) (to Dec/28)</a:t>
            </a:r>
          </a:p>
        </rich>
      </tx>
      <overlay val="0"/>
    </title>
    <plotArea>
      <lineChart>
        <grouping val="standard"/>
        <ser>
          <idx val="0"/>
          <order val="0"/>
          <tx>
            <strRef>
              <f>'Chart - Production'!B1</f>
            </strRef>
          </tx>
          <spPr>
            <a:ln w="22225">
              <a:solidFill>
                <a:srgbClr val="2A78D6"/>
              </a:solidFill>
              <a:prstDash val="solid"/>
            </a:ln>
          </spPr>
          <marker>
            <symbol val="none"/>
            <spPr>
              <a:ln>
                <a:prstDash val="solid"/>
              </a:ln>
            </spPr>
          </marker>
          <cat>
            <numRef>
              <f>'Chart - Production'!$A$2:$A$85</f>
            </numRef>
          </cat>
          <val>
            <numRef>
              <f>'Chart - Production'!$B$2:$B$85</f>
            </numRef>
          </val>
          <smooth val="0"/>
        </ser>
        <ser>
          <idx val="1"/>
          <order val="1"/>
          <tx>
            <strRef>
              <f>'Chart - Production'!C1</f>
            </strRef>
          </tx>
          <spPr>
            <a:ln w="22225">
              <a:solidFill>
                <a:srgbClr val="EB6834"/>
              </a:solidFill>
              <a:prstDash val="solid"/>
            </a:ln>
          </spPr>
          <marker>
            <symbol val="none"/>
            <spPr>
              <a:ln>
                <a:prstDash val="solid"/>
              </a:ln>
            </spPr>
          </marker>
          <cat>
            <numRef>
              <f>'Chart - Production'!$A$2:$A$85</f>
            </numRef>
          </cat>
          <val>
            <numRef>
              <f>'Chart - Production'!$C$2:$C$85</f>
            </numRef>
          </val>
          <smooth val="0"/>
        </ser>
        <ser>
          <idx val="2"/>
          <order val="2"/>
          <tx>
            <strRef>
              <f>'Chart - Production'!D1</f>
            </strRef>
          </tx>
          <spPr>
            <a:ln w="22225">
              <a:solidFill>
                <a:srgbClr val="1BAF7A"/>
              </a:solidFill>
              <a:prstDash val="solid"/>
            </a:ln>
          </spPr>
          <marker>
            <symbol val="none"/>
            <spPr>
              <a:ln>
                <a:prstDash val="solid"/>
              </a:ln>
            </spPr>
          </marker>
          <cat>
            <numRef>
              <f>'Chart - Production'!$A$2:$A$85</f>
            </numRef>
          </cat>
          <val>
            <numRef>
              <f>'Chart - Production'!$D$2:$D$85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7"/>
        <tickMarkSkip val="7"/>
      </catAx>
      <valAx>
        <axId val="100"/>
        <scaling>
          <orientation val="minMax"/>
        </scaling>
        <delete val="0"/>
        <axPos val="l"/>
        <majorGridlines/>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rPr sz="1200" b="1"/>
              <a:t>Implied net outflow incl. storage, base and LNG-delayed scenarios</a:t>
            </a:r>
          </a:p>
          <a:p>
            <a:pPr>
              <a:defRPr/>
            </a:pPr>
            <a:r>
              <a:rPr sz="1200" b="1"/>
              <a:t>(dry production + storage withdrawal - demand incl. LNG - storage injection; includes withheld fuel) (to Dec/28)</a:t>
            </a:r>
          </a:p>
        </rich>
      </tx>
      <overlay val="0"/>
    </title>
    <plotArea>
      <lineChart>
        <grouping val="standard"/>
        <ser>
          <idx val="0"/>
          <order val="0"/>
          <tx>
            <strRef>
              <f>'Chart - Net outflow'!B1</f>
            </strRef>
          </tx>
          <spPr>
            <a:ln w="22225">
              <a:solidFill>
                <a:srgbClr val="2A78D6"/>
              </a:solidFill>
              <a:prstDash val="solid"/>
            </a:ln>
          </spPr>
          <marker>
            <symbol val="none"/>
            <spPr>
              <a:ln>
                <a:prstDash val="solid"/>
              </a:ln>
            </spPr>
          </marker>
          <cat>
            <numRef>
              <f>'Chart - Net outflow'!$A$2:$A$97</f>
            </numRef>
          </cat>
          <val>
            <numRef>
              <f>'Chart - Net outflow'!$B$2:$B$97</f>
            </numRef>
          </val>
          <smooth val="0"/>
        </ser>
        <ser>
          <idx val="1"/>
          <order val="1"/>
          <tx>
            <strRef>
              <f>'Chart - Net outflow'!C1</f>
            </strRef>
          </tx>
          <spPr>
            <a:ln w="22225">
              <a:solidFill>
                <a:srgbClr val="EB6834"/>
              </a:solidFill>
              <a:prstDash val="solid"/>
            </a:ln>
          </spPr>
          <marker>
            <symbol val="none"/>
            <spPr>
              <a:ln>
                <a:prstDash val="solid"/>
              </a:ln>
            </spPr>
          </marker>
          <cat>
            <numRef>
              <f>'Chart - Net outflow'!$A$2:$A$97</f>
            </numRef>
          </cat>
          <val>
            <numRef>
              <f>'Chart - Net outflow'!$C$2:$C$97</f>
            </numRef>
          </val>
          <smooth val="0"/>
        </ser>
        <ser>
          <idx val="2"/>
          <order val="2"/>
          <tx>
            <strRef>
              <f>'Chart - Net outflow'!D1</f>
            </strRef>
          </tx>
          <spPr>
            <a:ln w="22225">
              <a:solidFill>
                <a:srgbClr val="1BAF7A"/>
              </a:solidFill>
              <a:prstDash val="solid"/>
            </a:ln>
          </spPr>
          <marker>
            <symbol val="none"/>
            <spPr>
              <a:ln>
                <a:prstDash val="solid"/>
              </a:ln>
            </spPr>
          </marker>
          <cat>
            <numRef>
              <f>'Chart - Net outflow'!$A$2:$A$97</f>
            </numRef>
          </cat>
          <val>
            <numRef>
              <f>'Chart - Net outflow'!$D$2:$D$97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8"/>
        <tickMarkSkip val="8"/>
      </catAx>
      <valAx>
        <axId val="100"/>
        <scaling>
          <orientation val="minMax"/>
        </scaling>
        <delete val="0"/>
        <axPos val="l"/>
        <majorGridlines/>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rPr sz="1200" b="1"/>
              <a:t>Texas underground gas storage: gross injections and withdrawals</a:t>
            </a:r>
          </a:p>
          <a:p>
            <a:pPr>
              <a:defRPr/>
            </a:pPr>
            <a:r>
              <a:rPr sz="1200" b="1"/>
              <a:t>(EIA to the latest month; later months = seasonal pattern of the last 3 years) (to Dec/33; forecast from Aug/26, lighter bars)</a:t>
            </a:r>
          </a:p>
        </rich>
      </tx>
      <overlay val="0"/>
    </title>
    <plotArea>
      <barChart>
        <barDir val="col"/>
        <grouping val="stacked"/>
        <ser>
          <idx val="0"/>
          <order val="0"/>
          <tx>
            <strRef>
              <f>'Chart - Storage'!B1</f>
            </strRef>
          </tx>
          <spPr>
            <a:solidFill>
              <a:srgbClr val="2A78D6"/>
            </a:solidFill>
            <a:ln>
              <a:noFill/>
              <a:prstDash val="solid"/>
            </a:ln>
          </spPr>
          <dPt>
            <idx val="67"/>
            <invertIfNegative val="0"/>
            <spPr>
              <a:solidFill>
                <a:srgbClr val="9FC2EC"/>
              </a:solidFill>
              <a:ln>
                <a:noFill/>
                <a:prstDash val="solid"/>
              </a:ln>
            </spPr>
          </dPt>
          <dPt>
            <idx val="68"/>
            <invertIfNegative val="0"/>
            <spPr>
              <a:solidFill>
                <a:srgbClr val="9FC2EC"/>
              </a:solidFill>
              <a:ln>
                <a:noFill/>
                <a:prstDash val="solid"/>
              </a:ln>
            </spPr>
          </dPt>
          <dPt>
            <idx val="69"/>
            <invertIfNegative val="0"/>
            <spPr>
              <a:solidFill>
                <a:srgbClr val="9FC2EC"/>
              </a:solidFill>
              <a:ln>
                <a:noFill/>
                <a:prstDash val="solid"/>
              </a:ln>
            </spPr>
          </dPt>
          <dPt>
            <idx val="70"/>
            <invertIfNegative val="0"/>
            <spPr>
              <a:solidFill>
                <a:srgbClr val="9FC2EC"/>
              </a:solidFill>
              <a:ln>
                <a:noFill/>
                <a:prstDash val="solid"/>
              </a:ln>
            </spPr>
          </dPt>
          <dPt>
            <idx val="71"/>
            <invertIfNegative val="0"/>
            <spPr>
              <a:solidFill>
                <a:srgbClr val="9FC2EC"/>
              </a:solidFill>
              <a:ln>
                <a:noFill/>
                <a:prstDash val="solid"/>
              </a:ln>
            </spPr>
          </dPt>
          <dPt>
            <idx val="72"/>
            <invertIfNegative val="0"/>
            <spPr>
              <a:solidFill>
                <a:srgbClr val="9FC2EC"/>
              </a:solidFill>
              <a:ln>
                <a:noFill/>
                <a:prstDash val="solid"/>
              </a:ln>
            </spPr>
          </dPt>
          <dPt>
            <idx val="73"/>
            <invertIfNegative val="0"/>
            <spPr>
              <a:solidFill>
                <a:srgbClr val="9FC2EC"/>
              </a:solidFill>
              <a:ln>
                <a:noFill/>
                <a:prstDash val="solid"/>
              </a:ln>
            </spPr>
          </dPt>
          <dPt>
            <idx val="74"/>
            <invertIfNegative val="0"/>
            <spPr>
              <a:solidFill>
                <a:srgbClr val="9FC2EC"/>
              </a:solidFill>
              <a:ln>
                <a:noFill/>
                <a:prstDash val="solid"/>
              </a:ln>
            </spPr>
          </dPt>
          <dPt>
            <idx val="75"/>
            <invertIfNegative val="0"/>
            <spPr>
              <a:solidFill>
                <a:srgbClr val="9FC2EC"/>
              </a:solidFill>
              <a:ln>
                <a:noFill/>
                <a:prstDash val="solid"/>
              </a:ln>
            </spPr>
          </dPt>
          <dPt>
            <idx val="76"/>
            <invertIfNegative val="0"/>
            <spPr>
              <a:solidFill>
                <a:srgbClr val="9FC2EC"/>
              </a:solidFill>
              <a:ln>
                <a:noFill/>
                <a:prstDash val="solid"/>
              </a:ln>
            </spPr>
          </dPt>
          <dPt>
            <idx val="77"/>
            <invertIfNegative val="0"/>
            <spPr>
              <a:solidFill>
                <a:srgbClr val="9FC2EC"/>
              </a:solidFill>
              <a:ln>
                <a:noFill/>
                <a:prstDash val="solid"/>
              </a:ln>
            </spPr>
          </dPt>
          <dPt>
            <idx val="78"/>
            <invertIfNegative val="0"/>
            <spPr>
              <a:solidFill>
                <a:srgbClr val="9FC2EC"/>
              </a:solidFill>
              <a:ln>
                <a:noFill/>
                <a:prstDash val="solid"/>
              </a:ln>
            </spPr>
          </dPt>
          <dPt>
            <idx val="79"/>
            <invertIfNegative val="0"/>
            <spPr>
              <a:solidFill>
                <a:srgbClr val="9FC2EC"/>
              </a:solidFill>
              <a:ln>
                <a:noFill/>
                <a:prstDash val="solid"/>
              </a:ln>
            </spPr>
          </dPt>
          <dPt>
            <idx val="80"/>
            <invertIfNegative val="0"/>
            <spPr>
              <a:solidFill>
                <a:srgbClr val="9FC2EC"/>
              </a:solidFill>
              <a:ln>
                <a:noFill/>
                <a:prstDash val="solid"/>
              </a:ln>
            </spPr>
          </dPt>
          <dPt>
            <idx val="81"/>
            <invertIfNegative val="0"/>
            <spPr>
              <a:solidFill>
                <a:srgbClr val="9FC2EC"/>
              </a:solidFill>
              <a:ln>
                <a:noFill/>
                <a:prstDash val="solid"/>
              </a:ln>
            </spPr>
          </dPt>
          <dPt>
            <idx val="82"/>
            <invertIfNegative val="0"/>
            <spPr>
              <a:solidFill>
                <a:srgbClr val="9FC2EC"/>
              </a:solidFill>
              <a:ln>
                <a:noFill/>
                <a:prstDash val="solid"/>
              </a:ln>
            </spPr>
          </dPt>
          <dPt>
            <idx val="83"/>
            <invertIfNegative val="0"/>
            <spPr>
              <a:solidFill>
                <a:srgbClr val="9FC2EC"/>
              </a:solidFill>
              <a:ln>
                <a:noFill/>
                <a:prstDash val="solid"/>
              </a:ln>
            </spPr>
          </dPt>
          <dPt>
            <idx val="84"/>
            <invertIfNegative val="0"/>
            <spPr>
              <a:solidFill>
                <a:srgbClr val="9FC2EC"/>
              </a:solidFill>
              <a:ln>
                <a:noFill/>
                <a:prstDash val="solid"/>
              </a:ln>
            </spPr>
          </dPt>
          <dPt>
            <idx val="85"/>
            <invertIfNegative val="0"/>
            <spPr>
              <a:solidFill>
                <a:srgbClr val="9FC2EC"/>
              </a:solidFill>
              <a:ln>
                <a:noFill/>
                <a:prstDash val="solid"/>
              </a:ln>
            </spPr>
          </dPt>
          <dPt>
            <idx val="86"/>
            <invertIfNegative val="0"/>
            <spPr>
              <a:solidFill>
                <a:srgbClr val="9FC2EC"/>
              </a:solidFill>
              <a:ln>
                <a:noFill/>
                <a:prstDash val="solid"/>
              </a:ln>
            </spPr>
          </dPt>
          <dPt>
            <idx val="87"/>
            <invertIfNegative val="0"/>
            <spPr>
              <a:solidFill>
                <a:srgbClr val="9FC2EC"/>
              </a:solidFill>
              <a:ln>
                <a:noFill/>
                <a:prstDash val="solid"/>
              </a:ln>
            </spPr>
          </dPt>
          <dPt>
            <idx val="88"/>
            <invertIfNegative val="0"/>
            <spPr>
              <a:solidFill>
                <a:srgbClr val="9FC2EC"/>
              </a:solidFill>
              <a:ln>
                <a:noFill/>
                <a:prstDash val="solid"/>
              </a:ln>
            </spPr>
          </dPt>
          <dPt>
            <idx val="89"/>
            <invertIfNegative val="0"/>
            <spPr>
              <a:solidFill>
                <a:srgbClr val="9FC2EC"/>
              </a:solidFill>
              <a:ln>
                <a:noFill/>
                <a:prstDash val="solid"/>
              </a:ln>
            </spPr>
          </dPt>
          <dPt>
            <idx val="90"/>
            <invertIfNegative val="0"/>
            <spPr>
              <a:solidFill>
                <a:srgbClr val="9FC2EC"/>
              </a:solidFill>
              <a:ln>
                <a:noFill/>
                <a:prstDash val="solid"/>
              </a:ln>
            </spPr>
          </dPt>
          <dPt>
            <idx val="91"/>
            <invertIfNegative val="0"/>
            <spPr>
              <a:solidFill>
                <a:srgbClr val="9FC2EC"/>
              </a:solidFill>
              <a:ln>
                <a:noFill/>
                <a:prstDash val="solid"/>
              </a:ln>
            </spPr>
          </dPt>
          <dPt>
            <idx val="92"/>
            <invertIfNegative val="0"/>
            <spPr>
              <a:solidFill>
                <a:srgbClr val="9FC2EC"/>
              </a:solidFill>
              <a:ln>
                <a:noFill/>
                <a:prstDash val="solid"/>
              </a:ln>
            </spPr>
          </dPt>
          <dPt>
            <idx val="93"/>
            <invertIfNegative val="0"/>
            <spPr>
              <a:solidFill>
                <a:srgbClr val="9FC2EC"/>
              </a:solidFill>
              <a:ln>
                <a:noFill/>
                <a:prstDash val="solid"/>
              </a:ln>
            </spPr>
          </dPt>
          <dPt>
            <idx val="94"/>
            <invertIfNegative val="0"/>
            <spPr>
              <a:solidFill>
                <a:srgbClr val="9FC2EC"/>
              </a:solidFill>
              <a:ln>
                <a:noFill/>
                <a:prstDash val="solid"/>
              </a:ln>
            </spPr>
          </dPt>
          <dPt>
            <idx val="95"/>
            <invertIfNegative val="0"/>
            <spPr>
              <a:solidFill>
                <a:srgbClr val="9FC2EC"/>
              </a:solidFill>
              <a:ln>
                <a:noFill/>
                <a:prstDash val="solid"/>
              </a:ln>
            </spPr>
          </dPt>
          <dPt>
            <idx val="96"/>
            <invertIfNegative val="0"/>
            <spPr>
              <a:solidFill>
                <a:srgbClr val="9FC2EC"/>
              </a:solidFill>
              <a:ln>
                <a:noFill/>
                <a:prstDash val="solid"/>
              </a:ln>
            </spPr>
          </dPt>
          <dPt>
            <idx val="97"/>
            <invertIfNegative val="0"/>
            <spPr>
              <a:solidFill>
                <a:srgbClr val="9FC2EC"/>
              </a:solidFill>
              <a:ln>
                <a:noFill/>
                <a:prstDash val="solid"/>
              </a:ln>
            </spPr>
          </dPt>
          <dPt>
            <idx val="98"/>
            <invertIfNegative val="0"/>
            <spPr>
              <a:solidFill>
                <a:srgbClr val="9FC2EC"/>
              </a:solidFill>
              <a:ln>
                <a:noFill/>
                <a:prstDash val="solid"/>
              </a:ln>
            </spPr>
          </dPt>
          <dPt>
            <idx val="99"/>
            <invertIfNegative val="0"/>
            <spPr>
              <a:solidFill>
                <a:srgbClr val="9FC2EC"/>
              </a:solidFill>
              <a:ln>
                <a:noFill/>
                <a:prstDash val="solid"/>
              </a:ln>
            </spPr>
          </dPt>
          <dPt>
            <idx val="100"/>
            <invertIfNegative val="0"/>
            <spPr>
              <a:solidFill>
                <a:srgbClr val="9FC2EC"/>
              </a:solidFill>
              <a:ln>
                <a:noFill/>
                <a:prstDash val="solid"/>
              </a:ln>
            </spPr>
          </dPt>
          <dPt>
            <idx val="101"/>
            <invertIfNegative val="0"/>
            <spPr>
              <a:solidFill>
                <a:srgbClr val="9FC2EC"/>
              </a:solidFill>
              <a:ln>
                <a:noFill/>
                <a:prstDash val="solid"/>
              </a:ln>
            </spPr>
          </dPt>
          <dPt>
            <idx val="102"/>
            <invertIfNegative val="0"/>
            <spPr>
              <a:solidFill>
                <a:srgbClr val="9FC2EC"/>
              </a:solidFill>
              <a:ln>
                <a:noFill/>
                <a:prstDash val="solid"/>
              </a:ln>
            </spPr>
          </dPt>
          <dPt>
            <idx val="103"/>
            <invertIfNegative val="0"/>
            <spPr>
              <a:solidFill>
                <a:srgbClr val="9FC2EC"/>
              </a:solidFill>
              <a:ln>
                <a:noFill/>
                <a:prstDash val="solid"/>
              </a:ln>
            </spPr>
          </dPt>
          <dPt>
            <idx val="104"/>
            <invertIfNegative val="0"/>
            <spPr>
              <a:solidFill>
                <a:srgbClr val="9FC2EC"/>
              </a:solidFill>
              <a:ln>
                <a:noFill/>
                <a:prstDash val="solid"/>
              </a:ln>
            </spPr>
          </dPt>
          <dPt>
            <idx val="105"/>
            <invertIfNegative val="0"/>
            <spPr>
              <a:solidFill>
                <a:srgbClr val="9FC2EC"/>
              </a:solidFill>
              <a:ln>
                <a:noFill/>
                <a:prstDash val="solid"/>
              </a:ln>
            </spPr>
          </dPt>
          <dPt>
            <idx val="106"/>
            <invertIfNegative val="0"/>
            <spPr>
              <a:solidFill>
                <a:srgbClr val="9FC2EC"/>
              </a:solidFill>
              <a:ln>
                <a:noFill/>
                <a:prstDash val="solid"/>
              </a:ln>
            </spPr>
          </dPt>
          <dPt>
            <idx val="107"/>
            <invertIfNegative val="0"/>
            <spPr>
              <a:solidFill>
                <a:srgbClr val="9FC2EC"/>
              </a:solidFill>
              <a:ln>
                <a:noFill/>
                <a:prstDash val="solid"/>
              </a:ln>
            </spPr>
          </dPt>
          <dPt>
            <idx val="108"/>
            <invertIfNegative val="0"/>
            <spPr>
              <a:solidFill>
                <a:srgbClr val="9FC2EC"/>
              </a:solidFill>
              <a:ln>
                <a:noFill/>
                <a:prstDash val="solid"/>
              </a:ln>
            </spPr>
          </dPt>
          <dPt>
            <idx val="109"/>
            <invertIfNegative val="0"/>
            <spPr>
              <a:solidFill>
                <a:srgbClr val="9FC2EC"/>
              </a:solidFill>
              <a:ln>
                <a:noFill/>
                <a:prstDash val="solid"/>
              </a:ln>
            </spPr>
          </dPt>
          <dPt>
            <idx val="110"/>
            <invertIfNegative val="0"/>
            <spPr>
              <a:solidFill>
                <a:srgbClr val="9FC2EC"/>
              </a:solidFill>
              <a:ln>
                <a:noFill/>
                <a:prstDash val="solid"/>
              </a:ln>
            </spPr>
          </dPt>
          <dPt>
            <idx val="111"/>
            <invertIfNegative val="0"/>
            <spPr>
              <a:solidFill>
                <a:srgbClr val="9FC2EC"/>
              </a:solidFill>
              <a:ln>
                <a:noFill/>
                <a:prstDash val="solid"/>
              </a:ln>
            </spPr>
          </dPt>
          <dPt>
            <idx val="112"/>
            <invertIfNegative val="0"/>
            <spPr>
              <a:solidFill>
                <a:srgbClr val="9FC2EC"/>
              </a:solidFill>
              <a:ln>
                <a:noFill/>
                <a:prstDash val="solid"/>
              </a:ln>
            </spPr>
          </dPt>
          <dPt>
            <idx val="113"/>
            <invertIfNegative val="0"/>
            <spPr>
              <a:solidFill>
                <a:srgbClr val="9FC2EC"/>
              </a:solidFill>
              <a:ln>
                <a:noFill/>
                <a:prstDash val="solid"/>
              </a:ln>
            </spPr>
          </dPt>
          <dPt>
            <idx val="114"/>
            <invertIfNegative val="0"/>
            <spPr>
              <a:solidFill>
                <a:srgbClr val="9FC2EC"/>
              </a:solidFill>
              <a:ln>
                <a:noFill/>
                <a:prstDash val="solid"/>
              </a:ln>
            </spPr>
          </dPt>
          <dPt>
            <idx val="115"/>
            <invertIfNegative val="0"/>
            <spPr>
              <a:solidFill>
                <a:srgbClr val="9FC2EC"/>
              </a:solidFill>
              <a:ln>
                <a:noFill/>
                <a:prstDash val="solid"/>
              </a:ln>
            </spPr>
          </dPt>
          <dPt>
            <idx val="116"/>
            <invertIfNegative val="0"/>
            <spPr>
              <a:solidFill>
                <a:srgbClr val="9FC2EC"/>
              </a:solidFill>
              <a:ln>
                <a:noFill/>
                <a:prstDash val="solid"/>
              </a:ln>
            </spPr>
          </dPt>
          <dPt>
            <idx val="117"/>
            <invertIfNegative val="0"/>
            <spPr>
              <a:solidFill>
                <a:srgbClr val="9FC2EC"/>
              </a:solidFill>
              <a:ln>
                <a:noFill/>
                <a:prstDash val="solid"/>
              </a:ln>
            </spPr>
          </dPt>
          <dPt>
            <idx val="118"/>
            <invertIfNegative val="0"/>
            <spPr>
              <a:solidFill>
                <a:srgbClr val="9FC2EC"/>
              </a:solidFill>
              <a:ln>
                <a:noFill/>
                <a:prstDash val="solid"/>
              </a:ln>
            </spPr>
          </dPt>
          <dPt>
            <idx val="119"/>
            <invertIfNegative val="0"/>
            <spPr>
              <a:solidFill>
                <a:srgbClr val="9FC2EC"/>
              </a:solidFill>
              <a:ln>
                <a:noFill/>
                <a:prstDash val="solid"/>
              </a:ln>
            </spPr>
          </dPt>
          <dPt>
            <idx val="120"/>
            <invertIfNegative val="0"/>
            <spPr>
              <a:solidFill>
                <a:srgbClr val="9FC2EC"/>
              </a:solidFill>
              <a:ln>
                <a:noFill/>
                <a:prstDash val="solid"/>
              </a:ln>
            </spPr>
          </dPt>
          <dPt>
            <idx val="121"/>
            <invertIfNegative val="0"/>
            <spPr>
              <a:solidFill>
                <a:srgbClr val="9FC2EC"/>
              </a:solidFill>
              <a:ln>
                <a:noFill/>
                <a:prstDash val="solid"/>
              </a:ln>
            </spPr>
          </dPt>
          <dPt>
            <idx val="122"/>
            <invertIfNegative val="0"/>
            <spPr>
              <a:solidFill>
                <a:srgbClr val="9FC2EC"/>
              </a:solidFill>
              <a:ln>
                <a:noFill/>
                <a:prstDash val="solid"/>
              </a:ln>
            </spPr>
          </dPt>
          <dPt>
            <idx val="123"/>
            <invertIfNegative val="0"/>
            <spPr>
              <a:solidFill>
                <a:srgbClr val="9FC2EC"/>
              </a:solidFill>
              <a:ln>
                <a:noFill/>
                <a:prstDash val="solid"/>
              </a:ln>
            </spPr>
          </dPt>
          <dPt>
            <idx val="124"/>
            <invertIfNegative val="0"/>
            <spPr>
              <a:solidFill>
                <a:srgbClr val="9FC2EC"/>
              </a:solidFill>
              <a:ln>
                <a:noFill/>
                <a:prstDash val="solid"/>
              </a:ln>
            </spPr>
          </dPt>
          <dPt>
            <idx val="125"/>
            <invertIfNegative val="0"/>
            <spPr>
              <a:solidFill>
                <a:srgbClr val="9FC2EC"/>
              </a:solidFill>
              <a:ln>
                <a:noFill/>
                <a:prstDash val="solid"/>
              </a:ln>
            </spPr>
          </dPt>
          <dPt>
            <idx val="126"/>
            <invertIfNegative val="0"/>
            <spPr>
              <a:solidFill>
                <a:srgbClr val="9FC2EC"/>
              </a:solidFill>
              <a:ln>
                <a:noFill/>
                <a:prstDash val="solid"/>
              </a:ln>
            </spPr>
          </dPt>
          <dPt>
            <idx val="127"/>
            <invertIfNegative val="0"/>
            <spPr>
              <a:solidFill>
                <a:srgbClr val="9FC2EC"/>
              </a:solidFill>
              <a:ln>
                <a:noFill/>
                <a:prstDash val="solid"/>
              </a:ln>
            </spPr>
          </dPt>
          <dPt>
            <idx val="128"/>
            <invertIfNegative val="0"/>
            <spPr>
              <a:solidFill>
                <a:srgbClr val="9FC2EC"/>
              </a:solidFill>
              <a:ln>
                <a:noFill/>
                <a:prstDash val="solid"/>
              </a:ln>
            </spPr>
          </dPt>
          <dPt>
            <idx val="129"/>
            <invertIfNegative val="0"/>
            <spPr>
              <a:solidFill>
                <a:srgbClr val="9FC2EC"/>
              </a:solidFill>
              <a:ln>
                <a:noFill/>
                <a:prstDash val="solid"/>
              </a:ln>
            </spPr>
          </dPt>
          <dPt>
            <idx val="130"/>
            <invertIfNegative val="0"/>
            <spPr>
              <a:solidFill>
                <a:srgbClr val="9FC2EC"/>
              </a:solidFill>
              <a:ln>
                <a:noFill/>
                <a:prstDash val="solid"/>
              </a:ln>
            </spPr>
          </dPt>
          <dPt>
            <idx val="131"/>
            <invertIfNegative val="0"/>
            <spPr>
              <a:solidFill>
                <a:srgbClr val="9FC2EC"/>
              </a:solidFill>
              <a:ln>
                <a:noFill/>
                <a:prstDash val="solid"/>
              </a:ln>
            </spPr>
          </dPt>
          <dPt>
            <idx val="132"/>
            <invertIfNegative val="0"/>
            <spPr>
              <a:solidFill>
                <a:srgbClr val="9FC2EC"/>
              </a:solidFill>
              <a:ln>
                <a:noFill/>
                <a:prstDash val="solid"/>
              </a:ln>
            </spPr>
          </dPt>
          <dPt>
            <idx val="133"/>
            <invertIfNegative val="0"/>
            <spPr>
              <a:solidFill>
                <a:srgbClr val="9FC2EC"/>
              </a:solidFill>
              <a:ln>
                <a:noFill/>
                <a:prstDash val="solid"/>
              </a:ln>
            </spPr>
          </dPt>
          <dPt>
            <idx val="134"/>
            <invertIfNegative val="0"/>
            <spPr>
              <a:solidFill>
                <a:srgbClr val="9FC2EC"/>
              </a:solidFill>
              <a:ln>
                <a:noFill/>
                <a:prstDash val="solid"/>
              </a:ln>
            </spPr>
          </dPt>
          <dPt>
            <idx val="135"/>
            <invertIfNegative val="0"/>
            <spPr>
              <a:solidFill>
                <a:srgbClr val="9FC2EC"/>
              </a:solidFill>
              <a:ln>
                <a:noFill/>
                <a:prstDash val="solid"/>
              </a:ln>
            </spPr>
          </dPt>
          <dPt>
            <idx val="136"/>
            <invertIfNegative val="0"/>
            <spPr>
              <a:solidFill>
                <a:srgbClr val="9FC2EC"/>
              </a:solidFill>
              <a:ln>
                <a:noFill/>
                <a:prstDash val="solid"/>
              </a:ln>
            </spPr>
          </dPt>
          <dPt>
            <idx val="137"/>
            <invertIfNegative val="0"/>
            <spPr>
              <a:solidFill>
                <a:srgbClr val="9FC2EC"/>
              </a:solidFill>
              <a:ln>
                <a:noFill/>
                <a:prstDash val="solid"/>
              </a:ln>
            </spPr>
          </dPt>
          <dPt>
            <idx val="138"/>
            <invertIfNegative val="0"/>
            <spPr>
              <a:solidFill>
                <a:srgbClr val="9FC2EC"/>
              </a:solidFill>
              <a:ln>
                <a:noFill/>
                <a:prstDash val="solid"/>
              </a:ln>
            </spPr>
          </dPt>
          <dPt>
            <idx val="139"/>
            <invertIfNegative val="0"/>
            <spPr>
              <a:solidFill>
                <a:srgbClr val="9FC2EC"/>
              </a:solidFill>
              <a:ln>
                <a:noFill/>
                <a:prstDash val="solid"/>
              </a:ln>
            </spPr>
          </dPt>
          <dPt>
            <idx val="140"/>
            <invertIfNegative val="0"/>
            <spPr>
              <a:solidFill>
                <a:srgbClr val="9FC2EC"/>
              </a:solidFill>
              <a:ln>
                <a:noFill/>
                <a:prstDash val="solid"/>
              </a:ln>
            </spPr>
          </dPt>
          <dPt>
            <idx val="141"/>
            <invertIfNegative val="0"/>
            <spPr>
              <a:solidFill>
                <a:srgbClr val="9FC2EC"/>
              </a:solidFill>
              <a:ln>
                <a:noFill/>
                <a:prstDash val="solid"/>
              </a:ln>
            </spPr>
          </dPt>
          <dPt>
            <idx val="142"/>
            <invertIfNegative val="0"/>
            <spPr>
              <a:solidFill>
                <a:srgbClr val="9FC2EC"/>
              </a:solidFill>
              <a:ln>
                <a:noFill/>
                <a:prstDash val="solid"/>
              </a:ln>
            </spPr>
          </dPt>
          <dPt>
            <idx val="143"/>
            <invertIfNegative val="0"/>
            <spPr>
              <a:solidFill>
                <a:srgbClr val="9FC2EC"/>
              </a:solidFill>
              <a:ln>
                <a:noFill/>
                <a:prstDash val="solid"/>
              </a:ln>
            </spPr>
          </dPt>
          <dPt>
            <idx val="144"/>
            <invertIfNegative val="0"/>
            <spPr>
              <a:solidFill>
                <a:srgbClr val="9FC2EC"/>
              </a:solidFill>
              <a:ln>
                <a:noFill/>
                <a:prstDash val="solid"/>
              </a:ln>
            </spPr>
          </dPt>
          <dPt>
            <idx val="145"/>
            <invertIfNegative val="0"/>
            <spPr>
              <a:solidFill>
                <a:srgbClr val="9FC2EC"/>
              </a:solidFill>
              <a:ln>
                <a:noFill/>
                <a:prstDash val="solid"/>
              </a:ln>
            </spPr>
          </dPt>
          <dPt>
            <idx val="146"/>
            <invertIfNegative val="0"/>
            <spPr>
              <a:solidFill>
                <a:srgbClr val="9FC2EC"/>
              </a:solidFill>
              <a:ln>
                <a:noFill/>
                <a:prstDash val="solid"/>
              </a:ln>
            </spPr>
          </dPt>
          <dPt>
            <idx val="147"/>
            <invertIfNegative val="0"/>
            <spPr>
              <a:solidFill>
                <a:srgbClr val="9FC2EC"/>
              </a:solidFill>
              <a:ln>
                <a:noFill/>
                <a:prstDash val="solid"/>
              </a:ln>
            </spPr>
          </dPt>
          <dPt>
            <idx val="148"/>
            <invertIfNegative val="0"/>
            <spPr>
              <a:solidFill>
                <a:srgbClr val="9FC2EC"/>
              </a:solidFill>
              <a:ln>
                <a:noFill/>
                <a:prstDash val="solid"/>
              </a:ln>
            </spPr>
          </dPt>
          <dPt>
            <idx val="149"/>
            <invertIfNegative val="0"/>
            <spPr>
              <a:solidFill>
                <a:srgbClr val="9FC2EC"/>
              </a:solidFill>
              <a:ln>
                <a:noFill/>
                <a:prstDash val="solid"/>
              </a:ln>
            </spPr>
          </dPt>
          <dPt>
            <idx val="150"/>
            <invertIfNegative val="0"/>
            <spPr>
              <a:solidFill>
                <a:srgbClr val="9FC2EC"/>
              </a:solidFill>
              <a:ln>
                <a:noFill/>
                <a:prstDash val="solid"/>
              </a:ln>
            </spPr>
          </dPt>
          <dPt>
            <idx val="151"/>
            <invertIfNegative val="0"/>
            <spPr>
              <a:solidFill>
                <a:srgbClr val="9FC2EC"/>
              </a:solidFill>
              <a:ln>
                <a:noFill/>
                <a:prstDash val="solid"/>
              </a:ln>
            </spPr>
          </dPt>
          <dPt>
            <idx val="152"/>
            <invertIfNegative val="0"/>
            <spPr>
              <a:solidFill>
                <a:srgbClr val="9FC2EC"/>
              </a:solidFill>
              <a:ln>
                <a:noFill/>
                <a:prstDash val="solid"/>
              </a:ln>
            </spPr>
          </dPt>
          <dPt>
            <idx val="153"/>
            <invertIfNegative val="0"/>
            <spPr>
              <a:solidFill>
                <a:srgbClr val="9FC2EC"/>
              </a:solidFill>
              <a:ln>
                <a:noFill/>
                <a:prstDash val="solid"/>
              </a:ln>
            </spPr>
          </dPt>
          <dPt>
            <idx val="154"/>
            <invertIfNegative val="0"/>
            <spPr>
              <a:solidFill>
                <a:srgbClr val="9FC2EC"/>
              </a:solidFill>
              <a:ln>
                <a:noFill/>
                <a:prstDash val="solid"/>
              </a:ln>
            </spPr>
          </dPt>
          <dPt>
            <idx val="155"/>
            <invertIfNegative val="0"/>
            <spPr>
              <a:solidFill>
                <a:srgbClr val="9FC2EC"/>
              </a:solidFill>
              <a:ln>
                <a:noFill/>
                <a:prstDash val="solid"/>
              </a:ln>
            </spPr>
          </dPt>
          <cat>
            <numRef>
              <f>'Chart - Storage'!$A$2:$A$157</f>
            </numRef>
          </cat>
          <val>
            <numRef>
              <f>'Chart - Storage'!$B$2:$B$157</f>
            </numRef>
          </val>
        </ser>
        <ser>
          <idx val="1"/>
          <order val="1"/>
          <tx>
            <strRef>
              <f>'Chart - Storage'!C1</f>
            </strRef>
          </tx>
          <spPr>
            <a:solidFill>
              <a:srgbClr val="EB6834"/>
            </a:solidFill>
            <a:ln>
              <a:noFill/>
              <a:prstDash val="solid"/>
            </a:ln>
          </spPr>
          <dPt>
            <idx val="67"/>
            <invertIfNegative val="0"/>
            <spPr>
              <a:solidFill>
                <a:srgbClr val="F6BBA3"/>
              </a:solidFill>
              <a:ln>
                <a:noFill/>
                <a:prstDash val="solid"/>
              </a:ln>
            </spPr>
          </dPt>
          <dPt>
            <idx val="68"/>
            <invertIfNegative val="0"/>
            <spPr>
              <a:solidFill>
                <a:srgbClr val="F6BBA3"/>
              </a:solidFill>
              <a:ln>
                <a:noFill/>
                <a:prstDash val="solid"/>
              </a:ln>
            </spPr>
          </dPt>
          <dPt>
            <idx val="69"/>
            <invertIfNegative val="0"/>
            <spPr>
              <a:solidFill>
                <a:srgbClr val="F6BBA3"/>
              </a:solidFill>
              <a:ln>
                <a:noFill/>
                <a:prstDash val="solid"/>
              </a:ln>
            </spPr>
          </dPt>
          <dPt>
            <idx val="70"/>
            <invertIfNegative val="0"/>
            <spPr>
              <a:solidFill>
                <a:srgbClr val="F6BBA3"/>
              </a:solidFill>
              <a:ln>
                <a:noFill/>
                <a:prstDash val="solid"/>
              </a:ln>
            </spPr>
          </dPt>
          <dPt>
            <idx val="71"/>
            <invertIfNegative val="0"/>
            <spPr>
              <a:solidFill>
                <a:srgbClr val="F6BBA3"/>
              </a:solidFill>
              <a:ln>
                <a:noFill/>
                <a:prstDash val="solid"/>
              </a:ln>
            </spPr>
          </dPt>
          <dPt>
            <idx val="72"/>
            <invertIfNegative val="0"/>
            <spPr>
              <a:solidFill>
                <a:srgbClr val="F6BBA3"/>
              </a:solidFill>
              <a:ln>
                <a:noFill/>
                <a:prstDash val="solid"/>
              </a:ln>
            </spPr>
          </dPt>
          <dPt>
            <idx val="73"/>
            <invertIfNegative val="0"/>
            <spPr>
              <a:solidFill>
                <a:srgbClr val="F6BBA3"/>
              </a:solidFill>
              <a:ln>
                <a:noFill/>
                <a:prstDash val="solid"/>
              </a:ln>
            </spPr>
          </dPt>
          <dPt>
            <idx val="74"/>
            <invertIfNegative val="0"/>
            <spPr>
              <a:solidFill>
                <a:srgbClr val="F6BBA3"/>
              </a:solidFill>
              <a:ln>
                <a:noFill/>
                <a:prstDash val="solid"/>
              </a:ln>
            </spPr>
          </dPt>
          <dPt>
            <idx val="75"/>
            <invertIfNegative val="0"/>
            <spPr>
              <a:solidFill>
                <a:srgbClr val="F6BBA3"/>
              </a:solidFill>
              <a:ln>
                <a:noFill/>
                <a:prstDash val="solid"/>
              </a:ln>
            </spPr>
          </dPt>
          <dPt>
            <idx val="76"/>
            <invertIfNegative val="0"/>
            <spPr>
              <a:solidFill>
                <a:srgbClr val="F6BBA3"/>
              </a:solidFill>
              <a:ln>
                <a:noFill/>
                <a:prstDash val="solid"/>
              </a:ln>
            </spPr>
          </dPt>
          <dPt>
            <idx val="77"/>
            <invertIfNegative val="0"/>
            <spPr>
              <a:solidFill>
                <a:srgbClr val="F6BBA3"/>
              </a:solidFill>
              <a:ln>
                <a:noFill/>
                <a:prstDash val="solid"/>
              </a:ln>
            </spPr>
          </dPt>
          <dPt>
            <idx val="78"/>
            <invertIfNegative val="0"/>
            <spPr>
              <a:solidFill>
                <a:srgbClr val="F6BBA3"/>
              </a:solidFill>
              <a:ln>
                <a:noFill/>
                <a:prstDash val="solid"/>
              </a:ln>
            </spPr>
          </dPt>
          <dPt>
            <idx val="79"/>
            <invertIfNegative val="0"/>
            <spPr>
              <a:solidFill>
                <a:srgbClr val="F6BBA3"/>
              </a:solidFill>
              <a:ln>
                <a:noFill/>
                <a:prstDash val="solid"/>
              </a:ln>
            </spPr>
          </dPt>
          <dPt>
            <idx val="80"/>
            <invertIfNegative val="0"/>
            <spPr>
              <a:solidFill>
                <a:srgbClr val="F6BBA3"/>
              </a:solidFill>
              <a:ln>
                <a:noFill/>
                <a:prstDash val="solid"/>
              </a:ln>
            </spPr>
          </dPt>
          <dPt>
            <idx val="81"/>
            <invertIfNegative val="0"/>
            <spPr>
              <a:solidFill>
                <a:srgbClr val="F6BBA3"/>
              </a:solidFill>
              <a:ln>
                <a:noFill/>
                <a:prstDash val="solid"/>
              </a:ln>
            </spPr>
          </dPt>
          <dPt>
            <idx val="82"/>
            <invertIfNegative val="0"/>
            <spPr>
              <a:solidFill>
                <a:srgbClr val="F6BBA3"/>
              </a:solidFill>
              <a:ln>
                <a:noFill/>
                <a:prstDash val="solid"/>
              </a:ln>
            </spPr>
          </dPt>
          <dPt>
            <idx val="83"/>
            <invertIfNegative val="0"/>
            <spPr>
              <a:solidFill>
                <a:srgbClr val="F6BBA3"/>
              </a:solidFill>
              <a:ln>
                <a:noFill/>
                <a:prstDash val="solid"/>
              </a:ln>
            </spPr>
          </dPt>
          <dPt>
            <idx val="84"/>
            <invertIfNegative val="0"/>
            <spPr>
              <a:solidFill>
                <a:srgbClr val="F6BBA3"/>
              </a:solidFill>
              <a:ln>
                <a:noFill/>
                <a:prstDash val="solid"/>
              </a:ln>
            </spPr>
          </dPt>
          <dPt>
            <idx val="85"/>
            <invertIfNegative val="0"/>
            <spPr>
              <a:solidFill>
                <a:srgbClr val="F6BBA3"/>
              </a:solidFill>
              <a:ln>
                <a:noFill/>
                <a:prstDash val="solid"/>
              </a:ln>
            </spPr>
          </dPt>
          <dPt>
            <idx val="86"/>
            <invertIfNegative val="0"/>
            <spPr>
              <a:solidFill>
                <a:srgbClr val="F6BBA3"/>
              </a:solidFill>
              <a:ln>
                <a:noFill/>
                <a:prstDash val="solid"/>
              </a:ln>
            </spPr>
          </dPt>
          <dPt>
            <idx val="87"/>
            <invertIfNegative val="0"/>
            <spPr>
              <a:solidFill>
                <a:srgbClr val="F6BBA3"/>
              </a:solidFill>
              <a:ln>
                <a:noFill/>
                <a:prstDash val="solid"/>
              </a:ln>
            </spPr>
          </dPt>
          <dPt>
            <idx val="88"/>
            <invertIfNegative val="0"/>
            <spPr>
              <a:solidFill>
                <a:srgbClr val="F6BBA3"/>
              </a:solidFill>
              <a:ln>
                <a:noFill/>
                <a:prstDash val="solid"/>
              </a:ln>
            </spPr>
          </dPt>
          <dPt>
            <idx val="89"/>
            <invertIfNegative val="0"/>
            <spPr>
              <a:solidFill>
                <a:srgbClr val="F6BBA3"/>
              </a:solidFill>
              <a:ln>
                <a:noFill/>
                <a:prstDash val="solid"/>
              </a:ln>
            </spPr>
          </dPt>
          <dPt>
            <idx val="90"/>
            <invertIfNegative val="0"/>
            <spPr>
              <a:solidFill>
                <a:srgbClr val="F6BBA3"/>
              </a:solidFill>
              <a:ln>
                <a:noFill/>
                <a:prstDash val="solid"/>
              </a:ln>
            </spPr>
          </dPt>
          <dPt>
            <idx val="91"/>
            <invertIfNegative val="0"/>
            <spPr>
              <a:solidFill>
                <a:srgbClr val="F6BBA3"/>
              </a:solidFill>
              <a:ln>
                <a:noFill/>
                <a:prstDash val="solid"/>
              </a:ln>
            </spPr>
          </dPt>
          <dPt>
            <idx val="92"/>
            <invertIfNegative val="0"/>
            <spPr>
              <a:solidFill>
                <a:srgbClr val="F6BBA3"/>
              </a:solidFill>
              <a:ln>
                <a:noFill/>
                <a:prstDash val="solid"/>
              </a:ln>
            </spPr>
          </dPt>
          <dPt>
            <idx val="93"/>
            <invertIfNegative val="0"/>
            <spPr>
              <a:solidFill>
                <a:srgbClr val="F6BBA3"/>
              </a:solidFill>
              <a:ln>
                <a:noFill/>
                <a:prstDash val="solid"/>
              </a:ln>
            </spPr>
          </dPt>
          <dPt>
            <idx val="94"/>
            <invertIfNegative val="0"/>
            <spPr>
              <a:solidFill>
                <a:srgbClr val="F6BBA3"/>
              </a:solidFill>
              <a:ln>
                <a:noFill/>
                <a:prstDash val="solid"/>
              </a:ln>
            </spPr>
          </dPt>
          <dPt>
            <idx val="95"/>
            <invertIfNegative val="0"/>
            <spPr>
              <a:solidFill>
                <a:srgbClr val="F6BBA3"/>
              </a:solidFill>
              <a:ln>
                <a:noFill/>
                <a:prstDash val="solid"/>
              </a:ln>
            </spPr>
          </dPt>
          <dPt>
            <idx val="96"/>
            <invertIfNegative val="0"/>
            <spPr>
              <a:solidFill>
                <a:srgbClr val="F6BBA3"/>
              </a:solidFill>
              <a:ln>
                <a:noFill/>
                <a:prstDash val="solid"/>
              </a:ln>
            </spPr>
          </dPt>
          <dPt>
            <idx val="97"/>
            <invertIfNegative val="0"/>
            <spPr>
              <a:solidFill>
                <a:srgbClr val="F6BBA3"/>
              </a:solidFill>
              <a:ln>
                <a:noFill/>
                <a:prstDash val="solid"/>
              </a:ln>
            </spPr>
          </dPt>
          <dPt>
            <idx val="98"/>
            <invertIfNegative val="0"/>
            <spPr>
              <a:solidFill>
                <a:srgbClr val="F6BBA3"/>
              </a:solidFill>
              <a:ln>
                <a:noFill/>
                <a:prstDash val="solid"/>
              </a:ln>
            </spPr>
          </dPt>
          <dPt>
            <idx val="99"/>
            <invertIfNegative val="0"/>
            <spPr>
              <a:solidFill>
                <a:srgbClr val="F6BBA3"/>
              </a:solidFill>
              <a:ln>
                <a:noFill/>
                <a:prstDash val="solid"/>
              </a:ln>
            </spPr>
          </dPt>
          <dPt>
            <idx val="100"/>
            <invertIfNegative val="0"/>
            <spPr>
              <a:solidFill>
                <a:srgbClr val="F6BBA3"/>
              </a:solidFill>
              <a:ln>
                <a:noFill/>
                <a:prstDash val="solid"/>
              </a:ln>
            </spPr>
          </dPt>
          <dPt>
            <idx val="101"/>
            <invertIfNegative val="0"/>
            <spPr>
              <a:solidFill>
                <a:srgbClr val="F6BBA3"/>
              </a:solidFill>
              <a:ln>
                <a:noFill/>
                <a:prstDash val="solid"/>
              </a:ln>
            </spPr>
          </dPt>
          <dPt>
            <idx val="102"/>
            <invertIfNegative val="0"/>
            <spPr>
              <a:solidFill>
                <a:srgbClr val="F6BBA3"/>
              </a:solidFill>
              <a:ln>
                <a:noFill/>
                <a:prstDash val="solid"/>
              </a:ln>
            </spPr>
          </dPt>
          <dPt>
            <idx val="103"/>
            <invertIfNegative val="0"/>
            <spPr>
              <a:solidFill>
                <a:srgbClr val="F6BBA3"/>
              </a:solidFill>
              <a:ln>
                <a:noFill/>
                <a:prstDash val="solid"/>
              </a:ln>
            </spPr>
          </dPt>
          <dPt>
            <idx val="104"/>
            <invertIfNegative val="0"/>
            <spPr>
              <a:solidFill>
                <a:srgbClr val="F6BBA3"/>
              </a:solidFill>
              <a:ln>
                <a:noFill/>
                <a:prstDash val="solid"/>
              </a:ln>
            </spPr>
          </dPt>
          <dPt>
            <idx val="105"/>
            <invertIfNegative val="0"/>
            <spPr>
              <a:solidFill>
                <a:srgbClr val="F6BBA3"/>
              </a:solidFill>
              <a:ln>
                <a:noFill/>
                <a:prstDash val="solid"/>
              </a:ln>
            </spPr>
          </dPt>
          <dPt>
            <idx val="106"/>
            <invertIfNegative val="0"/>
            <spPr>
              <a:solidFill>
                <a:srgbClr val="F6BBA3"/>
              </a:solidFill>
              <a:ln>
                <a:noFill/>
                <a:prstDash val="solid"/>
              </a:ln>
            </spPr>
          </dPt>
          <dPt>
            <idx val="107"/>
            <invertIfNegative val="0"/>
            <spPr>
              <a:solidFill>
                <a:srgbClr val="F6BBA3"/>
              </a:solidFill>
              <a:ln>
                <a:noFill/>
                <a:prstDash val="solid"/>
              </a:ln>
            </spPr>
          </dPt>
          <dPt>
            <idx val="108"/>
            <invertIfNegative val="0"/>
            <spPr>
              <a:solidFill>
                <a:srgbClr val="F6BBA3"/>
              </a:solidFill>
              <a:ln>
                <a:noFill/>
                <a:prstDash val="solid"/>
              </a:ln>
            </spPr>
          </dPt>
          <dPt>
            <idx val="109"/>
            <invertIfNegative val="0"/>
            <spPr>
              <a:solidFill>
                <a:srgbClr val="F6BBA3"/>
              </a:solidFill>
              <a:ln>
                <a:noFill/>
                <a:prstDash val="solid"/>
              </a:ln>
            </spPr>
          </dPt>
          <dPt>
            <idx val="110"/>
            <invertIfNegative val="0"/>
            <spPr>
              <a:solidFill>
                <a:srgbClr val="F6BBA3"/>
              </a:solidFill>
              <a:ln>
                <a:noFill/>
                <a:prstDash val="solid"/>
              </a:ln>
            </spPr>
          </dPt>
          <dPt>
            <idx val="111"/>
            <invertIfNegative val="0"/>
            <spPr>
              <a:solidFill>
                <a:srgbClr val="F6BBA3"/>
              </a:solidFill>
              <a:ln>
                <a:noFill/>
                <a:prstDash val="solid"/>
              </a:ln>
            </spPr>
          </dPt>
          <dPt>
            <idx val="112"/>
            <invertIfNegative val="0"/>
            <spPr>
              <a:solidFill>
                <a:srgbClr val="F6BBA3"/>
              </a:solidFill>
              <a:ln>
                <a:noFill/>
                <a:prstDash val="solid"/>
              </a:ln>
            </spPr>
          </dPt>
          <dPt>
            <idx val="113"/>
            <invertIfNegative val="0"/>
            <spPr>
              <a:solidFill>
                <a:srgbClr val="F6BBA3"/>
              </a:solidFill>
              <a:ln>
                <a:noFill/>
                <a:prstDash val="solid"/>
              </a:ln>
            </spPr>
          </dPt>
          <dPt>
            <idx val="114"/>
            <invertIfNegative val="0"/>
            <spPr>
              <a:solidFill>
                <a:srgbClr val="F6BBA3"/>
              </a:solidFill>
              <a:ln>
                <a:noFill/>
                <a:prstDash val="solid"/>
              </a:ln>
            </spPr>
          </dPt>
          <dPt>
            <idx val="115"/>
            <invertIfNegative val="0"/>
            <spPr>
              <a:solidFill>
                <a:srgbClr val="F6BBA3"/>
              </a:solidFill>
              <a:ln>
                <a:noFill/>
                <a:prstDash val="solid"/>
              </a:ln>
            </spPr>
          </dPt>
          <dPt>
            <idx val="116"/>
            <invertIfNegative val="0"/>
            <spPr>
              <a:solidFill>
                <a:srgbClr val="F6BBA3"/>
              </a:solidFill>
              <a:ln>
                <a:noFill/>
                <a:prstDash val="solid"/>
              </a:ln>
            </spPr>
          </dPt>
          <dPt>
            <idx val="117"/>
            <invertIfNegative val="0"/>
            <spPr>
              <a:solidFill>
                <a:srgbClr val="F6BBA3"/>
              </a:solidFill>
              <a:ln>
                <a:noFill/>
                <a:prstDash val="solid"/>
              </a:ln>
            </spPr>
          </dPt>
          <dPt>
            <idx val="118"/>
            <invertIfNegative val="0"/>
            <spPr>
              <a:solidFill>
                <a:srgbClr val="F6BBA3"/>
              </a:solidFill>
              <a:ln>
                <a:noFill/>
                <a:prstDash val="solid"/>
              </a:ln>
            </spPr>
          </dPt>
          <dPt>
            <idx val="119"/>
            <invertIfNegative val="0"/>
            <spPr>
              <a:solidFill>
                <a:srgbClr val="F6BBA3"/>
              </a:solidFill>
              <a:ln>
                <a:noFill/>
                <a:prstDash val="solid"/>
              </a:ln>
            </spPr>
          </dPt>
          <dPt>
            <idx val="120"/>
            <invertIfNegative val="0"/>
            <spPr>
              <a:solidFill>
                <a:srgbClr val="F6BBA3"/>
              </a:solidFill>
              <a:ln>
                <a:noFill/>
                <a:prstDash val="solid"/>
              </a:ln>
            </spPr>
          </dPt>
          <dPt>
            <idx val="121"/>
            <invertIfNegative val="0"/>
            <spPr>
              <a:solidFill>
                <a:srgbClr val="F6BBA3"/>
              </a:solidFill>
              <a:ln>
                <a:noFill/>
                <a:prstDash val="solid"/>
              </a:ln>
            </spPr>
          </dPt>
          <dPt>
            <idx val="122"/>
            <invertIfNegative val="0"/>
            <spPr>
              <a:solidFill>
                <a:srgbClr val="F6BBA3"/>
              </a:solidFill>
              <a:ln>
                <a:noFill/>
                <a:prstDash val="solid"/>
              </a:ln>
            </spPr>
          </dPt>
          <dPt>
            <idx val="123"/>
            <invertIfNegative val="0"/>
            <spPr>
              <a:solidFill>
                <a:srgbClr val="F6BBA3"/>
              </a:solidFill>
              <a:ln>
                <a:noFill/>
                <a:prstDash val="solid"/>
              </a:ln>
            </spPr>
          </dPt>
          <dPt>
            <idx val="124"/>
            <invertIfNegative val="0"/>
            <spPr>
              <a:solidFill>
                <a:srgbClr val="F6BBA3"/>
              </a:solidFill>
              <a:ln>
                <a:noFill/>
                <a:prstDash val="solid"/>
              </a:ln>
            </spPr>
          </dPt>
          <dPt>
            <idx val="125"/>
            <invertIfNegative val="0"/>
            <spPr>
              <a:solidFill>
                <a:srgbClr val="F6BBA3"/>
              </a:solidFill>
              <a:ln>
                <a:noFill/>
                <a:prstDash val="solid"/>
              </a:ln>
            </spPr>
          </dPt>
          <dPt>
            <idx val="126"/>
            <invertIfNegative val="0"/>
            <spPr>
              <a:solidFill>
                <a:srgbClr val="F6BBA3"/>
              </a:solidFill>
              <a:ln>
                <a:noFill/>
                <a:prstDash val="solid"/>
              </a:ln>
            </spPr>
          </dPt>
          <dPt>
            <idx val="127"/>
            <invertIfNegative val="0"/>
            <spPr>
              <a:solidFill>
                <a:srgbClr val="F6BBA3"/>
              </a:solidFill>
              <a:ln>
                <a:noFill/>
                <a:prstDash val="solid"/>
              </a:ln>
            </spPr>
          </dPt>
          <dPt>
            <idx val="128"/>
            <invertIfNegative val="0"/>
            <spPr>
              <a:solidFill>
                <a:srgbClr val="F6BBA3"/>
              </a:solidFill>
              <a:ln>
                <a:noFill/>
                <a:prstDash val="solid"/>
              </a:ln>
            </spPr>
          </dPt>
          <dPt>
            <idx val="129"/>
            <invertIfNegative val="0"/>
            <spPr>
              <a:solidFill>
                <a:srgbClr val="F6BBA3"/>
              </a:solidFill>
              <a:ln>
                <a:noFill/>
                <a:prstDash val="solid"/>
              </a:ln>
            </spPr>
          </dPt>
          <dPt>
            <idx val="130"/>
            <invertIfNegative val="0"/>
            <spPr>
              <a:solidFill>
                <a:srgbClr val="F6BBA3"/>
              </a:solidFill>
              <a:ln>
                <a:noFill/>
                <a:prstDash val="solid"/>
              </a:ln>
            </spPr>
          </dPt>
          <dPt>
            <idx val="131"/>
            <invertIfNegative val="0"/>
            <spPr>
              <a:solidFill>
                <a:srgbClr val="F6BBA3"/>
              </a:solidFill>
              <a:ln>
                <a:noFill/>
                <a:prstDash val="solid"/>
              </a:ln>
            </spPr>
          </dPt>
          <dPt>
            <idx val="132"/>
            <invertIfNegative val="0"/>
            <spPr>
              <a:solidFill>
                <a:srgbClr val="F6BBA3"/>
              </a:solidFill>
              <a:ln>
                <a:noFill/>
                <a:prstDash val="solid"/>
              </a:ln>
            </spPr>
          </dPt>
          <dPt>
            <idx val="133"/>
            <invertIfNegative val="0"/>
            <spPr>
              <a:solidFill>
                <a:srgbClr val="F6BBA3"/>
              </a:solidFill>
              <a:ln>
                <a:noFill/>
                <a:prstDash val="solid"/>
              </a:ln>
            </spPr>
          </dPt>
          <dPt>
            <idx val="134"/>
            <invertIfNegative val="0"/>
            <spPr>
              <a:solidFill>
                <a:srgbClr val="F6BBA3"/>
              </a:solidFill>
              <a:ln>
                <a:noFill/>
                <a:prstDash val="solid"/>
              </a:ln>
            </spPr>
          </dPt>
          <dPt>
            <idx val="135"/>
            <invertIfNegative val="0"/>
            <spPr>
              <a:solidFill>
                <a:srgbClr val="F6BBA3"/>
              </a:solidFill>
              <a:ln>
                <a:noFill/>
                <a:prstDash val="solid"/>
              </a:ln>
            </spPr>
          </dPt>
          <dPt>
            <idx val="136"/>
            <invertIfNegative val="0"/>
            <spPr>
              <a:solidFill>
                <a:srgbClr val="F6BBA3"/>
              </a:solidFill>
              <a:ln>
                <a:noFill/>
                <a:prstDash val="solid"/>
              </a:ln>
            </spPr>
          </dPt>
          <dPt>
            <idx val="137"/>
            <invertIfNegative val="0"/>
            <spPr>
              <a:solidFill>
                <a:srgbClr val="F6BBA3"/>
              </a:solidFill>
              <a:ln>
                <a:noFill/>
                <a:prstDash val="solid"/>
              </a:ln>
            </spPr>
          </dPt>
          <dPt>
            <idx val="138"/>
            <invertIfNegative val="0"/>
            <spPr>
              <a:solidFill>
                <a:srgbClr val="F6BBA3"/>
              </a:solidFill>
              <a:ln>
                <a:noFill/>
                <a:prstDash val="solid"/>
              </a:ln>
            </spPr>
          </dPt>
          <dPt>
            <idx val="139"/>
            <invertIfNegative val="0"/>
            <spPr>
              <a:solidFill>
                <a:srgbClr val="F6BBA3"/>
              </a:solidFill>
              <a:ln>
                <a:noFill/>
                <a:prstDash val="solid"/>
              </a:ln>
            </spPr>
          </dPt>
          <dPt>
            <idx val="140"/>
            <invertIfNegative val="0"/>
            <spPr>
              <a:solidFill>
                <a:srgbClr val="F6BBA3"/>
              </a:solidFill>
              <a:ln>
                <a:noFill/>
                <a:prstDash val="solid"/>
              </a:ln>
            </spPr>
          </dPt>
          <dPt>
            <idx val="141"/>
            <invertIfNegative val="0"/>
            <spPr>
              <a:solidFill>
                <a:srgbClr val="F6BBA3"/>
              </a:solidFill>
              <a:ln>
                <a:noFill/>
                <a:prstDash val="solid"/>
              </a:ln>
            </spPr>
          </dPt>
          <dPt>
            <idx val="142"/>
            <invertIfNegative val="0"/>
            <spPr>
              <a:solidFill>
                <a:srgbClr val="F6BBA3"/>
              </a:solidFill>
              <a:ln>
                <a:noFill/>
                <a:prstDash val="solid"/>
              </a:ln>
            </spPr>
          </dPt>
          <dPt>
            <idx val="143"/>
            <invertIfNegative val="0"/>
            <spPr>
              <a:solidFill>
                <a:srgbClr val="F6BBA3"/>
              </a:solidFill>
              <a:ln>
                <a:noFill/>
                <a:prstDash val="solid"/>
              </a:ln>
            </spPr>
          </dPt>
          <dPt>
            <idx val="144"/>
            <invertIfNegative val="0"/>
            <spPr>
              <a:solidFill>
                <a:srgbClr val="F6BBA3"/>
              </a:solidFill>
              <a:ln>
                <a:noFill/>
                <a:prstDash val="solid"/>
              </a:ln>
            </spPr>
          </dPt>
          <dPt>
            <idx val="145"/>
            <invertIfNegative val="0"/>
            <spPr>
              <a:solidFill>
                <a:srgbClr val="F6BBA3"/>
              </a:solidFill>
              <a:ln>
                <a:noFill/>
                <a:prstDash val="solid"/>
              </a:ln>
            </spPr>
          </dPt>
          <dPt>
            <idx val="146"/>
            <invertIfNegative val="0"/>
            <spPr>
              <a:solidFill>
                <a:srgbClr val="F6BBA3"/>
              </a:solidFill>
              <a:ln>
                <a:noFill/>
                <a:prstDash val="solid"/>
              </a:ln>
            </spPr>
          </dPt>
          <dPt>
            <idx val="147"/>
            <invertIfNegative val="0"/>
            <spPr>
              <a:solidFill>
                <a:srgbClr val="F6BBA3"/>
              </a:solidFill>
              <a:ln>
                <a:noFill/>
                <a:prstDash val="solid"/>
              </a:ln>
            </spPr>
          </dPt>
          <dPt>
            <idx val="148"/>
            <invertIfNegative val="0"/>
            <spPr>
              <a:solidFill>
                <a:srgbClr val="F6BBA3"/>
              </a:solidFill>
              <a:ln>
                <a:noFill/>
                <a:prstDash val="solid"/>
              </a:ln>
            </spPr>
          </dPt>
          <dPt>
            <idx val="149"/>
            <invertIfNegative val="0"/>
            <spPr>
              <a:solidFill>
                <a:srgbClr val="F6BBA3"/>
              </a:solidFill>
              <a:ln>
                <a:noFill/>
                <a:prstDash val="solid"/>
              </a:ln>
            </spPr>
          </dPt>
          <dPt>
            <idx val="150"/>
            <invertIfNegative val="0"/>
            <spPr>
              <a:solidFill>
                <a:srgbClr val="F6BBA3"/>
              </a:solidFill>
              <a:ln>
                <a:noFill/>
                <a:prstDash val="solid"/>
              </a:ln>
            </spPr>
          </dPt>
          <dPt>
            <idx val="151"/>
            <invertIfNegative val="0"/>
            <spPr>
              <a:solidFill>
                <a:srgbClr val="F6BBA3"/>
              </a:solidFill>
              <a:ln>
                <a:noFill/>
                <a:prstDash val="solid"/>
              </a:ln>
            </spPr>
          </dPt>
          <dPt>
            <idx val="152"/>
            <invertIfNegative val="0"/>
            <spPr>
              <a:solidFill>
                <a:srgbClr val="F6BBA3"/>
              </a:solidFill>
              <a:ln>
                <a:noFill/>
                <a:prstDash val="solid"/>
              </a:ln>
            </spPr>
          </dPt>
          <dPt>
            <idx val="153"/>
            <invertIfNegative val="0"/>
            <spPr>
              <a:solidFill>
                <a:srgbClr val="F6BBA3"/>
              </a:solidFill>
              <a:ln>
                <a:noFill/>
                <a:prstDash val="solid"/>
              </a:ln>
            </spPr>
          </dPt>
          <dPt>
            <idx val="154"/>
            <invertIfNegative val="0"/>
            <spPr>
              <a:solidFill>
                <a:srgbClr val="F6BBA3"/>
              </a:solidFill>
              <a:ln>
                <a:noFill/>
                <a:prstDash val="solid"/>
              </a:ln>
            </spPr>
          </dPt>
          <dPt>
            <idx val="155"/>
            <invertIfNegative val="0"/>
            <spPr>
              <a:solidFill>
                <a:srgbClr val="F6BBA3"/>
              </a:solidFill>
              <a:ln>
                <a:noFill/>
                <a:prstDash val="solid"/>
              </a:ln>
            </spPr>
          </dPt>
          <cat>
            <numRef>
              <f>'Chart - Storage'!$A$2:$A$157</f>
            </numRef>
          </cat>
          <val>
            <numRef>
              <f>'Chart - Storage'!$C$2:$C$157</f>
            </numRef>
          </val>
        </ser>
        <gapWidth val="30"/>
        <overlap val="100"/>
        <axId val="10"/>
        <axId val="100"/>
      </barChart>
      <lineChart>
        <grouping val="standard"/>
        <ser>
          <idx val="2"/>
          <order val="2"/>
          <tx>
            <strRef>
              <f>'Chart - Storage'!D1</f>
            </strRef>
          </tx>
          <spPr>
            <a:ln w="28575">
              <a:solidFill>
                <a:srgbClr val="252525"/>
              </a:solidFill>
              <a:prstDash val="solid"/>
            </a:ln>
          </spPr>
          <marker>
            <symbol val="none"/>
            <spPr>
              <a:ln>
                <a:prstDash val="solid"/>
              </a:ln>
            </spPr>
          </marker>
          <cat>
            <numRef>
              <f>'Chart - Storage'!$A$2:$A$157</f>
            </numRef>
          </cat>
          <val>
            <numRef>
              <f>'Chart - Storage'!$D$2:$D$157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3"/>
        <tickMarkSkip val="13"/>
      </catAx>
      <valAx>
        <axId val="100"/>
        <scaling>
          <orientation val="minMax"/>
        </scaling>
        <delete val="0"/>
        <axPos val="l"/>
        <majorGridlines/>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rPr sz="1200" b="1"/>
              <a:t>Permian: STEO marketed production against takeaway capacity plus local demand (takeaway table unverified) (to Dec/28)</a:t>
            </a:r>
          </a:p>
        </rich>
      </tx>
      <overlay val="0"/>
    </title>
    <plotArea>
      <lineChart>
        <grouping val="standard"/>
        <ser>
          <idx val="0"/>
          <order val="0"/>
          <tx>
            <strRef>
              <f>'Chart - Permian cap'!B1</f>
            </strRef>
          </tx>
          <spPr>
            <a:ln w="22225">
              <a:solidFill>
                <a:srgbClr val="2A78D6"/>
              </a:solidFill>
              <a:prstDash val="solid"/>
            </a:ln>
          </spPr>
          <marker>
            <symbol val="none"/>
            <spPr>
              <a:ln>
                <a:prstDash val="solid"/>
              </a:ln>
            </spPr>
          </marker>
          <cat>
            <numRef>
              <f>'Chart - Permian cap'!$A$2:$A$49</f>
            </numRef>
          </cat>
          <val>
            <numRef>
              <f>'Chart - Permian cap'!$B$2:$B$49</f>
            </numRef>
          </val>
          <smooth val="0"/>
        </ser>
        <ser>
          <idx val="1"/>
          <order val="1"/>
          <tx>
            <strRef>
              <f>'Chart - Permian cap'!C1</f>
            </strRef>
          </tx>
          <spPr>
            <a:ln w="22225">
              <a:solidFill>
                <a:srgbClr val="EB6834"/>
              </a:solidFill>
              <a:prstDash val="solid"/>
            </a:ln>
          </spPr>
          <marker>
            <symbol val="none"/>
            <spPr>
              <a:ln>
                <a:prstDash val="solid"/>
              </a:ln>
            </spPr>
          </marker>
          <cat>
            <numRef>
              <f>'Chart - Permian cap'!$A$2:$A$49</f>
            </numRef>
          </cat>
          <val>
            <numRef>
              <f>'Chart - Permian cap'!$C$2:$C$49</f>
            </numRef>
          </val>
          <smooth val="0"/>
        </ser>
        <ser>
          <idx val="2"/>
          <order val="2"/>
          <tx>
            <strRef>
              <f>'Chart - Permian cap'!D1</f>
            </strRef>
          </tx>
          <spPr>
            <a:ln w="22225">
              <a:solidFill>
                <a:srgbClr val="1BAF7A"/>
              </a:solidFill>
              <a:prstDash val="solid"/>
            </a:ln>
          </spPr>
          <marker>
            <symbol val="none"/>
            <spPr>
              <a:ln>
                <a:prstDash val="solid"/>
              </a:ln>
            </spPr>
          </marker>
          <cat>
            <numRef>
              <f>'Chart - Permian cap'!$A$2:$A$49</f>
            </numRef>
          </cat>
          <val>
            <numRef>
              <f>'Chart - Permian cap'!$D$2:$D$49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4"/>
        <tickMarkSkip val="4"/>
      </catAx>
      <valAx>
        <axId val="100"/>
        <scaling>
          <orientation val="minMax"/>
        </scaling>
        <delete val="0"/>
        <axPos val="l"/>
        <majorGridlines/>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14</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10" customWidth="1" min="1" max="1"/>
  </cols>
  <sheetData>
    <row r="1">
      <c r="A1" s="1" t="inlineStr">
        <is>
          <t>Notes</t>
        </is>
      </c>
    </row>
    <row r="2">
      <c r="A2" t="inlineStr">
        <is>
          <t>Notes</t>
        </is>
      </c>
    </row>
    <row r="4">
      <c r="A4" s="1" t="inlineStr">
        <is>
          <t>UNITS</t>
        </is>
      </c>
    </row>
    <row r="5">
      <c r="A5" t="inlineStr">
        <is>
          <t>All flows are Bcf/d (billion cubic feet per day), monthly averages. Texas marketed production, consumption, Mexico and LNG history come from texas_gas_monthly.xlsx (EIA).</t>
        </is>
      </c>
    </row>
    <row r="7">
      <c r="A7" s="1" t="inlineStr">
        <is>
          <t>METHOD</t>
        </is>
      </c>
    </row>
    <row r="8">
      <c r="A8" t="inlineStr">
        <is>
          <t>Forecast base: EIA STEO (live). Series: NGMPPM (Permian), NGMPEF (Eagle Ford), NGMPHA (Haynesville), regional marketed production. STEO ends Dec 2027; 2028 extends 2027 by the STEO 2027/2026 annual growth per region (stated, not an EIA forecast).</t>
        </is>
      </c>
    </row>
    <row r="9">
      <c r="A9" t="inlineStr">
        <is>
          <t>Texas = 85% Permian + 100% Eagle Ford + 30% Haynesville + 'Other Texas' calibration (-1.39 Bcf/d, mean gap to Texas history over the last 6 overlapping months, held flat). Shares are editable assumptions.</t>
        </is>
      </c>
    </row>
    <row r="10">
      <c r="A10" t="inlineStr">
        <is>
          <t>STEO regional series are already marketed, so no dry-to-marketed conversion is applied; the last-12-month extraction-loss share used in TEXAS_GAS.py is 16.4% of marketed (dry equivalent = marketed x 0.836).</t>
        </is>
      </c>
    </row>
    <row r="11">
      <c r="A11" t="inlineStr">
        <is>
          <t>Permian cap: production = min(STEO Permian, existing takeaway + new pipelines in service + local demand) from the Takeaway tab. Delayed scenario shifts every pipeline not yet in service by the delay on the Assumptions tab.</t>
        </is>
      </c>
    </row>
    <row r="12">
      <c r="A12" t="inlineStr">
        <is>
          <t>Takeaway table: only Matterhorn (in service) is firm; every other capacity and date is UNVERIFIED (company announcements, from memory) and the existing-takeaway aggregate is a calibration. Edit the tab and re-run to update.</t>
        </is>
      </c>
    </row>
    <row r="13">
      <c r="A13" t="inlineStr">
        <is>
          <t>Net interstate outflow = DRY production (marketed x (1 - extraction-loss share); EIA dry history) + storage withdrawal - demand incl. LNG (five EIA consumption sectors + LNG feedgas + Mexico pipeline exports) - storage injection. Marketed gas includes NGLs removed at plants, which never reach a pipeline, so the earlier marketed-based outflow (before Oct 2026) ran about 6 Bcf/d too high. It also includes fuel EIA withholds (lease/plant, pipeline).</t>
        </is>
      </c>
    </row>
    <row r="14">
      <c r="A14" t="inlineStr">
        <is>
          <t>CHANGE (Oct 2026): storage is now in the outflow. Before, outflow = dry production - demand and ignored storage, so its seasonality carried the storage cycle (higher in summer when gas is injected, lower in winter when withdrawn). Gross EIA injections (demand side) and withdrawals (supply side) are now separate series; the old no-storage outflow is kept as the 'before storage' memo columns of the 'Supply and demand' and 'Demand to 2033' tabs.</t>
        </is>
      </c>
    </row>
    <row r="15">
      <c r="A15" t="inlineStr">
        <is>
          <t>Storage forecast (ASSUMPTION, not an EIA forecast): gross injections and withdrawals = calendar-month mean of the last 36 EIA months (Aug/23-Jul/26), not smoothed; net annual storage change held at the last-3-year mean (-0.019 Bcf/d, + = net injection) unless the editable override on the Assumptions tab is filled (now: none). No storage capacity additions are assumed. Latest 12 EIA months: injections 1.77, withdrawals 1.88 Bcf/d. 'Storage' tab: working-gas stock (EIA, then projected from the net injection) as a memo.</t>
        </is>
      </c>
    </row>
    <row r="16">
      <c r="A16" t="inlineStr">
        <is>
          <t>Forecast months of consumption, Mexico and LNG feedgas come from the 'Forecast values' tab of texas_gas_monthly.xlsx (TEXAS_GAS_FORECAST.py): base outflow = base production with base LNG; delayed outflow = takeaway-delayed production with LNG-delayed feedgas (both 6-month delays). LNG feedgas = EIA LNG exports x 1.09, so history differs slightly from the Balance tab's residual of texas_gas_monthly.xlsx (which uses exports and adds storage).</t>
        </is>
      </c>
    </row>
    <row r="17">
      <c r="A17" t="inlineStr">
        <is>
          <t>'Supply and demand' tab (americas/TEXAS_SUPPLY_DEMAND.py): the stacked demand columns, dry production lines and implied outflow charted on 'Chart - Supply and demand' and 'Chart - Net outflow' and on the North America gas Dashboard. Run after texas_gas.yml (this workflow follows it at 17:40 UTC on the 1st/15th).</t>
        </is>
      </c>
    </row>
    <row r="18">
      <c r="A18" t="inlineStr">
        <is>
          <t>Sanity checks of the last run: last 12 history months implied outflow: mean 9.2, min 7.8, max 11.1 Bcf/d; before storage (memo) mean 9.1, min 7.3, max 10.6; join Jul/26 -&gt; Aug/26: outflow 8.7 -&gt; 9.0 (+0.3), dry production +0.0 Bcf/d; forecast outflow max base 11.9 (Feb/27), delayed 12.6; annual means 2025: 8.7/8.7; 2026: 9.5/9.3; 2027: 9.9/10.9; 2028: 9.1/10.7</t>
        </is>
      </c>
    </row>
    <row r="19">
      <c r="A19" t="inlineStr">
        <is>
          <t>Latest history month: Jul/26. Not an EIA or company forecast of Texas; a transparent scenario tool.</t>
        </is>
      </c>
    </row>
    <row r="21">
      <c r="A21" s="1" t="inlineStr">
        <is>
          <t>DATA CENTRES AND THE 2033 VIEW (americas/TEXAS_DATACENTRE.py; Bcf/d)</t>
        </is>
      </c>
    </row>
    <row r="22">
      <c r="A22" t="inlineStr">
        <is>
          <t>Tabs 'Assump - Data centres' (yellow cells editable, survive reruns; every input has a status SOURCED / DERIVED / PROXY / ASSUMPTION and a Sources block with publisher, figure, as-of, URL), 'Data centres' (live formulas: year-end energised Texas data-centre GW and gas burn, LOW/BASE/HIGH, 2024-33) and 'Demand to 2033' (script values, month by month to Dec 2033, charted).</t>
        </is>
      </c>
    </row>
    <row r="23">
      <c r="A23" t="inlineStr">
        <is>
          <t>Data-centre inputs: 10 of 17 sourced, 3 derived, 1 proxy, 3 assumption. SOURCED: IEA 'Energy and AI' (Apr 2025) US data-centre electricity 183 TWh (2024) and 426 TWh (2030, Base Case), world totals by case (Headwinds / Base / Lift-Off) for 2030 and 2035, US installed capacity 42 / 100 GW and load factor 49%; ERCOT's data-centre forecast for summer 2030 (CDR Dec 2025, 22.2 GW requested, a forecast); heat rate and MMBtu/Mcf (EIA-923 calibration in ercot_gas_burn_daily.xlsx). DERIVED: US 2030 / 2035 for LOW and HIGH (IEA Base scaled by the world case ratio) and the Texas share of US growth (ERCOT forecast x realisation / IEA US capacity addition = 19% / 29% / 38%). PROXY: gas share = ERCOT's observed average gas share of generation (EIA-930), 39.6% / 39.8% / 47.8%. ASSUMPTION: the realisation ratio's BASE midpoint (LOW 0.498 is ERCOT's observed site ratio), the Texas stock share (no effect on the charts) and the linear interpolation between IEA anchors.</t>
        </is>
      </c>
    </row>
    <row r="24">
      <c r="A24" t="inlineStr">
        <is>
          <t>Cross-checks, not anchors: LBNL 2024 report (176 TWh in 2023; 325-580 TWh in 2028), EIA AEO2026 'Data Center Servers' (servers only, well below the totals), ERCOT's large-load queue (about 410 GW, ~87% data centres, 26 Mar 2026) and Batch Zero eligibility (about 205 GW, 28 Jul 2026). The IEA web pages return 403 from Actions: the report PDF on iea.blob.core.windows.net was used.</t>
        </is>
      </c>
    </row>
    <row r="25">
      <c r="A25" t="inlineStr">
        <is>
          <t>Gas = GW x 1000 x load factor 0.49 x gas share x heat rate 8.54 MMBtu/MWh x 24 / 1.015 MMBtu per Mcf / 1e6 = 0.039 Bcf/d per GW in BASE (heat rate and MMBtu/Mcf: mean of the last 12 calibrated ERCOT months, Aug/25-Jul/26 (12 months)). EIA-930 ERCOT, 365-day windows Jan/19-01 Oct 2026: lowest 39.6% (to Sep/26), last 39.8%, highest 47.8% (to Apr/20).</t>
        </is>
      </c>
    </row>
    <row r="26">
      <c r="A26" t="inlineStr">
        <is>
          <t>Only burn ADDED after the last EIA actual month is stacked on the sector demand (EIA's electric-power history already includes the present data-centre load); the electric-power sector is held flat after 2028 so the trend and the data-centre layer do not double count.</t>
        </is>
      </c>
    </row>
    <row r="27">
      <c r="A27" t="inlineStr">
        <is>
          <t>2029-33 is a SCENARIO (lighter bars): LNG = the existing train table (last train 2031) at steady utilisation; other sectors = the seasonal-trend base extended; production = STEO to Dec 2027, 2028 as in the base forecast, then region growth damped by the editable factor (extension, not STEO) and capped by the takeaway table with capacity held after the last listed pipeline.</t>
        </is>
      </c>
    </row>
    <row r="28">
      <c r="A28" t="inlineStr">
        <is>
          <t>Implied net outflow = dry production (base) + storage withdrawal - demand incl. LNG feedgas, Mexico and data centres - storage injection (storage: gross EIA flows, forecast = seasonal pattern of the last 3 years, see the production workbook's Assumptions; the old no-storage outflow is kept as 'Implied net outflow before storage' columns), for LOW / BASE / HIGH data-centre cases; a negative value means Texas production cannot meet Texas demand and gas must flow in from other states - it is shown, never clipped.</t>
        </is>
      </c>
    </row>
    <row r="29">
      <c r="A29" t="inlineStr">
        <is>
          <t>Sanity checks of the last run: model run to 2033 reproduces the 2028 workbook: max |LNG diff| 5.3e-15, sectors 1.8e-15 Bcf/d; data centres LOW: US 262 TWh in 2028 (LBNL 2028 range 325-580), Texas 7.8 / 9.5 / 10.0 GW energised at Dec/28 / Dec/30 / Dec/33 (ERCOT CDR 2030: 22.2 GW requested); data centres BASE: US 345 TWh in 2028 (LBNL 2028 range 325-580), Texas 15.1 / 20.5 / 24.9 GW energised at Dec/28 / Dec/30 / Dec/33 (ERCOT CDR 2030: 22.2 GW requested); data centres HIGH: US 440 TWh in 2028 (LBNL 2028 range 325-580), Texas 27.2 / 38.7 / 49.6 GW energised at Dec/28 / Dec/30 / Dec/33 (ERCOT CDR 2030: 22.2 GW requested); data-centre gas burn LOW: Dec/28 0.30, Dec/30 0.37, Dec/33 0.39 Bcf/d (below the 10 Bcf/d flag); data-centre gas burn BASE: Dec/28 0.59, Dec/30 0.81, Dec/33 0.98 Bcf/d (below the 10 Bcf/d flag); data-centre gas burn HIGH: Dec/28 1.29, Dec/30 1.83, Dec/33 2.34 Bcf/d (below the 10 Bcf/d flag); implied outflow LOW: Dec/28 9.9, Dec/30 10.7, Dec/33 9.6, min 7.5 (Sep/31); implied outflow BASE: Dec/28 9.7, Dec/30 10.4, Dec/33 9.1, min 7.2 (Sep/31); implied outflow HIGH: Dec/28 9.3, Dec/30 9.7, Dec/33 8.0, min 6.2 (Sep/33); join Dec/28 -&gt; Jan/29 (BASE): total demand +1.62 (median monthly step 2027-28 1.06), dry production +0.12, outflow +1.16 Bcf/d (the same Dec -&gt; Jan step a year earlier was +0.32: winter demand) - no jump beyond the seasonal step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7"/>
  <sheetViews>
    <sheetView workbookViewId="0">
      <selection activeCell="A1" sqref="A1"/>
    </sheetView>
  </sheetViews>
  <sheetFormatPr baseColWidth="8" defaultRowHeight="15"/>
  <cols>
    <col width="11" customWidth="1" min="1" max="1"/>
  </cols>
  <sheetData>
    <row r="1">
      <c r="A1" t="inlineStr">
        <is>
          <t>Date</t>
        </is>
      </c>
      <c r="B1" t="inlineStr">
        <is>
          <t>Electric power</t>
        </is>
      </c>
      <c r="C1" t="inlineStr">
        <is>
          <t>Industrial</t>
        </is>
      </c>
      <c r="D1" t="inlineStr">
        <is>
          <t>Residential</t>
        </is>
      </c>
      <c r="E1" t="inlineStr">
        <is>
          <t>Commercial</t>
        </is>
      </c>
      <c r="F1" t="inlineStr">
        <is>
          <t>Vehicle fuel</t>
        </is>
      </c>
      <c r="G1" t="inlineStr">
        <is>
          <t>LNG feedgas (base case)</t>
        </is>
      </c>
      <c r="H1" t="inlineStr">
        <is>
          <t>Pipeline exports to Mexico</t>
        </is>
      </c>
      <c r="I1" t="inlineStr">
        <is>
          <t>Storage injection (demand)</t>
        </is>
      </c>
      <c r="J1" t="inlineStr">
        <is>
          <t>Dry production (base)</t>
        </is>
      </c>
      <c r="K1" t="inlineStr">
        <is>
          <t>Dry prod. + storage withdrawal (base)</t>
        </is>
      </c>
      <c r="L1" t="inlineStr">
        <is>
          <t>Dry prod. + storage withdrawal (takeaway delayed)</t>
        </is>
      </c>
    </row>
    <row r="2">
      <c r="A2" s="29" t="n">
        <v>44197</v>
      </c>
      <c r="B2" t="n">
        <v>3.671612903225806</v>
      </c>
      <c r="C2" t="n">
        <v>5.748096774193549</v>
      </c>
      <c r="D2" t="n">
        <v>1.457193548387097</v>
      </c>
      <c r="E2" t="n">
        <v>0.7947741935483871</v>
      </c>
      <c r="F2" t="n">
        <v>0.002580645161290323</v>
      </c>
      <c r="G2" t="n">
        <v>4.16024870967742</v>
      </c>
      <c r="H2" t="n">
        <v>2.552483870967742</v>
      </c>
      <c r="I2" t="n">
        <v>0.5196451612903226</v>
      </c>
      <c r="J2" t="n">
        <v>22.10383870967742</v>
      </c>
      <c r="K2" t="n">
        <v>24.66383870967742</v>
      </c>
    </row>
    <row r="3">
      <c r="A3" s="29" t="n">
        <v>44228</v>
      </c>
      <c r="B3" t="n">
        <v>4.4955</v>
      </c>
      <c r="C3" t="n">
        <v>4.749571428571429</v>
      </c>
      <c r="D3" t="n">
        <v>1.7995</v>
      </c>
      <c r="E3" t="n">
        <v>0.9247857142857143</v>
      </c>
      <c r="F3" t="n">
        <v>0.002571428571428572</v>
      </c>
      <c r="G3" t="n">
        <v>2.483681785714286</v>
      </c>
      <c r="H3" t="n">
        <v>2.252428571428571</v>
      </c>
      <c r="I3" t="n">
        <v>1.272107142857143</v>
      </c>
      <c r="J3" t="n">
        <v>18.401</v>
      </c>
      <c r="K3" t="n">
        <v>22.81375</v>
      </c>
    </row>
    <row r="4">
      <c r="A4" s="29" t="n">
        <v>44256</v>
      </c>
      <c r="B4" t="n">
        <v>2.87358064516129</v>
      </c>
      <c r="C4" t="n">
        <v>4.849387096774193</v>
      </c>
      <c r="D4" t="n">
        <v>0.8512580645161291</v>
      </c>
      <c r="E4" t="n">
        <v>0.547741935483871</v>
      </c>
      <c r="F4" t="n">
        <v>0.002580645161290323</v>
      </c>
      <c r="G4" t="n">
        <v>4.437917419354839</v>
      </c>
      <c r="H4" t="n">
        <v>2.643935483870968</v>
      </c>
      <c r="I4" t="n">
        <v>1.762354838709677</v>
      </c>
      <c r="J4" t="n">
        <v>22.99258064516129</v>
      </c>
      <c r="K4" t="n">
        <v>24.13693548387097</v>
      </c>
    </row>
    <row r="5">
      <c r="A5" s="29" t="n">
        <v>44287</v>
      </c>
      <c r="B5" t="n">
        <v>3.746233333333333</v>
      </c>
      <c r="C5" t="n">
        <v>5.287166666666667</v>
      </c>
      <c r="D5" t="n">
        <v>0.4110333333333334</v>
      </c>
      <c r="E5" t="n">
        <v>0.4744333333333333</v>
      </c>
      <c r="F5" t="n">
        <v>0.002566666666666667</v>
      </c>
      <c r="G5" t="n">
        <v>4.377658</v>
      </c>
      <c r="H5" t="n">
        <v>2.670233333333333</v>
      </c>
      <c r="I5" t="n">
        <v>1.559</v>
      </c>
      <c r="J5" t="n">
        <v>23.71223333333333</v>
      </c>
      <c r="K5" t="n">
        <v>24.4791</v>
      </c>
    </row>
    <row r="6">
      <c r="A6" s="29" t="n">
        <v>44317</v>
      </c>
      <c r="B6" t="n">
        <v>3.843774193548387</v>
      </c>
      <c r="C6" t="n">
        <v>5.234774193548387</v>
      </c>
      <c r="D6" t="n">
        <v>0.2831612903225807</v>
      </c>
      <c r="E6" t="n">
        <v>0.3512903225806452</v>
      </c>
      <c r="F6" t="n">
        <v>0.002580645161290323</v>
      </c>
      <c r="G6" t="n">
        <v>4.289044516129032</v>
      </c>
      <c r="H6" t="n">
        <v>2.766322580645161</v>
      </c>
      <c r="I6" t="n">
        <v>2.060290322580645</v>
      </c>
      <c r="J6" t="n">
        <v>23.58770967741935</v>
      </c>
      <c r="K6" t="n">
        <v>23.95854838709677</v>
      </c>
    </row>
    <row r="7">
      <c r="A7" s="29" t="n">
        <v>44348</v>
      </c>
      <c r="B7" t="n">
        <v>5.751166666666667</v>
      </c>
      <c r="C7" t="n">
        <v>5.296266666666666</v>
      </c>
      <c r="D7" t="n">
        <v>0.2299</v>
      </c>
      <c r="E7" t="n">
        <v>0.3627</v>
      </c>
      <c r="F7" t="n">
        <v>0.002566666666666667</v>
      </c>
      <c r="G7" t="n">
        <v>4.362725</v>
      </c>
      <c r="H7" t="n">
        <v>2.929933333333334</v>
      </c>
      <c r="I7" t="n">
        <v>1.1406</v>
      </c>
      <c r="J7" t="n">
        <v>23.52116666666667</v>
      </c>
      <c r="K7" t="n">
        <v>24.8605</v>
      </c>
    </row>
    <row r="8">
      <c r="A8" s="29" t="n">
        <v>44378</v>
      </c>
      <c r="B8" t="n">
        <v>6.234870967741935</v>
      </c>
      <c r="C8" t="n">
        <v>5.42283870967742</v>
      </c>
      <c r="D8" t="n">
        <v>0.215258064516129</v>
      </c>
      <c r="E8" t="n">
        <v>0.3711612903225807</v>
      </c>
      <c r="F8" t="n">
        <v>0.002580645161290323</v>
      </c>
      <c r="G8" t="n">
        <v>4.267807096774193</v>
      </c>
      <c r="H8" t="n">
        <v>2.876193548387096</v>
      </c>
      <c r="I8" t="n">
        <v>0.9387096774193548</v>
      </c>
      <c r="J8" t="n">
        <v>23.99703225806451</v>
      </c>
      <c r="K8" t="n">
        <v>25.25290322580645</v>
      </c>
    </row>
    <row r="9">
      <c r="A9" s="29" t="n">
        <v>44409</v>
      </c>
      <c r="B9" t="n">
        <v>6.327096774193548</v>
      </c>
      <c r="C9" t="n">
        <v>5.458516129032258</v>
      </c>
      <c r="D9" t="n">
        <v>0.1994193548387097</v>
      </c>
      <c r="E9" t="n">
        <v>0.3660322580645162</v>
      </c>
      <c r="F9" t="n">
        <v>0.002580645161290323</v>
      </c>
      <c r="G9" t="n">
        <v>4.47866935483871</v>
      </c>
      <c r="H9" t="n">
        <v>2.802806451612903</v>
      </c>
      <c r="I9" t="n">
        <v>1.041451612903226</v>
      </c>
      <c r="J9" t="n">
        <v>24.04129032258064</v>
      </c>
      <c r="K9" t="n">
        <v>25.72906451612903</v>
      </c>
    </row>
    <row r="10">
      <c r="A10" s="29" t="n">
        <v>44440</v>
      </c>
      <c r="B10" t="n">
        <v>5.298666666666667</v>
      </c>
      <c r="C10" t="n">
        <v>5.518066666666667</v>
      </c>
      <c r="D10" t="n">
        <v>0.2002666666666667</v>
      </c>
      <c r="E10" t="n">
        <v>0.3705666666666667</v>
      </c>
      <c r="F10" t="n">
        <v>0.002566666666666667</v>
      </c>
      <c r="G10" t="n">
        <v>4.103632000000001</v>
      </c>
      <c r="H10" t="n">
        <v>2.6138</v>
      </c>
      <c r="I10" t="n">
        <v>2.160866666666667</v>
      </c>
      <c r="J10" t="n">
        <v>24.82143333333334</v>
      </c>
      <c r="K10" t="n">
        <v>25.49676666666667</v>
      </c>
    </row>
    <row r="11">
      <c r="A11" s="29" t="n">
        <v>44470</v>
      </c>
      <c r="B11" t="n">
        <v>4.412612903225807</v>
      </c>
      <c r="C11" t="n">
        <v>5.262677419354839</v>
      </c>
      <c r="D11" t="n">
        <v>0.2569354838709678</v>
      </c>
      <c r="E11" t="n">
        <v>0.3873548387096775</v>
      </c>
      <c r="F11" t="n">
        <v>0.002580645161290323</v>
      </c>
      <c r="G11" t="n">
        <v>4.390695806451613</v>
      </c>
      <c r="H11" t="n">
        <v>2.767870967741935</v>
      </c>
      <c r="I11" t="n">
        <v>2.154032258064516</v>
      </c>
      <c r="J11" t="n">
        <v>24.74848387096774</v>
      </c>
      <c r="K11" t="n">
        <v>25.33777419354838</v>
      </c>
    </row>
    <row r="12">
      <c r="A12" s="29" t="n">
        <v>44501</v>
      </c>
      <c r="B12" t="n">
        <v>3.4576</v>
      </c>
      <c r="C12" t="n">
        <v>5.6497</v>
      </c>
      <c r="D12" t="n">
        <v>0.5384333333333333</v>
      </c>
      <c r="E12" t="n">
        <v>0.5129333333333332</v>
      </c>
      <c r="F12" t="n">
        <v>0.002566666666666667</v>
      </c>
      <c r="G12" t="n">
        <v>3.903508</v>
      </c>
      <c r="H12" t="n">
        <v>2.557566666666667</v>
      </c>
      <c r="I12" t="n">
        <v>1.294366666666667</v>
      </c>
      <c r="J12" t="n">
        <v>24.64196666666667</v>
      </c>
      <c r="K12" t="n">
        <v>25.75683333333334</v>
      </c>
    </row>
    <row r="13">
      <c r="A13" s="29" t="n">
        <v>44531</v>
      </c>
      <c r="B13" t="n">
        <v>3.378290322580646</v>
      </c>
      <c r="C13" t="n">
        <v>5.783322580645161</v>
      </c>
      <c r="D13" t="n">
        <v>0.5891612903225806</v>
      </c>
      <c r="E13" t="n">
        <v>0.5320967741935484</v>
      </c>
      <c r="F13" t="n">
        <v>0.002580645161290323</v>
      </c>
      <c r="G13" t="n">
        <v>4.614497419354839</v>
      </c>
      <c r="H13" t="n">
        <v>2.405741935483871</v>
      </c>
      <c r="I13" t="n">
        <v>1.387967741935484</v>
      </c>
      <c r="J13" t="n">
        <v>24.995</v>
      </c>
      <c r="K13" t="n">
        <v>26.36251612903226</v>
      </c>
    </row>
    <row r="14">
      <c r="A14" s="29" t="n">
        <v>44562</v>
      </c>
      <c r="B14" t="n">
        <v>4.094129032258064</v>
      </c>
      <c r="C14" t="n">
        <v>5.599161290322581</v>
      </c>
      <c r="D14" t="n">
        <v>1.307903225806452</v>
      </c>
      <c r="E14" t="n">
        <v>0.7509677419354839</v>
      </c>
      <c r="F14" t="n">
        <v>0.003483870967741936</v>
      </c>
      <c r="G14" t="n">
        <v>4.595369677419355</v>
      </c>
      <c r="H14" t="n">
        <v>2.562612903225807</v>
      </c>
      <c r="I14" t="n">
        <v>0.5149677419354839</v>
      </c>
      <c r="J14" t="n">
        <v>23.17987096774193</v>
      </c>
      <c r="K14" t="n">
        <v>27.18048387096774</v>
      </c>
    </row>
    <row r="15">
      <c r="A15" s="29" t="n">
        <v>44593</v>
      </c>
      <c r="B15" t="n">
        <v>4.156392857142857</v>
      </c>
      <c r="C15" t="n">
        <v>5.527285714285715</v>
      </c>
      <c r="D15" t="n">
        <v>1.646</v>
      </c>
      <c r="E15" t="n">
        <v>0.8936785714285714</v>
      </c>
      <c r="F15" t="n">
        <v>0.0035</v>
      </c>
      <c r="G15" t="n">
        <v>4.697160357142858</v>
      </c>
      <c r="H15" t="n">
        <v>2.727035714285714</v>
      </c>
      <c r="I15" t="n">
        <v>0.7398571428571429</v>
      </c>
      <c r="J15" t="n">
        <v>24.34007142857143</v>
      </c>
      <c r="K15" t="n">
        <v>28.02125</v>
      </c>
    </row>
    <row r="16">
      <c r="A16" s="29" t="n">
        <v>44621</v>
      </c>
      <c r="B16" t="n">
        <v>2.959516129032258</v>
      </c>
      <c r="C16" t="n">
        <v>5.511225806451613</v>
      </c>
      <c r="D16" t="n">
        <v>0.9952903225806451</v>
      </c>
      <c r="E16" t="n">
        <v>0.6364838709677419</v>
      </c>
      <c r="F16" t="n">
        <v>0.003483870967741936</v>
      </c>
      <c r="G16" t="n">
        <v>4.382503225806452</v>
      </c>
      <c r="H16" t="n">
        <v>2.667935483870968</v>
      </c>
      <c r="I16" t="n">
        <v>1.433064516129032</v>
      </c>
      <c r="J16" t="n">
        <v>24.87987096774194</v>
      </c>
      <c r="K16" t="n">
        <v>26.30580645161291</v>
      </c>
    </row>
    <row r="17">
      <c r="A17" s="29" t="n">
        <v>44652</v>
      </c>
      <c r="B17" t="n">
        <v>3.282933333333333</v>
      </c>
      <c r="C17" t="n">
        <v>5.453966666666666</v>
      </c>
      <c r="D17" t="n">
        <v>0.4558</v>
      </c>
      <c r="E17" t="n">
        <v>0.4546666666666667</v>
      </c>
      <c r="F17" t="n">
        <v>0.0035</v>
      </c>
      <c r="G17" t="n">
        <v>3.544462</v>
      </c>
      <c r="H17" t="n">
        <v>2.7244</v>
      </c>
      <c r="I17" t="n">
        <v>2.011033333333333</v>
      </c>
      <c r="J17" t="n">
        <v>25.36933333333333</v>
      </c>
      <c r="K17" t="n">
        <v>25.88993333333333</v>
      </c>
    </row>
    <row r="18">
      <c r="A18" s="29" t="n">
        <v>44682</v>
      </c>
      <c r="B18" t="n">
        <v>4.855322580645161</v>
      </c>
      <c r="C18" t="n">
        <v>5.277774193548387</v>
      </c>
      <c r="D18" t="n">
        <v>0.2358387096774194</v>
      </c>
      <c r="E18" t="n">
        <v>0.3918387096774194</v>
      </c>
      <c r="F18" t="n">
        <v>0.003483870967741936</v>
      </c>
      <c r="G18" t="n">
        <v>4.411511290322581</v>
      </c>
      <c r="H18" t="n">
        <v>2.805161290322581</v>
      </c>
      <c r="I18" t="n">
        <v>1.664612903225806</v>
      </c>
      <c r="J18" t="n">
        <v>24.7518064516129</v>
      </c>
      <c r="K18" t="n">
        <v>25.42041935483871</v>
      </c>
    </row>
    <row r="19">
      <c r="A19" s="29" t="n">
        <v>44713</v>
      </c>
      <c r="B19" t="n">
        <v>6.1464</v>
      </c>
      <c r="C19" t="n">
        <v>5.399933333333333</v>
      </c>
      <c r="D19" t="n">
        <v>0.2081</v>
      </c>
      <c r="E19" t="n">
        <v>0.3769333333333333</v>
      </c>
      <c r="F19" t="n">
        <v>0.0035</v>
      </c>
      <c r="G19" t="n">
        <v>2.944598666666666</v>
      </c>
      <c r="H19" t="n">
        <v>2.674066666666667</v>
      </c>
      <c r="I19" t="n">
        <v>1.453166666666667</v>
      </c>
      <c r="J19" t="n">
        <v>24.54246666666667</v>
      </c>
      <c r="K19" t="n">
        <v>25.32426666666667</v>
      </c>
    </row>
    <row r="20">
      <c r="A20" s="29" t="n">
        <v>44743</v>
      </c>
      <c r="B20" t="n">
        <v>7.247</v>
      </c>
      <c r="C20" t="n">
        <v>5.349774193548387</v>
      </c>
      <c r="D20" t="n">
        <v>0.198</v>
      </c>
      <c r="E20" t="n">
        <v>0.3811935483870968</v>
      </c>
      <c r="F20" t="n">
        <v>0.003483870967741936</v>
      </c>
      <c r="G20" t="n">
        <v>2.218009354838709</v>
      </c>
      <c r="H20" t="n">
        <v>2.817677419354839</v>
      </c>
      <c r="I20" t="n">
        <v>1.202129032258065</v>
      </c>
      <c r="J20" t="n">
        <v>24.48077419354838</v>
      </c>
      <c r="K20" t="n">
        <v>25.86877419354838</v>
      </c>
    </row>
    <row r="21">
      <c r="A21" s="29" t="n">
        <v>44774</v>
      </c>
      <c r="B21" t="n">
        <v>7.078322580645161</v>
      </c>
      <c r="C21" t="n">
        <v>5.306225806451613</v>
      </c>
      <c r="D21" t="n">
        <v>0.1731290322580645</v>
      </c>
      <c r="E21" t="n">
        <v>0.3629354838709677</v>
      </c>
      <c r="F21" t="n">
        <v>0.003483870967741936</v>
      </c>
      <c r="G21" t="n">
        <v>2.229507096774194</v>
      </c>
      <c r="H21" t="n">
        <v>2.790903225806451</v>
      </c>
      <c r="I21" t="n">
        <v>1.73141935483871</v>
      </c>
      <c r="J21" t="n">
        <v>25.02229032258064</v>
      </c>
      <c r="K21" t="n">
        <v>26.76590322580645</v>
      </c>
    </row>
    <row r="22">
      <c r="A22" s="29" t="n">
        <v>44805</v>
      </c>
      <c r="B22" t="n">
        <v>6.03</v>
      </c>
      <c r="C22" t="n">
        <v>5.1567</v>
      </c>
      <c r="D22" t="n">
        <v>0.1889666666666667</v>
      </c>
      <c r="E22" t="n">
        <v>0.3755333333333334</v>
      </c>
      <c r="F22" t="n">
        <v>0.0035</v>
      </c>
      <c r="G22" t="n">
        <v>2.173133</v>
      </c>
      <c r="H22" t="n">
        <v>2.759933333333333</v>
      </c>
      <c r="I22" t="n">
        <v>2.6006</v>
      </c>
      <c r="J22" t="n">
        <v>25.65153333333333</v>
      </c>
      <c r="K22" t="n">
        <v>26.78766666666666</v>
      </c>
    </row>
    <row r="23">
      <c r="A23" s="29" t="n">
        <v>44835</v>
      </c>
      <c r="B23" t="n">
        <v>4.475677419354839</v>
      </c>
      <c r="C23" t="n">
        <v>5.268645161290323</v>
      </c>
      <c r="D23" t="n">
        <v>0.2959032258064516</v>
      </c>
      <c r="E23" t="n">
        <v>0.4337741935483871</v>
      </c>
      <c r="F23" t="n">
        <v>0.003483870967741936</v>
      </c>
      <c r="G23" t="n">
        <v>2.348281935483871</v>
      </c>
      <c r="H23" t="n">
        <v>2.740677419354839</v>
      </c>
      <c r="I23" t="n">
        <v>2.467064516129032</v>
      </c>
      <c r="J23" t="n">
        <v>25.33190322580645</v>
      </c>
      <c r="K23" t="n">
        <v>25.78496774193548</v>
      </c>
    </row>
    <row r="24">
      <c r="A24" s="29" t="n">
        <v>44866</v>
      </c>
      <c r="B24" t="n">
        <v>4.325966666666666</v>
      </c>
      <c r="C24" t="n">
        <v>5.461066666666667</v>
      </c>
      <c r="D24" t="n">
        <v>0.8497333333333333</v>
      </c>
      <c r="E24" t="n">
        <v>0.7006</v>
      </c>
      <c r="F24" t="n">
        <v>0.0035</v>
      </c>
      <c r="G24" t="n">
        <v>2.072017333333334</v>
      </c>
      <c r="H24" t="n">
        <v>2.750966666666667</v>
      </c>
      <c r="I24" t="n">
        <v>1.554566666666667</v>
      </c>
      <c r="J24" t="n">
        <v>25.37643333333333</v>
      </c>
      <c r="K24" t="n">
        <v>26.79403333333333</v>
      </c>
    </row>
    <row r="25">
      <c r="A25" s="29" t="n">
        <v>44896</v>
      </c>
      <c r="B25" t="n">
        <v>4.625387096774193</v>
      </c>
      <c r="C25" t="n">
        <v>5.226</v>
      </c>
      <c r="D25" t="n">
        <v>1.168129032258065</v>
      </c>
      <c r="E25" t="n">
        <v>0.7404838709677419</v>
      </c>
      <c r="F25" t="n">
        <v>0.003483870967741936</v>
      </c>
      <c r="G25" t="n">
        <v>2.254506774193549</v>
      </c>
      <c r="H25" t="n">
        <v>2.523516129032258</v>
      </c>
      <c r="I25" t="n">
        <v>1.395903225806452</v>
      </c>
      <c r="J25" t="n">
        <v>25.55032258064516</v>
      </c>
      <c r="K25" t="n">
        <v>27.83441935483871</v>
      </c>
    </row>
    <row r="26">
      <c r="A26" s="29" t="n">
        <v>44927</v>
      </c>
      <c r="B26" t="n">
        <v>4.131806451612904</v>
      </c>
      <c r="C26" t="n">
        <v>5.51583870967742</v>
      </c>
      <c r="D26" t="n">
        <v>1.208774193548387</v>
      </c>
      <c r="E26" t="n">
        <v>0.7606774193548387</v>
      </c>
      <c r="F26" t="n">
        <v>0.002548387096774193</v>
      </c>
      <c r="G26" t="n">
        <v>2.199971612903226</v>
      </c>
      <c r="H26" t="n">
        <v>2.707741935483871</v>
      </c>
      <c r="I26" t="n">
        <v>1.189967741935484</v>
      </c>
      <c r="J26" t="n">
        <v>25.18170967741936</v>
      </c>
      <c r="K26" t="n">
        <v>27.11406451612904</v>
      </c>
    </row>
    <row r="27">
      <c r="A27" s="29" t="n">
        <v>44958</v>
      </c>
      <c r="B27" t="n">
        <v>4.249357142857143</v>
      </c>
      <c r="C27" t="n">
        <v>5.526035714285714</v>
      </c>
      <c r="D27" t="n">
        <v>1.250571428571429</v>
      </c>
      <c r="E27" t="n">
        <v>0.8006071428571429</v>
      </c>
      <c r="F27" t="n">
        <v>0.002535714285714286</v>
      </c>
      <c r="G27" t="n">
        <v>2.945725</v>
      </c>
      <c r="H27" t="n">
        <v>2.707571428571429</v>
      </c>
      <c r="I27" t="n">
        <v>1.318821428571429</v>
      </c>
      <c r="J27" t="n">
        <v>25.22707142857143</v>
      </c>
      <c r="K27" t="n">
        <v>27.12071428571429</v>
      </c>
    </row>
    <row r="28">
      <c r="A28" s="29" t="n">
        <v>44986</v>
      </c>
      <c r="B28" t="n">
        <v>3.893903225806452</v>
      </c>
      <c r="C28" t="n">
        <v>5.402161290322581</v>
      </c>
      <c r="D28" t="n">
        <v>0.694516129032258</v>
      </c>
      <c r="E28" t="n">
        <v>0.615225806451613</v>
      </c>
      <c r="F28" t="n">
        <v>0.002548387096774193</v>
      </c>
      <c r="G28" t="n">
        <v>3.37980870967742</v>
      </c>
      <c r="H28" t="n">
        <v>2.856064516129032</v>
      </c>
      <c r="I28" t="n">
        <v>1.539709677419355</v>
      </c>
      <c r="J28" t="n">
        <v>26.69438709677419</v>
      </c>
      <c r="K28" t="n">
        <v>27.71354838709677</v>
      </c>
    </row>
    <row r="29">
      <c r="A29" s="29" t="n">
        <v>45017</v>
      </c>
      <c r="B29" t="n">
        <v>3.9954</v>
      </c>
      <c r="C29" t="n">
        <v>5.470466666666666</v>
      </c>
      <c r="D29" t="n">
        <v>0.4013333333333333</v>
      </c>
      <c r="E29" t="n">
        <v>0.4463666666666667</v>
      </c>
      <c r="F29" t="n">
        <v>0.002533333333333333</v>
      </c>
      <c r="G29" t="n">
        <v>4.289840333333334</v>
      </c>
      <c r="H29" t="n">
        <v>2.752766666666667</v>
      </c>
      <c r="I29" t="n">
        <v>1.441633333333334</v>
      </c>
      <c r="J29" t="n">
        <v>26.09276666666667</v>
      </c>
      <c r="K29" t="n">
        <v>26.7881</v>
      </c>
    </row>
    <row r="30">
      <c r="A30" s="29" t="n">
        <v>45047</v>
      </c>
      <c r="B30" t="n">
        <v>5.581419354838709</v>
      </c>
      <c r="C30" t="n">
        <v>5.328387096774193</v>
      </c>
      <c r="D30" t="n">
        <v>0.2346774193548387</v>
      </c>
      <c r="E30" t="n">
        <v>0.4124516129032258</v>
      </c>
      <c r="F30" t="n">
        <v>0.002548387096774193</v>
      </c>
      <c r="G30" t="n">
        <v>4.435456129032259</v>
      </c>
      <c r="H30" t="n">
        <v>2.939967741935484</v>
      </c>
      <c r="I30" t="n">
        <v>1.817225806451613</v>
      </c>
      <c r="J30" t="n">
        <v>26.302</v>
      </c>
      <c r="K30" t="n">
        <v>27.00748387096774</v>
      </c>
    </row>
    <row r="31">
      <c r="A31" s="29" t="n">
        <v>45078</v>
      </c>
      <c r="B31" t="n">
        <v>7.014966666666666</v>
      </c>
      <c r="C31" t="n">
        <v>5.343</v>
      </c>
      <c r="D31" t="n">
        <v>0.2256666666666667</v>
      </c>
      <c r="E31" t="n">
        <v>0.4073333333333333</v>
      </c>
      <c r="F31" t="n">
        <v>0.002533333333333333</v>
      </c>
      <c r="G31" t="n">
        <v>4.568444333333334</v>
      </c>
      <c r="H31" t="n">
        <v>3.368</v>
      </c>
      <c r="I31" t="n">
        <v>1.372766666666667</v>
      </c>
      <c r="J31" t="n">
        <v>25.9884</v>
      </c>
      <c r="K31" t="n">
        <v>27.0037</v>
      </c>
    </row>
    <row r="32">
      <c r="A32" s="29" t="n">
        <v>45108</v>
      </c>
      <c r="B32" t="n">
        <v>7.577548387096774</v>
      </c>
      <c r="C32" t="n">
        <v>5.342064516129033</v>
      </c>
      <c r="D32" t="n">
        <v>0.2085161290322581</v>
      </c>
      <c r="E32" t="n">
        <v>0.4069354838709677</v>
      </c>
      <c r="F32" t="n">
        <v>0.002548387096774193</v>
      </c>
      <c r="G32" t="n">
        <v>4.154693225806452</v>
      </c>
      <c r="H32" t="n">
        <v>3.123096774193549</v>
      </c>
      <c r="I32" t="n">
        <v>0.9224516129032259</v>
      </c>
      <c r="J32" t="n">
        <v>26.24264516129032</v>
      </c>
      <c r="K32" t="n">
        <v>27.72909677419355</v>
      </c>
    </row>
    <row r="33">
      <c r="A33" s="29" t="n">
        <v>45139</v>
      </c>
      <c r="B33" t="n">
        <v>8.656483870967742</v>
      </c>
      <c r="C33" t="n">
        <v>5.447580645161291</v>
      </c>
      <c r="D33" t="n">
        <v>0.1878064516129032</v>
      </c>
      <c r="E33" t="n">
        <v>0.3826774193548387</v>
      </c>
      <c r="F33" t="n">
        <v>0.002548387096774193</v>
      </c>
      <c r="G33" t="n">
        <v>4.355429032258065</v>
      </c>
      <c r="H33" t="n">
        <v>3.173225806451613</v>
      </c>
      <c r="I33" t="n">
        <v>1.958129032258065</v>
      </c>
      <c r="J33" t="n">
        <v>26.59361290322581</v>
      </c>
      <c r="K33" t="n">
        <v>29.96564516129033</v>
      </c>
    </row>
    <row r="34">
      <c r="A34" s="29" t="n">
        <v>45170</v>
      </c>
      <c r="B34" t="n">
        <v>7.155399999999999</v>
      </c>
      <c r="C34" t="n">
        <v>5.445399999999999</v>
      </c>
      <c r="D34" t="n">
        <v>0.1764</v>
      </c>
      <c r="E34" t="n">
        <v>0.3765</v>
      </c>
      <c r="F34" t="n">
        <v>0.002533333333333333</v>
      </c>
      <c r="G34" t="n">
        <v>4.119473333333334</v>
      </c>
      <c r="H34" t="n">
        <v>3.124733333333333</v>
      </c>
      <c r="I34" t="n">
        <v>3.023566666666667</v>
      </c>
      <c r="J34" t="n">
        <v>26.9492</v>
      </c>
      <c r="K34" t="n">
        <v>29.7367</v>
      </c>
    </row>
    <row r="35">
      <c r="A35" s="29" t="n">
        <v>45200</v>
      </c>
      <c r="B35" t="n">
        <v>4.932032258064516</v>
      </c>
      <c r="C35" t="n">
        <v>5.434838709677419</v>
      </c>
      <c r="D35" t="n">
        <v>0.3194516129032258</v>
      </c>
      <c r="E35" t="n">
        <v>0.4662903225806452</v>
      </c>
      <c r="F35" t="n">
        <v>0.002548387096774193</v>
      </c>
      <c r="G35" t="n">
        <v>4.477333225806452</v>
      </c>
      <c r="H35" t="n">
        <v>3.054387096774194</v>
      </c>
      <c r="I35" t="n">
        <v>2.598548387096774</v>
      </c>
      <c r="J35" t="n">
        <v>26.96512903225807</v>
      </c>
      <c r="K35" t="n">
        <v>28.01590322580646</v>
      </c>
    </row>
    <row r="36">
      <c r="A36" s="29" t="n">
        <v>45231</v>
      </c>
      <c r="B36" t="n">
        <v>4.633666666666667</v>
      </c>
      <c r="C36" t="n">
        <v>5.712766666666666</v>
      </c>
      <c r="D36" t="n">
        <v>0.6995</v>
      </c>
      <c r="E36" t="n">
        <v>0.6163</v>
      </c>
      <c r="F36" t="n">
        <v>0.002533333333333333</v>
      </c>
      <c r="G36" t="n">
        <v>4.525462</v>
      </c>
      <c r="H36" t="n">
        <v>2.908766666666667</v>
      </c>
      <c r="I36" t="n">
        <v>1.747533333333333</v>
      </c>
      <c r="J36" t="n">
        <v>27.1668</v>
      </c>
      <c r="K36" t="n">
        <v>28.54576666666667</v>
      </c>
    </row>
    <row r="37">
      <c r="A37" s="29" t="n">
        <v>45261</v>
      </c>
      <c r="B37" t="n">
        <v>4.421</v>
      </c>
      <c r="C37" t="n">
        <v>5.817548387096775</v>
      </c>
      <c r="D37" t="n">
        <v>1.020774193548387</v>
      </c>
      <c r="E37" t="n">
        <v>0.7173548387096774</v>
      </c>
      <c r="F37" t="n">
        <v>0.002548387096774193</v>
      </c>
      <c r="G37" t="n">
        <v>4.761295806451614</v>
      </c>
      <c r="H37" t="n">
        <v>2.73416129032258</v>
      </c>
      <c r="I37" t="n">
        <v>1.347290322580645</v>
      </c>
      <c r="J37" t="n">
        <v>27.04570967741936</v>
      </c>
      <c r="K37" t="n">
        <v>28.48216129032259</v>
      </c>
    </row>
    <row r="38">
      <c r="A38" s="29" t="n">
        <v>45292</v>
      </c>
      <c r="B38" t="n">
        <v>5.561419354838709</v>
      </c>
      <c r="C38" t="n">
        <v>5.737903225806452</v>
      </c>
      <c r="D38" t="n">
        <v>1.718290322580645</v>
      </c>
      <c r="E38" t="n">
        <v>0.9129677419354839</v>
      </c>
      <c r="F38" t="n">
        <v>0.007419354838709677</v>
      </c>
      <c r="G38" t="n">
        <v>4.002901935483871</v>
      </c>
      <c r="H38" t="n">
        <v>3.045290322580645</v>
      </c>
      <c r="I38" t="n">
        <v>0.917741935483871</v>
      </c>
      <c r="J38" t="n">
        <v>25.127</v>
      </c>
      <c r="K38" t="n">
        <v>29.08141935483871</v>
      </c>
    </row>
    <row r="39">
      <c r="A39" s="29" t="n">
        <v>45323</v>
      </c>
      <c r="B39" t="n">
        <v>4.008068965517241</v>
      </c>
      <c r="C39" t="n">
        <v>5.536586206896551</v>
      </c>
      <c r="D39" t="n">
        <v>1.097586206896552</v>
      </c>
      <c r="E39" t="n">
        <v>0.764551724137931</v>
      </c>
      <c r="F39" t="n">
        <v>0.007413793103448276</v>
      </c>
      <c r="G39" t="n">
        <v>3.654431724137932</v>
      </c>
      <c r="H39" t="n">
        <v>2.881137931034483</v>
      </c>
      <c r="I39" t="n">
        <v>2.00796551724138</v>
      </c>
      <c r="J39" t="n">
        <v>26.47165517241379</v>
      </c>
      <c r="K39" t="n">
        <v>28.07275862068965</v>
      </c>
    </row>
    <row r="40">
      <c r="A40" s="29" t="n">
        <v>45352</v>
      </c>
      <c r="B40" t="n">
        <v>4.475806451612903</v>
      </c>
      <c r="C40" t="n">
        <v>5.56</v>
      </c>
      <c r="D40" t="n">
        <v>0.5969677419354839</v>
      </c>
      <c r="E40" t="n">
        <v>0.5730645161290323</v>
      </c>
      <c r="F40" t="n">
        <v>0.007419354838709677</v>
      </c>
      <c r="G40" t="n">
        <v>3.077456774193548</v>
      </c>
      <c r="H40" t="n">
        <v>2.966548387096774</v>
      </c>
      <c r="I40" t="n">
        <v>2.315548387096774</v>
      </c>
      <c r="J40" t="n">
        <v>26.71183870967742</v>
      </c>
      <c r="K40" t="n">
        <v>27.842</v>
      </c>
    </row>
    <row r="41">
      <c r="A41" s="29" t="n">
        <v>45383</v>
      </c>
      <c r="B41" t="n">
        <v>4.507533333333334</v>
      </c>
      <c r="C41" t="n">
        <v>5.455</v>
      </c>
      <c r="D41" t="n">
        <v>0.3352</v>
      </c>
      <c r="E41" t="n">
        <v>0.4414666666666666</v>
      </c>
      <c r="F41" t="n">
        <v>0.0074</v>
      </c>
      <c r="G41" t="n">
        <v>2.211428333333334</v>
      </c>
      <c r="H41" t="n">
        <v>3.1878</v>
      </c>
      <c r="I41" t="n">
        <v>2.3053</v>
      </c>
      <c r="J41" t="n">
        <v>26.68763333333333</v>
      </c>
      <c r="K41" t="n">
        <v>28.0144</v>
      </c>
    </row>
    <row r="42">
      <c r="A42" s="29" t="n">
        <v>45413</v>
      </c>
      <c r="B42" t="n">
        <v>6.010064516129032</v>
      </c>
      <c r="C42" t="n">
        <v>5.232161290322581</v>
      </c>
      <c r="D42" t="n">
        <v>0.2444516129032258</v>
      </c>
      <c r="E42" t="n">
        <v>0.4193225806451613</v>
      </c>
      <c r="F42" t="n">
        <v>0.007419354838709677</v>
      </c>
      <c r="G42" t="n">
        <v>4.10494</v>
      </c>
      <c r="H42" t="n">
        <v>3.257677419354839</v>
      </c>
      <c r="I42" t="n">
        <v>1.905258064516129</v>
      </c>
      <c r="J42" t="n">
        <v>27.57170967741936</v>
      </c>
      <c r="K42" t="n">
        <v>28.81493548387097</v>
      </c>
    </row>
    <row r="43">
      <c r="A43" s="29" t="n">
        <v>45444</v>
      </c>
      <c r="B43" t="n">
        <v>6.976733333333334</v>
      </c>
      <c r="C43" t="n">
        <v>5.412633333333333</v>
      </c>
      <c r="D43" t="n">
        <v>0.2411666666666667</v>
      </c>
      <c r="E43" t="n">
        <v>0.4122</v>
      </c>
      <c r="F43" t="n">
        <v>0.0074</v>
      </c>
      <c r="G43" t="n">
        <v>4.706075</v>
      </c>
      <c r="H43" t="n">
        <v>3.117133333333333</v>
      </c>
      <c r="I43" t="n">
        <v>1.550366666666667</v>
      </c>
      <c r="J43" t="n">
        <v>27.7913</v>
      </c>
      <c r="K43" t="n">
        <v>29.1215</v>
      </c>
    </row>
    <row r="44">
      <c r="A44" s="29" t="n">
        <v>45474</v>
      </c>
      <c r="B44" t="n">
        <v>7.261322580645161</v>
      </c>
      <c r="C44" t="n">
        <v>5.511741935483871</v>
      </c>
      <c r="D44" t="n">
        <v>0.2387096774193548</v>
      </c>
      <c r="E44" t="n">
        <v>0.4077096774193548</v>
      </c>
      <c r="F44" t="n">
        <v>0.007419354838709677</v>
      </c>
      <c r="G44" t="n">
        <v>2.888535161290323</v>
      </c>
      <c r="H44" t="n">
        <v>3.147096774193549</v>
      </c>
      <c r="I44" t="n">
        <v>1.135903225806452</v>
      </c>
      <c r="J44" t="n">
        <v>27.72906451612904</v>
      </c>
      <c r="K44" t="n">
        <v>29.39983870967743</v>
      </c>
    </row>
    <row r="45">
      <c r="A45" s="29" t="n">
        <v>45505</v>
      </c>
      <c r="B45" t="n">
        <v>8.358483870967742</v>
      </c>
      <c r="C45" t="n">
        <v>5.637741935483871</v>
      </c>
      <c r="D45" t="n">
        <v>0.2118709677419355</v>
      </c>
      <c r="E45" t="n">
        <v>0.3919677419354838</v>
      </c>
      <c r="F45" t="n">
        <v>0.007419354838709677</v>
      </c>
      <c r="G45" t="n">
        <v>4.445793548387098</v>
      </c>
      <c r="H45" t="n">
        <v>3.193548387096774</v>
      </c>
      <c r="I45" t="n">
        <v>1.875322580645161</v>
      </c>
      <c r="J45" t="n">
        <v>27.9198064516129</v>
      </c>
      <c r="K45" t="n">
        <v>31.39454838709677</v>
      </c>
    </row>
    <row r="46">
      <c r="A46" s="29" t="n">
        <v>45536</v>
      </c>
      <c r="B46" t="n">
        <v>6.897866666666666</v>
      </c>
      <c r="C46" t="n">
        <v>5.5316</v>
      </c>
      <c r="D46" t="n">
        <v>0.2098333333333333</v>
      </c>
      <c r="E46" t="n">
        <v>0.4142666666666667</v>
      </c>
      <c r="F46" t="n">
        <v>0.0074</v>
      </c>
      <c r="G46" t="n">
        <v>4.636932666666667</v>
      </c>
      <c r="H46" t="n">
        <v>3.0912</v>
      </c>
      <c r="I46" t="n">
        <v>2.5233</v>
      </c>
      <c r="J46" t="n">
        <v>28.2645</v>
      </c>
      <c r="K46" t="n">
        <v>30.49186666666667</v>
      </c>
    </row>
    <row r="47">
      <c r="A47" s="29" t="n">
        <v>45566</v>
      </c>
      <c r="B47" t="n">
        <v>5.92516129032258</v>
      </c>
      <c r="C47" t="n">
        <v>5.303709677419355</v>
      </c>
      <c r="D47" t="n">
        <v>0.2420322580645161</v>
      </c>
      <c r="E47" t="n">
        <v>0.4293548387096774</v>
      </c>
      <c r="F47" t="n">
        <v>0.007419354838709677</v>
      </c>
      <c r="G47" t="n">
        <v>4.77529</v>
      </c>
      <c r="H47" t="n">
        <v>2.869387096774194</v>
      </c>
      <c r="I47" t="n">
        <v>2.784935483870968</v>
      </c>
      <c r="J47" t="n">
        <v>28.559</v>
      </c>
      <c r="K47" t="n">
        <v>29.54835483870968</v>
      </c>
    </row>
    <row r="48">
      <c r="A48" s="29" t="n">
        <v>45597</v>
      </c>
      <c r="B48" t="n">
        <v>4.806333333333333</v>
      </c>
      <c r="C48" t="n">
        <v>5.701866666666667</v>
      </c>
      <c r="D48" t="n">
        <v>0.4328666666666667</v>
      </c>
      <c r="E48" t="n">
        <v>0.5004</v>
      </c>
      <c r="F48" t="n">
        <v>0.0074</v>
      </c>
      <c r="G48" t="n">
        <v>4.40033</v>
      </c>
      <c r="H48" t="n">
        <v>2.7428</v>
      </c>
      <c r="I48" t="n">
        <v>1.816766666666667</v>
      </c>
      <c r="J48" t="n">
        <v>28.28536666666666</v>
      </c>
      <c r="K48" t="n">
        <v>29.54219999999999</v>
      </c>
    </row>
    <row r="49">
      <c r="A49" s="29" t="n">
        <v>45627</v>
      </c>
      <c r="B49" t="n">
        <v>4.653419354838709</v>
      </c>
      <c r="C49" t="n">
        <v>6.043483870967742</v>
      </c>
      <c r="D49" t="n">
        <v>0.8987419354838709</v>
      </c>
      <c r="E49" t="n">
        <v>0.681483870967742</v>
      </c>
      <c r="F49" t="n">
        <v>0.007419354838709677</v>
      </c>
      <c r="G49" t="n">
        <v>4.759608064516129</v>
      </c>
      <c r="H49" t="n">
        <v>2.697645161290323</v>
      </c>
      <c r="I49" t="n">
        <v>1.449032258064516</v>
      </c>
      <c r="J49" t="n">
        <v>28.49945161290323</v>
      </c>
      <c r="K49" t="n">
        <v>30.37351612903226</v>
      </c>
    </row>
    <row r="50">
      <c r="A50" s="29" t="n">
        <v>45658</v>
      </c>
      <c r="B50" t="n">
        <v>5.869</v>
      </c>
      <c r="C50" t="n">
        <v>5.845741935483871</v>
      </c>
      <c r="D50" t="n">
        <v>2.010354838709677</v>
      </c>
      <c r="E50" t="n">
        <v>1.101387096774194</v>
      </c>
      <c r="F50" t="n">
        <v>0.006193548387096774</v>
      </c>
      <c r="G50" t="n">
        <v>4.154271290322582</v>
      </c>
      <c r="H50" t="n">
        <v>3.12958064516129</v>
      </c>
      <c r="I50" t="n">
        <v>1.033096774193548</v>
      </c>
      <c r="J50" t="n">
        <v>28.24405679752158</v>
      </c>
      <c r="K50" t="n">
        <v>32.92408905558609</v>
      </c>
    </row>
    <row r="51">
      <c r="A51" s="29" t="n">
        <v>45689</v>
      </c>
      <c r="B51" t="n">
        <v>5.272785714285715</v>
      </c>
      <c r="C51" t="n">
        <v>5.759535714285715</v>
      </c>
      <c r="D51" t="n">
        <v>1.569142857142857</v>
      </c>
      <c r="E51" t="n">
        <v>0.9613214285714285</v>
      </c>
      <c r="F51" t="n">
        <v>0.006214285714285715</v>
      </c>
      <c r="G51" t="n">
        <v>4.985854642857143</v>
      </c>
      <c r="H51" t="n">
        <v>3.037857142857143</v>
      </c>
      <c r="I51" t="n">
        <v>1.292535714285714</v>
      </c>
      <c r="J51" t="n">
        <v>28.33351354931359</v>
      </c>
      <c r="K51" t="n">
        <v>32.39544212074216</v>
      </c>
    </row>
    <row r="52">
      <c r="A52" s="29" t="n">
        <v>45717</v>
      </c>
      <c r="B52" t="n">
        <v>3.69841935483871</v>
      </c>
      <c r="C52" t="n">
        <v>5.697580645161291</v>
      </c>
      <c r="D52" t="n">
        <v>0.5337741935483871</v>
      </c>
      <c r="E52" t="n">
        <v>0.4649354838709677</v>
      </c>
      <c r="F52" t="n">
        <v>0.006193548387096774</v>
      </c>
      <c r="G52" t="n">
        <v>4.598463870967742</v>
      </c>
      <c r="H52" t="n">
        <v>2.864387096774194</v>
      </c>
      <c r="I52" t="n">
        <v>2.661516129032258</v>
      </c>
      <c r="J52" t="n">
        <v>28.42087368859537</v>
      </c>
      <c r="K52" t="n">
        <v>29.66800272085344</v>
      </c>
    </row>
    <row r="53">
      <c r="A53" s="29" t="n">
        <v>45748</v>
      </c>
      <c r="B53" t="n">
        <v>4.2876</v>
      </c>
      <c r="C53" t="n">
        <v>5.537833333333333</v>
      </c>
      <c r="D53" t="n">
        <v>0.4167</v>
      </c>
      <c r="E53" t="n">
        <v>0.5441666666666666</v>
      </c>
      <c r="F53" t="n">
        <v>0.0062</v>
      </c>
      <c r="G53" t="n">
        <v>4.81889</v>
      </c>
      <c r="H53" t="n">
        <v>3.252</v>
      </c>
      <c r="I53" t="n">
        <v>2.422766666666667</v>
      </c>
      <c r="J53" t="n">
        <v>28.66872758850139</v>
      </c>
      <c r="K53" t="n">
        <v>29.69009425516806</v>
      </c>
    </row>
    <row r="54">
      <c r="A54" s="29" t="n">
        <v>45778</v>
      </c>
      <c r="B54" t="n">
        <v>5.777741935483871</v>
      </c>
      <c r="C54" t="n">
        <v>5.462096774193548</v>
      </c>
      <c r="D54" t="n">
        <v>0.2829032258064516</v>
      </c>
      <c r="E54" t="n">
        <v>0.4228387096774193</v>
      </c>
      <c r="F54" t="n">
        <v>0.006193548387096774</v>
      </c>
      <c r="G54" t="n">
        <v>4.495722580645161</v>
      </c>
      <c r="H54" t="n">
        <v>3.523838709677419</v>
      </c>
      <c r="I54" t="n">
        <v>2.441677419354839</v>
      </c>
      <c r="J54" t="n">
        <v>28.39991141756023</v>
      </c>
      <c r="K54" t="n">
        <v>29.24294367562474</v>
      </c>
    </row>
    <row r="55">
      <c r="A55" s="29" t="n">
        <v>45809</v>
      </c>
      <c r="B55" t="n">
        <v>6.4434</v>
      </c>
      <c r="C55" t="n">
        <v>5.411233333333334</v>
      </c>
      <c r="D55" t="n">
        <v>0.2359</v>
      </c>
      <c r="E55" t="n">
        <v>0.419</v>
      </c>
      <c r="F55" t="n">
        <v>0.0062</v>
      </c>
      <c r="G55" t="n">
        <v>4.700261666666666</v>
      </c>
      <c r="H55" t="n">
        <v>3.446133333333333</v>
      </c>
      <c r="I55" t="n">
        <v>2.011666666666667</v>
      </c>
      <c r="J55" t="n">
        <v>28.79030246552894</v>
      </c>
      <c r="K55" t="n">
        <v>29.58750246552894</v>
      </c>
    </row>
    <row r="56">
      <c r="A56" s="29" t="n">
        <v>45839</v>
      </c>
      <c r="B56" t="n">
        <v>7.139032258064516</v>
      </c>
      <c r="C56" t="n">
        <v>5.410709677419355</v>
      </c>
      <c r="D56" t="n">
        <v>0.2180645161290322</v>
      </c>
      <c r="E56" t="n">
        <v>0.4039032258064516</v>
      </c>
      <c r="F56" t="n">
        <v>0.006193548387096774</v>
      </c>
      <c r="G56" t="n">
        <v>4.497199354838711</v>
      </c>
      <c r="H56" t="n">
        <v>3.09458064516129</v>
      </c>
      <c r="I56" t="n">
        <v>1.676290322580645</v>
      </c>
      <c r="J56" t="n">
        <v>29.17521868269277</v>
      </c>
      <c r="K56" t="n">
        <v>30.62612190849922</v>
      </c>
    </row>
    <row r="57">
      <c r="A57" s="29" t="n">
        <v>45870</v>
      </c>
      <c r="B57" t="n">
        <v>7.713354838709678</v>
      </c>
      <c r="C57" t="n">
        <v>5.538838709677419</v>
      </c>
      <c r="D57" t="n">
        <v>0.1949677419354839</v>
      </c>
      <c r="E57" t="n">
        <v>0.383</v>
      </c>
      <c r="F57" t="n">
        <v>0.006193548387096774</v>
      </c>
      <c r="G57" t="n">
        <v>4.468156129032257</v>
      </c>
      <c r="H57" t="n">
        <v>3.350290322580645</v>
      </c>
      <c r="I57" t="n">
        <v>1.391838709677419</v>
      </c>
      <c r="J57" t="n">
        <v>29.48895130800512</v>
      </c>
      <c r="K57" t="n">
        <v>31.29282227574706</v>
      </c>
    </row>
    <row r="58">
      <c r="A58" s="29" t="n">
        <v>45901</v>
      </c>
      <c r="B58" t="n">
        <v>6.913966666666666</v>
      </c>
      <c r="C58" t="n">
        <v>5.562266666666666</v>
      </c>
      <c r="D58" t="n">
        <v>0.1994</v>
      </c>
      <c r="E58" t="n">
        <v>0.3982666666666667</v>
      </c>
      <c r="F58" t="n">
        <v>0.0062</v>
      </c>
      <c r="G58" t="n">
        <v>4.724750333333334</v>
      </c>
      <c r="H58" t="n">
        <v>2.949933333333334</v>
      </c>
      <c r="I58" t="n">
        <v>1.689533333333333</v>
      </c>
      <c r="J58" t="n">
        <v>29.45501958725445</v>
      </c>
      <c r="K58" t="n">
        <v>30.75471958725445</v>
      </c>
    </row>
    <row r="59">
      <c r="A59" s="29" t="n">
        <v>45931</v>
      </c>
      <c r="B59" t="n">
        <v>5.629225806451613</v>
      </c>
      <c r="C59" t="n">
        <v>5.351806451612903</v>
      </c>
      <c r="D59" t="n">
        <v>0.2535806451612903</v>
      </c>
      <c r="E59" t="n">
        <v>0.410258064516129</v>
      </c>
      <c r="F59" t="n">
        <v>0.006193548387096774</v>
      </c>
      <c r="G59" t="n">
        <v>5.143850645161292</v>
      </c>
      <c r="H59" t="n">
        <v>2.833483870967742</v>
      </c>
      <c r="I59" t="n">
        <v>2.187</v>
      </c>
      <c r="J59" t="n">
        <v>29.14146861697209</v>
      </c>
      <c r="K59" t="n">
        <v>30.2716944234237</v>
      </c>
    </row>
    <row r="60">
      <c r="A60" s="29" t="n">
        <v>45962</v>
      </c>
      <c r="B60" t="n">
        <v>4.648733333333333</v>
      </c>
      <c r="C60" t="n">
        <v>5.8022</v>
      </c>
      <c r="D60" t="n">
        <v>0.4432</v>
      </c>
      <c r="E60" t="n">
        <v>0.5220333333333333</v>
      </c>
      <c r="F60" t="n">
        <v>0.0062</v>
      </c>
      <c r="G60" t="n">
        <v>5.420533666666667</v>
      </c>
      <c r="H60" t="n">
        <v>2.9201</v>
      </c>
      <c r="I60" t="n">
        <v>2.081066666666667</v>
      </c>
      <c r="J60" t="n">
        <v>29.76337540353552</v>
      </c>
      <c r="K60" t="n">
        <v>30.99060873686885</v>
      </c>
    </row>
    <row r="61">
      <c r="A61" s="29" t="n">
        <v>45992</v>
      </c>
      <c r="B61" t="n">
        <v>4.848451612903226</v>
      </c>
      <c r="C61" t="n">
        <v>5.93</v>
      </c>
      <c r="D61" t="n">
        <v>0.9796451612903225</v>
      </c>
      <c r="E61" t="n">
        <v>0.6952903225806452</v>
      </c>
      <c r="F61" t="n">
        <v>0.006193548387096774</v>
      </c>
      <c r="G61" t="n">
        <v>5.626580000000001</v>
      </c>
      <c r="H61" t="n">
        <v>2.764451612903226</v>
      </c>
      <c r="I61" t="n">
        <v>1.341290322580645</v>
      </c>
      <c r="J61" t="n">
        <v>30.07883555019745</v>
      </c>
      <c r="K61" t="n">
        <v>33.24464200181036</v>
      </c>
    </row>
    <row r="62">
      <c r="A62" s="29" t="n">
        <v>46023</v>
      </c>
      <c r="B62" t="n">
        <v>5.437354838709677</v>
      </c>
      <c r="C62" t="n">
        <v>5.787548387096774</v>
      </c>
      <c r="D62" t="n">
        <v>1.498</v>
      </c>
      <c r="E62" t="n">
        <v>0.921258064516129</v>
      </c>
      <c r="F62" t="n">
        <v>0.006193548387096774</v>
      </c>
      <c r="G62" t="n">
        <v>5.1775</v>
      </c>
      <c r="H62" t="n">
        <v>2.873354838709677</v>
      </c>
      <c r="I62" t="n">
        <v>1.035096774193548</v>
      </c>
      <c r="J62" t="n">
        <v>29.03649539097756</v>
      </c>
      <c r="K62" t="n">
        <v>33.70807603613885</v>
      </c>
    </row>
    <row r="63">
      <c r="A63" s="29" t="n">
        <v>46054</v>
      </c>
      <c r="B63" t="n">
        <v>4.554392857142857</v>
      </c>
      <c r="C63" t="n">
        <v>5.705857142857143</v>
      </c>
      <c r="D63" t="n">
        <v>1.006357142857143</v>
      </c>
      <c r="E63" t="n">
        <v>0.6013214285714286</v>
      </c>
      <c r="F63" t="n">
        <v>0.006214285714285715</v>
      </c>
      <c r="G63" t="n">
        <v>5.757808214285715</v>
      </c>
      <c r="H63" t="n">
        <v>2.989107142857143</v>
      </c>
      <c r="I63" t="n">
        <v>1.613321428571429</v>
      </c>
      <c r="J63" t="n">
        <v>29.89721649149912</v>
      </c>
      <c r="K63" t="n">
        <v>32.79289506292769</v>
      </c>
    </row>
    <row r="64">
      <c r="A64" s="29" t="n">
        <v>46082</v>
      </c>
      <c r="B64" t="n">
        <v>4.129</v>
      </c>
      <c r="C64" t="n">
        <v>5.653225806451613</v>
      </c>
      <c r="D64" t="n">
        <v>0.5390967741935484</v>
      </c>
      <c r="E64" t="n">
        <v>0.5518387096774194</v>
      </c>
      <c r="F64" t="n">
        <v>0.006193548387096774</v>
      </c>
      <c r="G64" t="n">
        <v>5.815642258064516</v>
      </c>
      <c r="H64" t="n">
        <v>2.768580645161291</v>
      </c>
      <c r="I64" t="n">
        <v>2.199451612903226</v>
      </c>
      <c r="J64" t="n">
        <v>30.04411425956394</v>
      </c>
      <c r="K64" t="n">
        <v>31.2286303885962</v>
      </c>
    </row>
    <row r="65">
      <c r="A65" s="29" t="n">
        <v>46113</v>
      </c>
      <c r="B65" t="n">
        <v>4.808033333333333</v>
      </c>
      <c r="C65" t="n">
        <v>5.719533333333334</v>
      </c>
      <c r="D65" t="n">
        <v>0.3398</v>
      </c>
      <c r="E65" t="n">
        <v>0.4702333333333333</v>
      </c>
      <c r="F65" t="n">
        <v>0.0062</v>
      </c>
      <c r="G65" t="n">
        <v>5.796038666666668</v>
      </c>
      <c r="H65" t="n">
        <v>2.837666666666667</v>
      </c>
      <c r="I65" t="n">
        <v>2.0877</v>
      </c>
      <c r="J65" t="n">
        <v>30.27805446331141</v>
      </c>
      <c r="K65" t="n">
        <v>31.40892112997808</v>
      </c>
    </row>
    <row r="66">
      <c r="A66" s="29" t="n">
        <v>46143</v>
      </c>
      <c r="B66" t="n">
        <v>5.746419354838709</v>
      </c>
      <c r="C66" t="n">
        <v>5.633806451612903</v>
      </c>
      <c r="D66" t="n">
        <v>0.2309032258064516</v>
      </c>
      <c r="E66" t="n">
        <v>0.3834838709677419</v>
      </c>
      <c r="F66" t="n">
        <v>0.006193548387096774</v>
      </c>
      <c r="G66" t="n">
        <v>5.236957741935484</v>
      </c>
      <c r="H66" t="n">
        <v>3.316451612903226</v>
      </c>
      <c r="I66" t="n">
        <v>2.190806451612903</v>
      </c>
      <c r="J66" t="n">
        <v>30.03561604157672</v>
      </c>
      <c r="K66" t="n">
        <v>31.31845475125414</v>
      </c>
    </row>
    <row r="67">
      <c r="A67" s="29" t="n">
        <v>46174</v>
      </c>
      <c r="B67" t="n">
        <v>6.806066666666666</v>
      </c>
      <c r="C67" t="n">
        <v>5.6723</v>
      </c>
      <c r="D67" t="n">
        <v>0.2417</v>
      </c>
      <c r="E67" t="n">
        <v>0.4054</v>
      </c>
      <c r="F67" t="n">
        <v>0.0062</v>
      </c>
      <c r="G67" t="n">
        <v>5.555875333333335</v>
      </c>
      <c r="H67" t="n">
        <v>3.3545</v>
      </c>
      <c r="I67" t="n">
        <v>1.944366666666667</v>
      </c>
      <c r="J67" t="n">
        <v>30.44816450679276</v>
      </c>
      <c r="K67" t="n">
        <v>31.7683978401261</v>
      </c>
    </row>
    <row r="68">
      <c r="A68" s="29" t="n">
        <v>46204</v>
      </c>
      <c r="B68" t="n">
        <v>7.621806451612904</v>
      </c>
      <c r="C68" t="n">
        <v>5.519354838709677</v>
      </c>
      <c r="D68" t="n">
        <v>0.2176451612903226</v>
      </c>
      <c r="E68" t="n">
        <v>0.3741290322580645</v>
      </c>
      <c r="F68" t="n">
        <v>0.006193548387096774</v>
      </c>
      <c r="G68" t="n">
        <v>5.482489032258065</v>
      </c>
      <c r="H68" t="n">
        <v>3.236774193548387</v>
      </c>
      <c r="I68" t="n">
        <v>1.523032258064516</v>
      </c>
      <c r="J68" t="n">
        <v>31.2355644213723</v>
      </c>
      <c r="K68" t="n">
        <v>32.67804829234004</v>
      </c>
      <c r="L68" t="n">
        <v>32.67804829234004</v>
      </c>
    </row>
    <row r="69">
      <c r="A69" s="29" t="n">
        <v>46235</v>
      </c>
      <c r="B69" t="n">
        <v>8.226357563120109</v>
      </c>
      <c r="C69" t="n">
        <v>5.621485403354847</v>
      </c>
      <c r="D69" t="n">
        <v>0.1779486860462226</v>
      </c>
      <c r="E69" t="n">
        <v>0.3609947179446857</v>
      </c>
      <c r="F69" t="n">
        <v>0.005248137433832125</v>
      </c>
      <c r="G69" t="n">
        <v>5.887831766063428</v>
      </c>
      <c r="H69" t="n">
        <v>3.173172980830325</v>
      </c>
      <c r="I69" t="n">
        <v>1.741763440860215</v>
      </c>
      <c r="J69" t="n">
        <v>31.28109757745621</v>
      </c>
      <c r="K69" t="n">
        <v>34.16464596455298</v>
      </c>
      <c r="L69" t="n">
        <v>33.75944283738135</v>
      </c>
    </row>
    <row r="70">
      <c r="A70" s="29" t="n">
        <v>46266</v>
      </c>
      <c r="B70" t="n">
        <v>6.972881215060556</v>
      </c>
      <c r="C70" t="n">
        <v>5.596456138285548</v>
      </c>
      <c r="D70" t="n">
        <v>0.175046874031219</v>
      </c>
      <c r="E70" t="n">
        <v>0.3698039882017338</v>
      </c>
      <c r="F70" t="n">
        <v>0.005225411877332316</v>
      </c>
      <c r="G70" t="n">
        <v>6.196107924570369</v>
      </c>
      <c r="H70" t="n">
        <v>2.987072935842459</v>
      </c>
      <c r="I70" t="n">
        <v>2.412133333333333</v>
      </c>
      <c r="J70" t="n">
        <v>31.31724698954871</v>
      </c>
      <c r="K70" t="n">
        <v>33.42210254510427</v>
      </c>
      <c r="L70" t="n">
        <v>33.01689941793264</v>
      </c>
    </row>
    <row r="71">
      <c r="A71" s="29" t="n">
        <v>46296</v>
      </c>
      <c r="B71" t="n">
        <v>5.479411440179787</v>
      </c>
      <c r="C71" t="n">
        <v>5.449022447701622</v>
      </c>
      <c r="D71" t="n">
        <v>0.2429498514645628</v>
      </c>
      <c r="E71" t="n">
        <v>0.4048979509691186</v>
      </c>
      <c r="F71" t="n">
        <v>0.005221562593783915</v>
      </c>
      <c r="G71" t="n">
        <v>6.396777187440787</v>
      </c>
      <c r="H71" t="n">
        <v>2.849358403364498</v>
      </c>
      <c r="I71" t="n">
        <v>2.523494623655914</v>
      </c>
      <c r="J71" t="n">
        <v>31.53641690756494</v>
      </c>
      <c r="K71" t="n">
        <v>32.5932018538015</v>
      </c>
      <c r="L71" t="n">
        <v>32.0015042717022</v>
      </c>
    </row>
    <row r="72">
      <c r="A72" s="29" t="n">
        <v>46327</v>
      </c>
      <c r="B72" t="n">
        <v>4.681836989623317</v>
      </c>
      <c r="C72" t="n">
        <v>5.833597724237229</v>
      </c>
      <c r="D72" t="n">
        <v>0.4673572310198874</v>
      </c>
      <c r="E72" t="n">
        <v>0.5073680038436067</v>
      </c>
      <c r="F72" t="n">
        <v>0.005198952112019974</v>
      </c>
      <c r="G72" t="n">
        <v>6.56437371390203</v>
      </c>
      <c r="H72" t="n">
        <v>2.784950506332339</v>
      </c>
      <c r="I72" t="n">
        <v>1.881788888888889</v>
      </c>
      <c r="J72" t="n">
        <v>31.64860220599815</v>
      </c>
      <c r="K72" t="n">
        <v>32.93627998377593</v>
      </c>
      <c r="L72" t="n">
        <v>32.25841347570303</v>
      </c>
    </row>
    <row r="73">
      <c r="A73" s="29" t="n">
        <v>46357</v>
      </c>
      <c r="B73" t="n">
        <v>4.625126022211296</v>
      </c>
      <c r="C73" t="n">
        <v>6.031840489538337</v>
      </c>
      <c r="D73" t="n">
        <v>0.8618928708285389</v>
      </c>
      <c r="E73" t="n">
        <v>0.6467795879765276</v>
      </c>
      <c r="F73" t="n">
        <v>0.00519512231997611</v>
      </c>
      <c r="G73" t="n">
        <v>6.644037038101145</v>
      </c>
      <c r="H73" t="n">
        <v>2.658115350636673</v>
      </c>
      <c r="I73" t="n">
        <v>1.379204301075269</v>
      </c>
      <c r="J73" t="n">
        <v>31.82203171238674</v>
      </c>
      <c r="K73" t="n">
        <v>33.98080590593513</v>
      </c>
      <c r="L73" t="n">
        <v>33.21156221837443</v>
      </c>
    </row>
    <row r="74">
      <c r="A74" s="29" t="n">
        <v>46388</v>
      </c>
      <c r="B74" t="n">
        <v>5.60152132066198</v>
      </c>
      <c r="C74" t="n">
        <v>5.893686262858893</v>
      </c>
      <c r="D74" t="n">
        <v>1.534636697680467</v>
      </c>
      <c r="E74" t="n">
        <v>0.9017584031775656</v>
      </c>
      <c r="F74" t="n">
        <v>0.006632259070454595</v>
      </c>
      <c r="G74" t="n">
        <v>6.474365214734833</v>
      </c>
      <c r="H74" t="n">
        <v>2.928315042689603</v>
      </c>
      <c r="I74" t="n">
        <v>0.9953118279569892</v>
      </c>
      <c r="J74" t="n">
        <v>31.34480261369272</v>
      </c>
      <c r="K74" t="n">
        <v>35.78014669971422</v>
      </c>
      <c r="L74" t="n">
        <v>35.72205328186011</v>
      </c>
    </row>
    <row r="75">
      <c r="A75" s="29" t="n">
        <v>46419</v>
      </c>
      <c r="B75" t="n">
        <v>4.591665770626252</v>
      </c>
      <c r="C75" t="n">
        <v>5.771683468248021</v>
      </c>
      <c r="D75" t="n">
        <v>1.071753433222375</v>
      </c>
      <c r="E75" t="n">
        <v>0.7096739390246209</v>
      </c>
      <c r="F75" t="n">
        <v>0.006626279424245835</v>
      </c>
      <c r="G75" t="n">
        <v>6.457224532049643</v>
      </c>
      <c r="H75" t="n">
        <v>2.878761529187784</v>
      </c>
      <c r="I75" t="n">
        <v>1.637940886699507</v>
      </c>
      <c r="J75" t="n">
        <v>32.14974562843171</v>
      </c>
      <c r="K75" t="n">
        <v>35.00264915880938</v>
      </c>
      <c r="L75" t="n">
        <v>34.36138703067088</v>
      </c>
    </row>
    <row r="76">
      <c r="A76" s="29" t="n">
        <v>46447</v>
      </c>
      <c r="B76" t="n">
        <v>4.084302667522916</v>
      </c>
      <c r="C76" t="n">
        <v>5.744850592631705</v>
      </c>
      <c r="D76" t="n">
        <v>0.4915507700236296</v>
      </c>
      <c r="E76" t="n">
        <v>0.4883272060505006</v>
      </c>
      <c r="F76" t="n">
        <v>0.006598675494152</v>
      </c>
      <c r="G76" t="n">
        <v>6.475045955188901</v>
      </c>
      <c r="H76" t="n">
        <v>2.774088603050508</v>
      </c>
      <c r="I76" t="n">
        <v>2.392172043010753</v>
      </c>
      <c r="J76" t="n">
        <v>32.3263064166282</v>
      </c>
      <c r="K76" t="n">
        <v>33.5135752338325</v>
      </c>
      <c r="L76" t="n">
        <v>32.72504168079096</v>
      </c>
    </row>
    <row r="77">
      <c r="A77" s="29" t="n">
        <v>46478</v>
      </c>
      <c r="B77" t="n">
        <v>4.513549912598049</v>
      </c>
      <c r="C77" t="n">
        <v>5.680608138500108</v>
      </c>
      <c r="D77" t="n">
        <v>0.3190816123310472</v>
      </c>
      <c r="E77" t="n">
        <v>0.4440890247278849</v>
      </c>
      <c r="F77" t="n">
        <v>0.006578774034385803</v>
      </c>
      <c r="G77" t="n">
        <v>6.537792984935101</v>
      </c>
      <c r="H77" t="n">
        <v>2.986666029480982</v>
      </c>
      <c r="I77" t="n">
        <v>2.271922222222222</v>
      </c>
      <c r="J77" t="n">
        <v>32.51242239218128</v>
      </c>
      <c r="K77" t="n">
        <v>33.67208905884794</v>
      </c>
      <c r="L77" t="n">
        <v>33.67208905884794</v>
      </c>
    </row>
    <row r="78">
      <c r="A78" s="29" t="n">
        <v>46508</v>
      </c>
      <c r="B78" t="n">
        <v>5.815887213640852</v>
      </c>
      <c r="C78" t="n">
        <v>5.552993543365289</v>
      </c>
      <c r="D78" t="n">
        <v>0.2209863247505367</v>
      </c>
      <c r="E78" t="n">
        <v>0.3730742742049455</v>
      </c>
      <c r="F78" t="n">
        <v>0.006565261974022615</v>
      </c>
      <c r="G78" t="n">
        <v>6.990937874296153</v>
      </c>
      <c r="H78" t="n">
        <v>3.246131765669215</v>
      </c>
      <c r="I78" t="n">
        <v>2.179247311827957</v>
      </c>
      <c r="J78" t="n">
        <v>32.71624278042914</v>
      </c>
      <c r="K78" t="n">
        <v>33.83927503849366</v>
      </c>
      <c r="L78" t="n">
        <v>33.83927503849366</v>
      </c>
    </row>
    <row r="79">
      <c r="A79" s="29" t="n">
        <v>46539</v>
      </c>
      <c r="B79" t="n">
        <v>6.706918670559735</v>
      </c>
      <c r="C79" t="n">
        <v>5.614579908845148</v>
      </c>
      <c r="D79" t="n">
        <v>0.2102139365451465</v>
      </c>
      <c r="E79" t="n">
        <v>0.3758789561992053</v>
      </c>
      <c r="F79" t="n">
        <v>0.006545461288696243</v>
      </c>
      <c r="G79" t="n">
        <v>7.317293769208743</v>
      </c>
      <c r="H79" t="n">
        <v>3.183163621523247</v>
      </c>
      <c r="I79" t="n">
        <v>1.835466666666667</v>
      </c>
      <c r="J79" t="n">
        <v>32.93451173619186</v>
      </c>
      <c r="K79" t="n">
        <v>34.08372284730297</v>
      </c>
      <c r="L79" t="n">
        <v>34.08372284730297</v>
      </c>
    </row>
    <row r="80">
      <c r="A80" s="29" t="n">
        <v>46569</v>
      </c>
      <c r="B80" t="n">
        <v>7.299471258702761</v>
      </c>
      <c r="C80" t="n">
        <v>5.600740992260573</v>
      </c>
      <c r="D80" t="n">
        <v>0.1964829098663687</v>
      </c>
      <c r="E80" t="n">
        <v>0.3592145606960728</v>
      </c>
      <c r="F80" t="n">
        <v>0.006532017648957973</v>
      </c>
      <c r="G80" t="n">
        <v>7.490755317494782</v>
      </c>
      <c r="H80" t="n">
        <v>3.037684824395354</v>
      </c>
      <c r="I80" t="n">
        <v>1.445075268817204</v>
      </c>
      <c r="J80" t="n">
        <v>33.16438630289471</v>
      </c>
      <c r="K80" t="n">
        <v>34.6857733996689</v>
      </c>
      <c r="L80" t="n">
        <v>34.6857733996689</v>
      </c>
    </row>
    <row r="81">
      <c r="A81" s="29" t="n">
        <v>46600</v>
      </c>
      <c r="B81" t="n">
        <v>8.193937527388337</v>
      </c>
      <c r="C81" t="n">
        <v>5.666028153285912</v>
      </c>
      <c r="D81" t="n">
        <v>0.1726102254648359</v>
      </c>
      <c r="E81" t="n">
        <v>0.3501648764063452</v>
      </c>
      <c r="F81" t="n">
        <v>0.005090693310817161</v>
      </c>
      <c r="G81" t="n">
        <v>7.99559592769987</v>
      </c>
      <c r="H81" t="n">
        <v>3.108901705501789</v>
      </c>
      <c r="I81" t="n">
        <v>1.741763440860215</v>
      </c>
      <c r="J81" t="n">
        <v>33.39840372909472</v>
      </c>
      <c r="K81" t="n">
        <v>36.28195211619149</v>
      </c>
      <c r="L81" t="n">
        <v>36.28195211619149</v>
      </c>
    </row>
    <row r="82">
      <c r="A82" s="29" t="n">
        <v>46631</v>
      </c>
      <c r="B82" t="n">
        <v>6.945401123609252</v>
      </c>
      <c r="C82" t="n">
        <v>5.640800564781621</v>
      </c>
      <c r="D82" t="n">
        <v>0.1697954678102824</v>
      </c>
      <c r="E82" t="n">
        <v>0.3587098685556818</v>
      </c>
      <c r="F82" t="n">
        <v>0.005068649521012347</v>
      </c>
      <c r="G82" t="n">
        <v>8.695339501376306</v>
      </c>
      <c r="H82" t="n">
        <v>2.926571038137622</v>
      </c>
      <c r="I82" t="n">
        <v>2.412133333333333</v>
      </c>
      <c r="J82" t="n">
        <v>33.63099851262336</v>
      </c>
      <c r="K82" t="n">
        <v>35.73585406817892</v>
      </c>
      <c r="L82" t="n">
        <v>35.73585406817892</v>
      </c>
    </row>
    <row r="83">
      <c r="A83" s="29" t="n">
        <v>46661</v>
      </c>
      <c r="B83" t="n">
        <v>5.457817105953894</v>
      </c>
      <c r="C83" t="n">
        <v>5.492198659475094</v>
      </c>
      <c r="D83" t="n">
        <v>0.2356613559206259</v>
      </c>
      <c r="E83" t="n">
        <v>0.392751012440045</v>
      </c>
      <c r="F83" t="n">
        <v>0.005064915715970399</v>
      </c>
      <c r="G83" t="n">
        <v>9.396864497151917</v>
      </c>
      <c r="H83" t="n">
        <v>2.791645855212018</v>
      </c>
      <c r="I83" t="n">
        <v>2.523494623655914</v>
      </c>
      <c r="J83" t="n">
        <v>33.86432455900134</v>
      </c>
      <c r="K83" t="n">
        <v>34.9211095052379</v>
      </c>
      <c r="L83" t="n">
        <v>34.9211095052379</v>
      </c>
    </row>
    <row r="84">
      <c r="A84" s="29" t="n">
        <v>46692</v>
      </c>
      <c r="B84" t="n">
        <v>4.663385892484723</v>
      </c>
      <c r="C84" t="n">
        <v>5.879821180492057</v>
      </c>
      <c r="D84" t="n">
        <v>0.4533365140892908</v>
      </c>
      <c r="E84" t="n">
        <v>0.4921469637282985</v>
      </c>
      <c r="F84" t="n">
        <v>0.005042983548659375</v>
      </c>
      <c r="G84" t="n">
        <v>10.02482796884667</v>
      </c>
      <c r="H84" t="n">
        <v>2.728542512866443</v>
      </c>
      <c r="I84" t="n">
        <v>1.881788888888889</v>
      </c>
      <c r="J84" t="n">
        <v>34.0936053442197</v>
      </c>
      <c r="K84" t="n">
        <v>35.38128312199748</v>
      </c>
      <c r="L84" t="n">
        <v>35.38128312199748</v>
      </c>
    </row>
    <row r="85">
      <c r="A85" s="29" t="n">
        <v>46722</v>
      </c>
      <c r="B85" t="n">
        <v>4.606898422723488</v>
      </c>
      <c r="C85" t="n">
        <v>6.079634754447258</v>
      </c>
      <c r="D85" t="n">
        <v>0.8360360847036827</v>
      </c>
      <c r="E85" t="n">
        <v>0.6273762003372318</v>
      </c>
      <c r="F85" t="n">
        <v>0.005039268650376826</v>
      </c>
      <c r="G85" t="n">
        <v>10.18260905034924</v>
      </c>
      <c r="H85" t="n">
        <v>2.604276349552315</v>
      </c>
      <c r="I85" t="n">
        <v>1.379204301075269</v>
      </c>
      <c r="J85" t="n">
        <v>34.31354508796161</v>
      </c>
      <c r="K85" t="n">
        <v>36.47231928151</v>
      </c>
      <c r="L85" t="n">
        <v>36.47231928151</v>
      </c>
    </row>
    <row r="86">
      <c r="A86" s="29" t="n">
        <v>46753</v>
      </c>
      <c r="B86" t="n">
        <v>5.579445751982315</v>
      </c>
      <c r="C86" t="n">
        <v>5.940385840380165</v>
      </c>
      <c r="D86" t="n">
        <v>1.488597596750053</v>
      </c>
      <c r="E86" t="n">
        <v>0.8747056510822386</v>
      </c>
      <c r="F86" t="n">
        <v>0.006433291298340957</v>
      </c>
      <c r="G86" t="n">
        <v>9.933882743400588</v>
      </c>
      <c r="H86" t="n">
        <v>2.869003261234766</v>
      </c>
      <c r="I86" t="n">
        <v>0.9953118279569892</v>
      </c>
      <c r="J86" t="n">
        <v>33.73408061239353</v>
      </c>
      <c r="K86" t="n">
        <v>38.16942469841504</v>
      </c>
      <c r="L86" t="n">
        <v>38.16942469841504</v>
      </c>
    </row>
    <row r="87">
      <c r="A87" s="29" t="n">
        <v>46784</v>
      </c>
      <c r="B87" t="n">
        <v>4.573570037829584</v>
      </c>
      <c r="C87" t="n">
        <v>5.817416336869187</v>
      </c>
      <c r="D87" t="n">
        <v>1.039600830225704</v>
      </c>
      <c r="E87" t="n">
        <v>0.6883837208538823</v>
      </c>
      <c r="F87" t="n">
        <v>0.006427491041518459</v>
      </c>
      <c r="G87" t="n">
        <v>10.05862295544212</v>
      </c>
      <c r="H87" t="n">
        <v>2.820453433169895</v>
      </c>
      <c r="I87" t="n">
        <v>1.637940886699507</v>
      </c>
      <c r="J87" t="n">
        <v>34.59969540182533</v>
      </c>
      <c r="K87" t="n">
        <v>37.452598932203</v>
      </c>
      <c r="L87" t="n">
        <v>37.452598932203</v>
      </c>
    </row>
    <row r="88">
      <c r="A88" s="29" t="n">
        <v>46813</v>
      </c>
      <c r="B88" t="n">
        <v>4.068206450284062</v>
      </c>
      <c r="C88" t="n">
        <v>5.790370846617636</v>
      </c>
      <c r="D88" t="n">
        <v>0.4768042469229207</v>
      </c>
      <c r="E88" t="n">
        <v>0.4736773898689856</v>
      </c>
      <c r="F88" t="n">
        <v>0.00640071522932744</v>
      </c>
      <c r="G88" t="n">
        <v>9.974197376981069</v>
      </c>
      <c r="H88" t="n">
        <v>2.717900612837079</v>
      </c>
      <c r="I88" t="n">
        <v>2.392172043010753</v>
      </c>
      <c r="J88" t="n">
        <v>34.79017118914386</v>
      </c>
      <c r="K88" t="n">
        <v>35.97744000634816</v>
      </c>
      <c r="L88" t="n">
        <v>35.97744000634816</v>
      </c>
    </row>
    <row r="89">
      <c r="A89" s="29" t="n">
        <v>46844</v>
      </c>
      <c r="B89" t="n">
        <v>4.495762034023503</v>
      </c>
      <c r="C89" t="n">
        <v>5.725619356997369</v>
      </c>
      <c r="D89" t="n">
        <v>0.3095091639611158</v>
      </c>
      <c r="E89" t="n">
        <v>0.4307663539860483</v>
      </c>
      <c r="F89" t="n">
        <v>0.00638141081335423</v>
      </c>
      <c r="G89" t="n">
        <v>9.851180955530085</v>
      </c>
      <c r="H89" t="n">
        <v>2.926172373492228</v>
      </c>
      <c r="I89" t="n">
        <v>2.271922222222222</v>
      </c>
      <c r="J89" t="n">
        <v>34.99107076113182</v>
      </c>
      <c r="K89" t="n">
        <v>36.15073742779849</v>
      </c>
      <c r="L89" t="n">
        <v>36.15073742779849</v>
      </c>
    </row>
    <row r="90">
      <c r="A90" s="29" t="n">
        <v>46874</v>
      </c>
      <c r="B90" t="n">
        <v>5.792966830004295</v>
      </c>
      <c r="C90" t="n">
        <v>5.596993586952225</v>
      </c>
      <c r="D90" t="n">
        <v>0.2143567350080206</v>
      </c>
      <c r="E90" t="n">
        <v>0.3618820459787971</v>
      </c>
      <c r="F90" t="n">
        <v>0.006368304114801937</v>
      </c>
      <c r="G90" t="n">
        <v>10.37861337246806</v>
      </c>
      <c r="H90" t="n">
        <v>3.180382741041683</v>
      </c>
      <c r="I90" t="n">
        <v>2.179247311827957</v>
      </c>
      <c r="J90" t="n">
        <v>35.21107507190299</v>
      </c>
      <c r="K90" t="n">
        <v>36.33410732996751</v>
      </c>
      <c r="L90" t="n">
        <v>36.33410732996751</v>
      </c>
    </row>
    <row r="91">
      <c r="A91" s="29" t="n">
        <v>46905</v>
      </c>
      <c r="B91" t="n">
        <v>6.680486736221694</v>
      </c>
      <c r="C91" t="n">
        <v>5.659067941972197</v>
      </c>
      <c r="D91" t="n">
        <v>0.2039075184487921</v>
      </c>
      <c r="E91" t="n">
        <v>0.3646025875132291</v>
      </c>
      <c r="F91" t="n">
        <v>0.006349097450035356</v>
      </c>
      <c r="G91" t="n">
        <v>10.77479381700417</v>
      </c>
      <c r="H91" t="n">
        <v>3.118689989997125</v>
      </c>
      <c r="I91" t="n">
        <v>1.835466666666667</v>
      </c>
      <c r="J91" t="n">
        <v>35.44668340469384</v>
      </c>
      <c r="K91" t="n">
        <v>36.59589451580496</v>
      </c>
      <c r="L91" t="n">
        <v>36.59589451580496</v>
      </c>
    </row>
    <row r="92">
      <c r="A92" s="29" t="n">
        <v>46935</v>
      </c>
      <c r="B92" t="n">
        <v>7.270704077454631</v>
      </c>
      <c r="C92" t="n">
        <v>5.645119370491005</v>
      </c>
      <c r="D92" t="n">
        <v>0.1905884225703777</v>
      </c>
      <c r="E92" t="n">
        <v>0.3484381238751906</v>
      </c>
      <c r="F92" t="n">
        <v>0.006336057119489233</v>
      </c>
      <c r="G92" t="n">
        <v>10.78008861771616</v>
      </c>
      <c r="H92" t="n">
        <v>2.976157804314986</v>
      </c>
      <c r="I92" t="n">
        <v>1.445075268817204</v>
      </c>
      <c r="J92" t="n">
        <v>35.69475987330169</v>
      </c>
      <c r="K92" t="n">
        <v>37.21614697007588</v>
      </c>
      <c r="L92" t="n">
        <v>37.21614697007588</v>
      </c>
    </row>
    <row r="93">
      <c r="A93" s="29" t="n">
        <v>46966</v>
      </c>
      <c r="B93" t="n">
        <v>8.161645258862009</v>
      </c>
      <c r="C93" t="n">
        <v>5.710923844909262</v>
      </c>
      <c r="D93" t="n">
        <v>0.1674319187008908</v>
      </c>
      <c r="E93" t="n">
        <v>0.3396599301141548</v>
      </c>
      <c r="F93" t="n">
        <v>0.004937972511492646</v>
      </c>
      <c r="G93" t="n">
        <v>11.27506783682496</v>
      </c>
      <c r="H93" t="n">
        <v>3.045932217645071</v>
      </c>
      <c r="I93" t="n">
        <v>1.741763440860215</v>
      </c>
      <c r="J93" t="n">
        <v>35.94722820096002</v>
      </c>
      <c r="K93" t="n">
        <v>38.83077658805679</v>
      </c>
      <c r="L93" t="n">
        <v>38.83077658805679</v>
      </c>
    </row>
    <row r="94">
      <c r="A94" s="29" t="n">
        <v>46997</v>
      </c>
      <c r="B94" t="n">
        <v>6.918029331066658</v>
      </c>
      <c r="C94" t="n">
        <v>5.685496361522128</v>
      </c>
      <c r="D94" t="n">
        <v>0.1647016037759739</v>
      </c>
      <c r="E94" t="n">
        <v>0.3479485724990113</v>
      </c>
      <c r="F94" t="n">
        <v>0.004916590035381976</v>
      </c>
      <c r="G94" t="n">
        <v>12.09451430971443</v>
      </c>
      <c r="H94" t="n">
        <v>2.867294580756643</v>
      </c>
      <c r="I94" t="n">
        <v>2.412133333333333</v>
      </c>
      <c r="J94" t="n">
        <v>36.1981811852821</v>
      </c>
      <c r="K94" t="n">
        <v>38.30303674083765</v>
      </c>
      <c r="L94" t="n">
        <v>38.30303674083765</v>
      </c>
    </row>
    <row r="95">
      <c r="A95" s="29" t="n">
        <v>47027</v>
      </c>
      <c r="B95" t="n">
        <v>5.436307874895696</v>
      </c>
      <c r="C95" t="n">
        <v>5.535716984954465</v>
      </c>
      <c r="D95" t="n">
        <v>0.2285915152430072</v>
      </c>
      <c r="E95" t="n">
        <v>0.3809684820668436</v>
      </c>
      <c r="F95" t="n">
        <v>0.004912968244491286</v>
      </c>
      <c r="G95" t="n">
        <v>12.69228003083021</v>
      </c>
      <c r="H95" t="n">
        <v>2.735102250289116</v>
      </c>
      <c r="I95" t="n">
        <v>2.523494623655914</v>
      </c>
      <c r="J95" t="n">
        <v>36.4497772919081</v>
      </c>
      <c r="K95" t="n">
        <v>37.50656223814466</v>
      </c>
      <c r="L95" t="n">
        <v>37.50656223814466</v>
      </c>
    </row>
    <row r="96">
      <c r="A96" s="29" t="n">
        <v>47058</v>
      </c>
      <c r="B96" t="n">
        <v>4.645007511031529</v>
      </c>
      <c r="C96" t="n">
        <v>5.926410895787899</v>
      </c>
      <c r="D96" t="n">
        <v>0.4397364186666121</v>
      </c>
      <c r="E96" t="n">
        <v>0.4773825548164495</v>
      </c>
      <c r="F96" t="n">
        <v>0.004891694042199594</v>
      </c>
      <c r="G96" t="n">
        <v>13.09400310968609</v>
      </c>
      <c r="H96" t="n">
        <v>2.673277039427246</v>
      </c>
      <c r="I96" t="n">
        <v>1.881788888888889</v>
      </c>
      <c r="J96" t="n">
        <v>36.69687435930132</v>
      </c>
      <c r="K96" t="n">
        <v>37.9845521370791</v>
      </c>
      <c r="L96" t="n">
        <v>37.9845521370791</v>
      </c>
    </row>
    <row r="97">
      <c r="A97" s="29" t="n">
        <v>47088</v>
      </c>
      <c r="B97" t="n">
        <v>4.588742658117908</v>
      </c>
      <c r="C97" t="n">
        <v>6.127807724953939</v>
      </c>
      <c r="D97" t="n">
        <v>0.8109550021625722</v>
      </c>
      <c r="E97" t="n">
        <v>0.6085549143271148</v>
      </c>
      <c r="F97" t="n">
        <v>0.004888090590865522</v>
      </c>
      <c r="G97" t="n">
        <v>13.04702460392215</v>
      </c>
      <c r="H97" t="n">
        <v>2.55152783464158</v>
      </c>
      <c r="I97" t="n">
        <v>1.379204301075269</v>
      </c>
      <c r="J97" t="n">
        <v>36.93394943284404</v>
      </c>
      <c r="K97" t="n">
        <v>39.09272362639243</v>
      </c>
      <c r="L97" t="n">
        <v>39.09272362639243</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cols>
    <col width="11" customWidth="1" min="1" max="1"/>
  </cols>
  <sheetData>
    <row r="1">
      <c r="A1" t="inlineStr">
        <is>
          <t>Date</t>
        </is>
      </c>
      <c r="B1" t="inlineStr">
        <is>
          <t>Electric power</t>
        </is>
      </c>
      <c r="C1" t="inlineStr">
        <is>
          <t>Industrial</t>
        </is>
      </c>
      <c r="D1" t="inlineStr">
        <is>
          <t>Res., comm., vehicle</t>
        </is>
      </c>
      <c r="E1" t="inlineStr">
        <is>
          <t>LNG feedgas (base case)</t>
        </is>
      </c>
      <c r="F1" t="inlineStr">
        <is>
          <t>Pipeline exports to Mexico</t>
        </is>
      </c>
      <c r="G1" t="inlineStr">
        <is>
          <t>Data centres (BASE, gas burn added after Jul/26)</t>
        </is>
      </c>
      <c r="H1" t="inlineStr">
        <is>
          <t>Storage injection (demand)</t>
        </is>
      </c>
      <c r="I1" t="inlineStr">
        <is>
          <t>Total demand, BASE (top of stack)</t>
        </is>
      </c>
      <c r="J1" t="inlineStr">
        <is>
          <t>Total, LOW data centres</t>
        </is>
      </c>
      <c r="K1" t="inlineStr">
        <is>
          <t>Total, HIGH data centres</t>
        </is>
      </c>
      <c r="L1" t="inlineStr">
        <is>
          <t>Dry production (base)</t>
        </is>
      </c>
      <c r="M1" t="inlineStr">
        <is>
          <t>Dry prod. + storage withdrawal (base)</t>
        </is>
      </c>
    </row>
    <row r="2">
      <c r="A2" s="29" t="n">
        <v>45292</v>
      </c>
      <c r="B2" t="n">
        <v>5.561419354838709</v>
      </c>
      <c r="C2" t="n">
        <v>5.737903225806452</v>
      </c>
      <c r="D2" t="n">
        <v>2.638677419354838</v>
      </c>
      <c r="E2" t="n">
        <v>4.002901935483871</v>
      </c>
      <c r="F2" t="n">
        <v>3.045290322580645</v>
      </c>
      <c r="G2" t="n">
        <v>0</v>
      </c>
      <c r="H2" t="n">
        <v>0.917741935483871</v>
      </c>
      <c r="I2" t="n">
        <v>21.90393419354839</v>
      </c>
      <c r="J2" t="n">
        <v>21.90393419354839</v>
      </c>
      <c r="K2" t="n">
        <v>21.90393419354839</v>
      </c>
      <c r="L2" t="n">
        <v>25.127</v>
      </c>
      <c r="M2" t="n">
        <v>29.08141935483871</v>
      </c>
    </row>
    <row r="3">
      <c r="A3" s="29" t="n">
        <v>45323</v>
      </c>
      <c r="B3" t="n">
        <v>4.008068965517241</v>
      </c>
      <c r="C3" t="n">
        <v>5.536586206896551</v>
      </c>
      <c r="D3" t="n">
        <v>1.869551724137931</v>
      </c>
      <c r="E3" t="n">
        <v>3.654431724137932</v>
      </c>
      <c r="F3" t="n">
        <v>2.881137931034483</v>
      </c>
      <c r="G3" t="n">
        <v>0</v>
      </c>
      <c r="H3" t="n">
        <v>2.00796551724138</v>
      </c>
      <c r="I3" t="n">
        <v>19.95774206896552</v>
      </c>
      <c r="J3" t="n">
        <v>19.95774206896552</v>
      </c>
      <c r="K3" t="n">
        <v>19.95774206896552</v>
      </c>
      <c r="L3" t="n">
        <v>26.47165517241379</v>
      </c>
      <c r="M3" t="n">
        <v>28.07275862068965</v>
      </c>
    </row>
    <row r="4">
      <c r="A4" s="29" t="n">
        <v>45352</v>
      </c>
      <c r="B4" t="n">
        <v>4.475806451612903</v>
      </c>
      <c r="C4" t="n">
        <v>5.56</v>
      </c>
      <c r="D4" t="n">
        <v>1.177451612903226</v>
      </c>
      <c r="E4" t="n">
        <v>3.077456774193548</v>
      </c>
      <c r="F4" t="n">
        <v>2.966548387096774</v>
      </c>
      <c r="G4" t="n">
        <v>0</v>
      </c>
      <c r="H4" t="n">
        <v>2.315548387096774</v>
      </c>
      <c r="I4" t="n">
        <v>19.57281161290322</v>
      </c>
      <c r="J4" t="n">
        <v>19.57281161290322</v>
      </c>
      <c r="K4" t="n">
        <v>19.57281161290322</v>
      </c>
      <c r="L4" t="n">
        <v>26.71183870967742</v>
      </c>
      <c r="M4" t="n">
        <v>27.842</v>
      </c>
    </row>
    <row r="5">
      <c r="A5" s="29" t="n">
        <v>45383</v>
      </c>
      <c r="B5" t="n">
        <v>4.507533333333334</v>
      </c>
      <c r="C5" t="n">
        <v>5.455</v>
      </c>
      <c r="D5" t="n">
        <v>0.7840666666666666</v>
      </c>
      <c r="E5" t="n">
        <v>2.211428333333334</v>
      </c>
      <c r="F5" t="n">
        <v>3.1878</v>
      </c>
      <c r="G5" t="n">
        <v>0</v>
      </c>
      <c r="H5" t="n">
        <v>2.3053</v>
      </c>
      <c r="I5" t="n">
        <v>18.45112833333333</v>
      </c>
      <c r="J5" t="n">
        <v>18.45112833333333</v>
      </c>
      <c r="K5" t="n">
        <v>18.45112833333333</v>
      </c>
      <c r="L5" t="n">
        <v>26.68763333333333</v>
      </c>
      <c r="M5" t="n">
        <v>28.0144</v>
      </c>
    </row>
    <row r="6">
      <c r="A6" s="29" t="n">
        <v>45413</v>
      </c>
      <c r="B6" t="n">
        <v>6.010064516129032</v>
      </c>
      <c r="C6" t="n">
        <v>5.232161290322581</v>
      </c>
      <c r="D6" t="n">
        <v>0.6711935483870969</v>
      </c>
      <c r="E6" t="n">
        <v>4.104940000000001</v>
      </c>
      <c r="F6" t="n">
        <v>3.257677419354839</v>
      </c>
      <c r="G6" t="n">
        <v>0</v>
      </c>
      <c r="H6" t="n">
        <v>1.905258064516129</v>
      </c>
      <c r="I6" t="n">
        <v>21.18129483870968</v>
      </c>
      <c r="J6" t="n">
        <v>21.18129483870968</v>
      </c>
      <c r="K6" t="n">
        <v>21.18129483870968</v>
      </c>
      <c r="L6" t="n">
        <v>27.57170967741936</v>
      </c>
      <c r="M6" t="n">
        <v>28.81493548387097</v>
      </c>
    </row>
    <row r="7">
      <c r="A7" s="29" t="n">
        <v>45444</v>
      </c>
      <c r="B7" t="n">
        <v>6.976733333333334</v>
      </c>
      <c r="C7" t="n">
        <v>5.412633333333333</v>
      </c>
      <c r="D7" t="n">
        <v>0.6607666666666666</v>
      </c>
      <c r="E7" t="n">
        <v>4.706075</v>
      </c>
      <c r="F7" t="n">
        <v>3.117133333333333</v>
      </c>
      <c r="G7" t="n">
        <v>0</v>
      </c>
      <c r="H7" t="n">
        <v>1.550366666666667</v>
      </c>
      <c r="I7" t="n">
        <v>22.42370833333333</v>
      </c>
      <c r="J7" t="n">
        <v>22.42370833333333</v>
      </c>
      <c r="K7" t="n">
        <v>22.42370833333333</v>
      </c>
      <c r="L7" t="n">
        <v>27.7913</v>
      </c>
      <c r="M7" t="n">
        <v>29.1215</v>
      </c>
    </row>
    <row r="8">
      <c r="A8" s="29" t="n">
        <v>45474</v>
      </c>
      <c r="B8" t="n">
        <v>7.261322580645161</v>
      </c>
      <c r="C8" t="n">
        <v>5.511741935483871</v>
      </c>
      <c r="D8" t="n">
        <v>0.6538387096774193</v>
      </c>
      <c r="E8" t="n">
        <v>2.888535161290323</v>
      </c>
      <c r="F8" t="n">
        <v>3.147096774193549</v>
      </c>
      <c r="G8" t="n">
        <v>0</v>
      </c>
      <c r="H8" t="n">
        <v>1.135903225806452</v>
      </c>
      <c r="I8" t="n">
        <v>20.59843838709678</v>
      </c>
      <c r="J8" t="n">
        <v>20.59843838709678</v>
      </c>
      <c r="K8" t="n">
        <v>20.59843838709678</v>
      </c>
      <c r="L8" t="n">
        <v>27.72906451612904</v>
      </c>
      <c r="M8" t="n">
        <v>29.39983870967743</v>
      </c>
    </row>
    <row r="9">
      <c r="A9" s="29" t="n">
        <v>45505</v>
      </c>
      <c r="B9" t="n">
        <v>8.358483870967742</v>
      </c>
      <c r="C9" t="n">
        <v>5.637741935483871</v>
      </c>
      <c r="D9" t="n">
        <v>0.611258064516129</v>
      </c>
      <c r="E9" t="n">
        <v>4.445793548387096</v>
      </c>
      <c r="F9" t="n">
        <v>3.193548387096774</v>
      </c>
      <c r="G9" t="n">
        <v>0</v>
      </c>
      <c r="H9" t="n">
        <v>1.875322580645161</v>
      </c>
      <c r="I9" t="n">
        <v>24.12214838709677</v>
      </c>
      <c r="J9" t="n">
        <v>24.12214838709677</v>
      </c>
      <c r="K9" t="n">
        <v>24.12214838709677</v>
      </c>
      <c r="L9" t="n">
        <v>27.9198064516129</v>
      </c>
      <c r="M9" t="n">
        <v>31.39454838709677</v>
      </c>
    </row>
    <row r="10">
      <c r="A10" s="29" t="n">
        <v>45536</v>
      </c>
      <c r="B10" t="n">
        <v>6.897866666666666</v>
      </c>
      <c r="C10" t="n">
        <v>5.5316</v>
      </c>
      <c r="D10" t="n">
        <v>0.6315</v>
      </c>
      <c r="E10" t="n">
        <v>4.636932666666667</v>
      </c>
      <c r="F10" t="n">
        <v>3.0912</v>
      </c>
      <c r="G10" t="n">
        <v>0</v>
      </c>
      <c r="H10" t="n">
        <v>2.5233</v>
      </c>
      <c r="I10" t="n">
        <v>23.31239933333333</v>
      </c>
      <c r="J10" t="n">
        <v>23.31239933333333</v>
      </c>
      <c r="K10" t="n">
        <v>23.31239933333333</v>
      </c>
      <c r="L10" t="n">
        <v>28.2645</v>
      </c>
      <c r="M10" t="n">
        <v>30.49186666666667</v>
      </c>
    </row>
    <row r="11">
      <c r="A11" s="29" t="n">
        <v>45566</v>
      </c>
      <c r="B11" t="n">
        <v>5.92516129032258</v>
      </c>
      <c r="C11" t="n">
        <v>5.303709677419355</v>
      </c>
      <c r="D11" t="n">
        <v>0.6788064516129032</v>
      </c>
      <c r="E11" t="n">
        <v>4.775289999999999</v>
      </c>
      <c r="F11" t="n">
        <v>2.869387096774194</v>
      </c>
      <c r="G11" t="n">
        <v>0</v>
      </c>
      <c r="H11" t="n">
        <v>2.784935483870968</v>
      </c>
      <c r="I11" t="n">
        <v>22.33729</v>
      </c>
      <c r="J11" t="n">
        <v>22.33729</v>
      </c>
      <c r="K11" t="n">
        <v>22.33729</v>
      </c>
      <c r="L11" t="n">
        <v>28.559</v>
      </c>
      <c r="M11" t="n">
        <v>29.54835483870968</v>
      </c>
    </row>
    <row r="12">
      <c r="A12" s="29" t="n">
        <v>45597</v>
      </c>
      <c r="B12" t="n">
        <v>4.806333333333333</v>
      </c>
      <c r="C12" t="n">
        <v>5.701866666666667</v>
      </c>
      <c r="D12" t="n">
        <v>0.9406666666666667</v>
      </c>
      <c r="E12" t="n">
        <v>4.40033</v>
      </c>
      <c r="F12" t="n">
        <v>2.7428</v>
      </c>
      <c r="G12" t="n">
        <v>0</v>
      </c>
      <c r="H12" t="n">
        <v>1.816766666666667</v>
      </c>
      <c r="I12" t="n">
        <v>20.40876333333334</v>
      </c>
      <c r="J12" t="n">
        <v>20.40876333333334</v>
      </c>
      <c r="K12" t="n">
        <v>20.40876333333334</v>
      </c>
      <c r="L12" t="n">
        <v>28.28536666666666</v>
      </c>
      <c r="M12" t="n">
        <v>29.54219999999999</v>
      </c>
    </row>
    <row r="13">
      <c r="A13" s="29" t="n">
        <v>45627</v>
      </c>
      <c r="B13" t="n">
        <v>4.653419354838709</v>
      </c>
      <c r="C13" t="n">
        <v>6.043483870967742</v>
      </c>
      <c r="D13" t="n">
        <v>1.587645161290323</v>
      </c>
      <c r="E13" t="n">
        <v>4.759608064516129</v>
      </c>
      <c r="F13" t="n">
        <v>2.697645161290323</v>
      </c>
      <c r="G13" t="n">
        <v>0</v>
      </c>
      <c r="H13" t="n">
        <v>1.449032258064516</v>
      </c>
      <c r="I13" t="n">
        <v>21.19083387096775</v>
      </c>
      <c r="J13" t="n">
        <v>21.19083387096775</v>
      </c>
      <c r="K13" t="n">
        <v>21.19083387096775</v>
      </c>
      <c r="L13" t="n">
        <v>28.49945161290323</v>
      </c>
      <c r="M13" t="n">
        <v>30.37351612903226</v>
      </c>
    </row>
    <row r="14">
      <c r="A14" s="29" t="n">
        <v>45658</v>
      </c>
      <c r="B14" t="n">
        <v>5.869</v>
      </c>
      <c r="C14" t="n">
        <v>5.845741935483871</v>
      </c>
      <c r="D14" t="n">
        <v>3.117935483870968</v>
      </c>
      <c r="E14" t="n">
        <v>4.154271290322582</v>
      </c>
      <c r="F14" t="n">
        <v>3.12958064516129</v>
      </c>
      <c r="G14" t="n">
        <v>0</v>
      </c>
      <c r="H14" t="n">
        <v>1.033096774193548</v>
      </c>
      <c r="I14" t="n">
        <v>23.14962612903226</v>
      </c>
      <c r="J14" t="n">
        <v>23.14962612903226</v>
      </c>
      <c r="K14" t="n">
        <v>23.14962612903226</v>
      </c>
      <c r="L14" t="n">
        <v>28.24405679752158</v>
      </c>
      <c r="M14" t="n">
        <v>32.92408905558609</v>
      </c>
    </row>
    <row r="15">
      <c r="A15" s="29" t="n">
        <v>45689</v>
      </c>
      <c r="B15" t="n">
        <v>5.272785714285715</v>
      </c>
      <c r="C15" t="n">
        <v>5.759535714285715</v>
      </c>
      <c r="D15" t="n">
        <v>2.536678571428571</v>
      </c>
      <c r="E15" t="n">
        <v>4.985854642857143</v>
      </c>
      <c r="F15" t="n">
        <v>3.037857142857143</v>
      </c>
      <c r="G15" t="n">
        <v>0</v>
      </c>
      <c r="H15" t="n">
        <v>1.292535714285714</v>
      </c>
      <c r="I15" t="n">
        <v>22.8852475</v>
      </c>
      <c r="J15" t="n">
        <v>22.8852475</v>
      </c>
      <c r="K15" t="n">
        <v>22.8852475</v>
      </c>
      <c r="L15" t="n">
        <v>28.33351354931359</v>
      </c>
      <c r="M15" t="n">
        <v>32.39544212074216</v>
      </c>
    </row>
    <row r="16">
      <c r="A16" s="29" t="n">
        <v>45717</v>
      </c>
      <c r="B16" t="n">
        <v>3.69841935483871</v>
      </c>
      <c r="C16" t="n">
        <v>5.697580645161291</v>
      </c>
      <c r="D16" t="n">
        <v>1.004903225806452</v>
      </c>
      <c r="E16" t="n">
        <v>4.598463870967743</v>
      </c>
      <c r="F16" t="n">
        <v>2.864387096774194</v>
      </c>
      <c r="G16" t="n">
        <v>0</v>
      </c>
      <c r="H16" t="n">
        <v>2.661516129032258</v>
      </c>
      <c r="I16" t="n">
        <v>20.52527032258065</v>
      </c>
      <c r="J16" t="n">
        <v>20.52527032258065</v>
      </c>
      <c r="K16" t="n">
        <v>20.52527032258065</v>
      </c>
      <c r="L16" t="n">
        <v>28.42087368859537</v>
      </c>
      <c r="M16" t="n">
        <v>29.66800272085344</v>
      </c>
    </row>
    <row r="17">
      <c r="A17" s="29" t="n">
        <v>45748</v>
      </c>
      <c r="B17" t="n">
        <v>4.2876</v>
      </c>
      <c r="C17" t="n">
        <v>5.537833333333333</v>
      </c>
      <c r="D17" t="n">
        <v>0.9670666666666665</v>
      </c>
      <c r="E17" t="n">
        <v>4.818890000000001</v>
      </c>
      <c r="F17" t="n">
        <v>3.252</v>
      </c>
      <c r="G17" t="n">
        <v>0</v>
      </c>
      <c r="H17" t="n">
        <v>2.422766666666667</v>
      </c>
      <c r="I17" t="n">
        <v>21.28615666666667</v>
      </c>
      <c r="J17" t="n">
        <v>21.28615666666667</v>
      </c>
      <c r="K17" t="n">
        <v>21.28615666666667</v>
      </c>
      <c r="L17" t="n">
        <v>28.66872758850139</v>
      </c>
      <c r="M17" t="n">
        <v>29.69009425516806</v>
      </c>
    </row>
    <row r="18">
      <c r="A18" s="29" t="n">
        <v>45778</v>
      </c>
      <c r="B18" t="n">
        <v>5.777741935483871</v>
      </c>
      <c r="C18" t="n">
        <v>5.462096774193548</v>
      </c>
      <c r="D18" t="n">
        <v>0.7119354838709677</v>
      </c>
      <c r="E18" t="n">
        <v>4.495722580645161</v>
      </c>
      <c r="F18" t="n">
        <v>3.523838709677419</v>
      </c>
      <c r="G18" t="n">
        <v>0</v>
      </c>
      <c r="H18" t="n">
        <v>2.441677419354839</v>
      </c>
      <c r="I18" t="n">
        <v>22.41301290322581</v>
      </c>
      <c r="J18" t="n">
        <v>22.41301290322581</v>
      </c>
      <c r="K18" t="n">
        <v>22.41301290322581</v>
      </c>
      <c r="L18" t="n">
        <v>28.39991141756023</v>
      </c>
      <c r="M18" t="n">
        <v>29.24294367562474</v>
      </c>
    </row>
    <row r="19">
      <c r="A19" s="29" t="n">
        <v>45809</v>
      </c>
      <c r="B19" t="n">
        <v>6.4434</v>
      </c>
      <c r="C19" t="n">
        <v>5.411233333333334</v>
      </c>
      <c r="D19" t="n">
        <v>0.6611</v>
      </c>
      <c r="E19" t="n">
        <v>4.700261666666668</v>
      </c>
      <c r="F19" t="n">
        <v>3.446133333333333</v>
      </c>
      <c r="G19" t="n">
        <v>0</v>
      </c>
      <c r="H19" t="n">
        <v>2.011666666666667</v>
      </c>
      <c r="I19" t="n">
        <v>22.673795</v>
      </c>
      <c r="J19" t="n">
        <v>22.673795</v>
      </c>
      <c r="K19" t="n">
        <v>22.673795</v>
      </c>
      <c r="L19" t="n">
        <v>28.79030246552894</v>
      </c>
      <c r="M19" t="n">
        <v>29.58750246552894</v>
      </c>
    </row>
    <row r="20">
      <c r="A20" s="29" t="n">
        <v>45839</v>
      </c>
      <c r="B20" t="n">
        <v>7.139032258064516</v>
      </c>
      <c r="C20" t="n">
        <v>5.410709677419355</v>
      </c>
      <c r="D20" t="n">
        <v>0.6281612903225805</v>
      </c>
      <c r="E20" t="n">
        <v>4.49719935483871</v>
      </c>
      <c r="F20" t="n">
        <v>3.09458064516129</v>
      </c>
      <c r="G20" t="n">
        <v>0</v>
      </c>
      <c r="H20" t="n">
        <v>1.676290322580645</v>
      </c>
      <c r="I20" t="n">
        <v>22.44597354838709</v>
      </c>
      <c r="J20" t="n">
        <v>22.44597354838709</v>
      </c>
      <c r="K20" t="n">
        <v>22.44597354838709</v>
      </c>
      <c r="L20" t="n">
        <v>29.17521868269277</v>
      </c>
      <c r="M20" t="n">
        <v>30.62612190849922</v>
      </c>
    </row>
    <row r="21">
      <c r="A21" s="29" t="n">
        <v>45870</v>
      </c>
      <c r="B21" t="n">
        <v>7.713354838709678</v>
      </c>
      <c r="C21" t="n">
        <v>5.538838709677419</v>
      </c>
      <c r="D21" t="n">
        <v>0.5841612903225807</v>
      </c>
      <c r="E21" t="n">
        <v>4.468156129032257</v>
      </c>
      <c r="F21" t="n">
        <v>3.350290322580645</v>
      </c>
      <c r="G21" t="n">
        <v>0</v>
      </c>
      <c r="H21" t="n">
        <v>1.391838709677419</v>
      </c>
      <c r="I21" t="n">
        <v>23.04664</v>
      </c>
      <c r="J21" t="n">
        <v>23.04664</v>
      </c>
      <c r="K21" t="n">
        <v>23.04664</v>
      </c>
      <c r="L21" t="n">
        <v>29.48895130800512</v>
      </c>
      <c r="M21" t="n">
        <v>31.29282227574706</v>
      </c>
    </row>
    <row r="22">
      <c r="A22" s="29" t="n">
        <v>45901</v>
      </c>
      <c r="B22" t="n">
        <v>6.913966666666666</v>
      </c>
      <c r="C22" t="n">
        <v>5.562266666666666</v>
      </c>
      <c r="D22" t="n">
        <v>0.6038666666666667</v>
      </c>
      <c r="E22" t="n">
        <v>4.724750333333333</v>
      </c>
      <c r="F22" t="n">
        <v>2.949933333333334</v>
      </c>
      <c r="G22" t="n">
        <v>0</v>
      </c>
      <c r="H22" t="n">
        <v>1.689533333333333</v>
      </c>
      <c r="I22" t="n">
        <v>22.444317</v>
      </c>
      <c r="J22" t="n">
        <v>22.444317</v>
      </c>
      <c r="K22" t="n">
        <v>22.444317</v>
      </c>
      <c r="L22" t="n">
        <v>29.45501958725445</v>
      </c>
      <c r="M22" t="n">
        <v>30.75471958725445</v>
      </c>
    </row>
    <row r="23">
      <c r="A23" s="29" t="n">
        <v>45931</v>
      </c>
      <c r="B23" t="n">
        <v>5.629225806451613</v>
      </c>
      <c r="C23" t="n">
        <v>5.351806451612903</v>
      </c>
      <c r="D23" t="n">
        <v>0.6700322580645161</v>
      </c>
      <c r="E23" t="n">
        <v>5.143850645161292</v>
      </c>
      <c r="F23" t="n">
        <v>2.833483870967742</v>
      </c>
      <c r="G23" t="n">
        <v>0</v>
      </c>
      <c r="H23" t="n">
        <v>2.187</v>
      </c>
      <c r="I23" t="n">
        <v>21.81539903225807</v>
      </c>
      <c r="J23" t="n">
        <v>21.81539903225807</v>
      </c>
      <c r="K23" t="n">
        <v>21.81539903225807</v>
      </c>
      <c r="L23" t="n">
        <v>29.14146861697209</v>
      </c>
      <c r="M23" t="n">
        <v>30.2716944234237</v>
      </c>
    </row>
    <row r="24">
      <c r="A24" s="29" t="n">
        <v>45962</v>
      </c>
      <c r="B24" t="n">
        <v>4.648733333333333</v>
      </c>
      <c r="C24" t="n">
        <v>5.8022</v>
      </c>
      <c r="D24" t="n">
        <v>0.9714333333333334</v>
      </c>
      <c r="E24" t="n">
        <v>5.420533666666667</v>
      </c>
      <c r="F24" t="n">
        <v>2.9201</v>
      </c>
      <c r="G24" t="n">
        <v>0</v>
      </c>
      <c r="H24" t="n">
        <v>2.081066666666667</v>
      </c>
      <c r="I24" t="n">
        <v>21.844067</v>
      </c>
      <c r="J24" t="n">
        <v>21.844067</v>
      </c>
      <c r="K24" t="n">
        <v>21.844067</v>
      </c>
      <c r="L24" t="n">
        <v>29.76337540353552</v>
      </c>
      <c r="M24" t="n">
        <v>30.99060873686885</v>
      </c>
    </row>
    <row r="25">
      <c r="A25" s="29" t="n">
        <v>45992</v>
      </c>
      <c r="B25" t="n">
        <v>4.848451612903226</v>
      </c>
      <c r="C25" t="n">
        <v>5.93</v>
      </c>
      <c r="D25" t="n">
        <v>1.681129032258065</v>
      </c>
      <c r="E25" t="n">
        <v>5.626580000000001</v>
      </c>
      <c r="F25" t="n">
        <v>2.764451612903226</v>
      </c>
      <c r="G25" t="n">
        <v>0</v>
      </c>
      <c r="H25" t="n">
        <v>1.341290322580645</v>
      </c>
      <c r="I25" t="n">
        <v>22.19190258064516</v>
      </c>
      <c r="J25" t="n">
        <v>22.19190258064516</v>
      </c>
      <c r="K25" t="n">
        <v>22.19190258064516</v>
      </c>
      <c r="L25" t="n">
        <v>30.07883555019745</v>
      </c>
      <c r="M25" t="n">
        <v>33.24464200181036</v>
      </c>
    </row>
    <row r="26">
      <c r="A26" s="29" t="n">
        <v>46023</v>
      </c>
      <c r="B26" t="n">
        <v>5.437354838709677</v>
      </c>
      <c r="C26" t="n">
        <v>5.787548387096774</v>
      </c>
      <c r="D26" t="n">
        <v>2.425451612903226</v>
      </c>
      <c r="E26" t="n">
        <v>5.1775</v>
      </c>
      <c r="F26" t="n">
        <v>2.873354838709677</v>
      </c>
      <c r="G26" t="n">
        <v>0</v>
      </c>
      <c r="H26" t="n">
        <v>1.035096774193548</v>
      </c>
      <c r="I26" t="n">
        <v>22.7363064516129</v>
      </c>
      <c r="J26" t="n">
        <v>22.7363064516129</v>
      </c>
      <c r="K26" t="n">
        <v>22.7363064516129</v>
      </c>
      <c r="L26" t="n">
        <v>29.03649539097756</v>
      </c>
      <c r="M26" t="n">
        <v>33.70807603613885</v>
      </c>
    </row>
    <row r="27">
      <c r="A27" s="29" t="n">
        <v>46054</v>
      </c>
      <c r="B27" t="n">
        <v>4.554392857142857</v>
      </c>
      <c r="C27" t="n">
        <v>5.705857142857143</v>
      </c>
      <c r="D27" t="n">
        <v>1.613892857142857</v>
      </c>
      <c r="E27" t="n">
        <v>5.757808214285714</v>
      </c>
      <c r="F27" t="n">
        <v>2.989107142857143</v>
      </c>
      <c r="G27" t="n">
        <v>0</v>
      </c>
      <c r="H27" t="n">
        <v>1.613321428571429</v>
      </c>
      <c r="I27" t="n">
        <v>22.23437964285714</v>
      </c>
      <c r="J27" t="n">
        <v>22.23437964285714</v>
      </c>
      <c r="K27" t="n">
        <v>22.23437964285714</v>
      </c>
      <c r="L27" t="n">
        <v>29.89721649149912</v>
      </c>
      <c r="M27" t="n">
        <v>32.79289506292769</v>
      </c>
    </row>
    <row r="28">
      <c r="A28" s="29" t="n">
        <v>46082</v>
      </c>
      <c r="B28" t="n">
        <v>4.129</v>
      </c>
      <c r="C28" t="n">
        <v>5.653225806451613</v>
      </c>
      <c r="D28" t="n">
        <v>1.097129032258064</v>
      </c>
      <c r="E28" t="n">
        <v>5.815642258064516</v>
      </c>
      <c r="F28" t="n">
        <v>2.768580645161291</v>
      </c>
      <c r="G28" t="n">
        <v>0</v>
      </c>
      <c r="H28" t="n">
        <v>2.199451612903226</v>
      </c>
      <c r="I28" t="n">
        <v>21.66302935483871</v>
      </c>
      <c r="J28" t="n">
        <v>21.66302935483871</v>
      </c>
      <c r="K28" t="n">
        <v>21.66302935483871</v>
      </c>
      <c r="L28" t="n">
        <v>30.04411425956394</v>
      </c>
      <c r="M28" t="n">
        <v>31.2286303885962</v>
      </c>
    </row>
    <row r="29">
      <c r="A29" s="29" t="n">
        <v>46113</v>
      </c>
      <c r="B29" t="n">
        <v>4.808033333333333</v>
      </c>
      <c r="C29" t="n">
        <v>5.719533333333334</v>
      </c>
      <c r="D29" t="n">
        <v>0.8162333333333333</v>
      </c>
      <c r="E29" t="n">
        <v>5.796038666666668</v>
      </c>
      <c r="F29" t="n">
        <v>2.837666666666667</v>
      </c>
      <c r="G29" t="n">
        <v>0</v>
      </c>
      <c r="H29" t="n">
        <v>2.0877</v>
      </c>
      <c r="I29" t="n">
        <v>22.06520533333334</v>
      </c>
      <c r="J29" t="n">
        <v>22.06520533333334</v>
      </c>
      <c r="K29" t="n">
        <v>22.06520533333334</v>
      </c>
      <c r="L29" t="n">
        <v>30.27805446331141</v>
      </c>
      <c r="M29" t="n">
        <v>31.40892112997808</v>
      </c>
    </row>
    <row r="30">
      <c r="A30" s="29" t="n">
        <v>46143</v>
      </c>
      <c r="B30" t="n">
        <v>5.746419354838709</v>
      </c>
      <c r="C30" t="n">
        <v>5.633806451612903</v>
      </c>
      <c r="D30" t="n">
        <v>0.6205806451612902</v>
      </c>
      <c r="E30" t="n">
        <v>5.236957741935484</v>
      </c>
      <c r="F30" t="n">
        <v>3.316451612903226</v>
      </c>
      <c r="G30" t="n">
        <v>0</v>
      </c>
      <c r="H30" t="n">
        <v>2.190806451612903</v>
      </c>
      <c r="I30" t="n">
        <v>22.74502225806451</v>
      </c>
      <c r="J30" t="n">
        <v>22.74502225806451</v>
      </c>
      <c r="K30" t="n">
        <v>22.74502225806451</v>
      </c>
      <c r="L30" t="n">
        <v>30.03561604157672</v>
      </c>
      <c r="M30" t="n">
        <v>31.31845475125414</v>
      </c>
    </row>
    <row r="31">
      <c r="A31" s="29" t="n">
        <v>46174</v>
      </c>
      <c r="B31" t="n">
        <v>6.806066666666666</v>
      </c>
      <c r="C31" t="n">
        <v>5.6723</v>
      </c>
      <c r="D31" t="n">
        <v>0.6533</v>
      </c>
      <c r="E31" t="n">
        <v>5.555875333333335</v>
      </c>
      <c r="F31" t="n">
        <v>3.3545</v>
      </c>
      <c r="G31" t="n">
        <v>0</v>
      </c>
      <c r="H31" t="n">
        <v>1.944366666666667</v>
      </c>
      <c r="I31" t="n">
        <v>23.98640866666667</v>
      </c>
      <c r="J31" t="n">
        <v>23.98640866666667</v>
      </c>
      <c r="K31" t="n">
        <v>23.98640866666667</v>
      </c>
      <c r="L31" t="n">
        <v>30.44816450679276</v>
      </c>
      <c r="M31" t="n">
        <v>31.7683978401261</v>
      </c>
    </row>
    <row r="32">
      <c r="A32" s="29" t="n">
        <v>46204</v>
      </c>
      <c r="B32" t="n">
        <v>7.621806451612904</v>
      </c>
      <c r="C32" t="n">
        <v>5.519354838709677</v>
      </c>
      <c r="D32" t="n">
        <v>0.5979677419354839</v>
      </c>
      <c r="E32" t="n">
        <v>5.482489032258066</v>
      </c>
      <c r="F32" t="n">
        <v>3.236774193548387</v>
      </c>
      <c r="G32" t="n">
        <v>0</v>
      </c>
      <c r="H32" t="n">
        <v>1.523032258064516</v>
      </c>
      <c r="I32" t="n">
        <v>23.98142451612904</v>
      </c>
      <c r="J32" t="n">
        <v>23.98142451612904</v>
      </c>
      <c r="K32" t="n">
        <v>23.98142451612904</v>
      </c>
      <c r="L32" t="n">
        <v>31.2355644213723</v>
      </c>
      <c r="M32" t="n">
        <v>32.67804829234004</v>
      </c>
    </row>
    <row r="33">
      <c r="A33" s="29" t="n">
        <v>46235</v>
      </c>
      <c r="B33" t="n">
        <v>8.226357563120109</v>
      </c>
      <c r="C33" t="n">
        <v>5.621485403354847</v>
      </c>
      <c r="D33" t="n">
        <v>0.5441915414247405</v>
      </c>
      <c r="E33" t="n">
        <v>5.887831766063428</v>
      </c>
      <c r="F33" t="n">
        <v>3.173172980830327</v>
      </c>
      <c r="G33" t="n">
        <v>0.008863725805226097</v>
      </c>
      <c r="H33" t="n">
        <v>1.741763440860215</v>
      </c>
      <c r="I33" t="n">
        <v>25.20366642145889</v>
      </c>
      <c r="J33" t="n">
        <v>25.1976565694347</v>
      </c>
      <c r="K33" t="n">
        <v>25.21737877633332</v>
      </c>
      <c r="L33" t="n">
        <v>31.28109757745621</v>
      </c>
      <c r="M33" t="n">
        <v>34.16464596455298</v>
      </c>
    </row>
    <row r="34">
      <c r="A34" s="29" t="n">
        <v>46266</v>
      </c>
      <c r="B34" t="n">
        <v>6.972881215060556</v>
      </c>
      <c r="C34" t="n">
        <v>5.596456138285548</v>
      </c>
      <c r="D34" t="n">
        <v>0.5500762741102851</v>
      </c>
      <c r="E34" t="n">
        <v>6.196107924570369</v>
      </c>
      <c r="F34" t="n">
        <v>2.987072935842461</v>
      </c>
      <c r="G34" t="n">
        <v>0.01772745161045225</v>
      </c>
      <c r="H34" t="n">
        <v>2.412133333333333</v>
      </c>
      <c r="I34" t="n">
        <v>24.732455272813</v>
      </c>
      <c r="J34" t="n">
        <v>24.7204355687646</v>
      </c>
      <c r="K34" t="n">
        <v>24.75987998256185</v>
      </c>
      <c r="L34" t="n">
        <v>31.31724698954871</v>
      </c>
      <c r="M34" t="n">
        <v>33.42210254510427</v>
      </c>
    </row>
    <row r="35">
      <c r="A35" s="29" t="n">
        <v>46296</v>
      </c>
      <c r="B35" t="n">
        <v>5.479411440179787</v>
      </c>
      <c r="C35" t="n">
        <v>5.449022447701622</v>
      </c>
      <c r="D35" t="n">
        <v>0.6530693650274654</v>
      </c>
      <c r="E35" t="n">
        <v>6.396777187440785</v>
      </c>
      <c r="F35" t="n">
        <v>2.849358403364501</v>
      </c>
      <c r="G35" t="n">
        <v>0.02659117741567835</v>
      </c>
      <c r="H35" t="n">
        <v>2.523494623655914</v>
      </c>
      <c r="I35" t="n">
        <v>23.37772464478575</v>
      </c>
      <c r="J35" t="n">
        <v>23.35969508871315</v>
      </c>
      <c r="K35" t="n">
        <v>23.41886170940903</v>
      </c>
      <c r="L35" t="n">
        <v>31.53641690756494</v>
      </c>
      <c r="M35" t="n">
        <v>32.5932018538015</v>
      </c>
    </row>
    <row r="36">
      <c r="A36" s="29" t="n">
        <v>46327</v>
      </c>
      <c r="B36" t="n">
        <v>4.681836989623317</v>
      </c>
      <c r="C36" t="n">
        <v>5.833597724237229</v>
      </c>
      <c r="D36" t="n">
        <v>0.979924186975514</v>
      </c>
      <c r="E36" t="n">
        <v>6.56437371390203</v>
      </c>
      <c r="F36" t="n">
        <v>2.784950506332339</v>
      </c>
      <c r="G36" t="n">
        <v>0.0354549032209045</v>
      </c>
      <c r="H36" t="n">
        <v>1.881788888888889</v>
      </c>
      <c r="I36" t="n">
        <v>22.76192691318022</v>
      </c>
      <c r="J36" t="n">
        <v>22.73788750508342</v>
      </c>
      <c r="K36" t="n">
        <v>22.81677633267793</v>
      </c>
      <c r="L36" t="n">
        <v>31.64860220599815</v>
      </c>
      <c r="M36" t="n">
        <v>32.93627998377593</v>
      </c>
    </row>
    <row r="37">
      <c r="A37" s="29" t="n">
        <v>46357</v>
      </c>
      <c r="B37" t="n">
        <v>4.625126022211296</v>
      </c>
      <c r="C37" t="n">
        <v>6.031840489538337</v>
      </c>
      <c r="D37" t="n">
        <v>1.513867581125043</v>
      </c>
      <c r="E37" t="n">
        <v>6.644037038101144</v>
      </c>
      <c r="F37" t="n">
        <v>2.658115350636674</v>
      </c>
      <c r="G37" t="n">
        <v>0.0443186290261306</v>
      </c>
      <c r="H37" t="n">
        <v>1.379204301075269</v>
      </c>
      <c r="I37" t="n">
        <v>22.8965094117139</v>
      </c>
      <c r="J37" t="n">
        <v>22.8664601515929</v>
      </c>
      <c r="K37" t="n">
        <v>22.96507118608603</v>
      </c>
      <c r="L37" t="n">
        <v>31.82203171238674</v>
      </c>
      <c r="M37" t="n">
        <v>33.98080590593513</v>
      </c>
    </row>
    <row r="38">
      <c r="A38" s="29" t="n">
        <v>46388</v>
      </c>
      <c r="B38" t="n">
        <v>5.60152132066198</v>
      </c>
      <c r="C38" t="n">
        <v>5.893686262858893</v>
      </c>
      <c r="D38" t="n">
        <v>2.443027359928487</v>
      </c>
      <c r="E38" t="n">
        <v>6.474365214734835</v>
      </c>
      <c r="F38" t="n">
        <v>2.928315042689603</v>
      </c>
      <c r="G38" t="n">
        <v>0.05318235483135669</v>
      </c>
      <c r="H38" t="n">
        <v>0.9953118279569892</v>
      </c>
      <c r="I38" t="n">
        <v>24.38940938366215</v>
      </c>
      <c r="J38" t="n">
        <v>24.35335027151695</v>
      </c>
      <c r="K38" t="n">
        <v>24.47168351290871</v>
      </c>
      <c r="L38" t="n">
        <v>31.34480261369272</v>
      </c>
      <c r="M38" t="n">
        <v>35.78014669971422</v>
      </c>
    </row>
    <row r="39">
      <c r="A39" s="29" t="n">
        <v>46419</v>
      </c>
      <c r="B39" t="n">
        <v>4.591665770626252</v>
      </c>
      <c r="C39" t="n">
        <v>5.771683468248021</v>
      </c>
      <c r="D39" t="n">
        <v>1.788053651671243</v>
      </c>
      <c r="E39" t="n">
        <v>6.457224532049643</v>
      </c>
      <c r="F39" t="n">
        <v>2.878761529187785</v>
      </c>
      <c r="G39" t="n">
        <v>0.06204608063658285</v>
      </c>
      <c r="H39" t="n">
        <v>1.637940886699507</v>
      </c>
      <c r="I39" t="n">
        <v>23.18737591911904</v>
      </c>
      <c r="J39" t="n">
        <v>23.14530695494963</v>
      </c>
      <c r="K39" t="n">
        <v>23.28336240324003</v>
      </c>
      <c r="L39" t="n">
        <v>32.14974562843171</v>
      </c>
      <c r="M39" t="n">
        <v>35.00264915880938</v>
      </c>
    </row>
    <row r="40">
      <c r="A40" s="29" t="n">
        <v>46447</v>
      </c>
      <c r="B40" t="n">
        <v>4.084302667522916</v>
      </c>
      <c r="C40" t="n">
        <v>5.744850592631705</v>
      </c>
      <c r="D40" t="n">
        <v>0.9864766515682823</v>
      </c>
      <c r="E40" t="n">
        <v>6.475045955188901</v>
      </c>
      <c r="F40" t="n">
        <v>2.774088603050509</v>
      </c>
      <c r="G40" t="n">
        <v>0.07090980644180894</v>
      </c>
      <c r="H40" t="n">
        <v>2.392172043010753</v>
      </c>
      <c r="I40" t="n">
        <v>22.52784631941487</v>
      </c>
      <c r="J40" t="n">
        <v>22.47976750322127</v>
      </c>
      <c r="K40" t="n">
        <v>22.63754515841029</v>
      </c>
      <c r="L40" t="n">
        <v>32.3263064166282</v>
      </c>
      <c r="M40" t="n">
        <v>33.5135752338325</v>
      </c>
    </row>
    <row r="41">
      <c r="A41" s="29" t="n">
        <v>46478</v>
      </c>
      <c r="B41" t="n">
        <v>4.513549912598049</v>
      </c>
      <c r="C41" t="n">
        <v>5.680608138500108</v>
      </c>
      <c r="D41" t="n">
        <v>0.769749411093318</v>
      </c>
      <c r="E41" t="n">
        <v>6.537792984935101</v>
      </c>
      <c r="F41" t="n">
        <v>2.986666029480983</v>
      </c>
      <c r="G41" t="n">
        <v>0.07977353224703504</v>
      </c>
      <c r="H41" t="n">
        <v>2.271922222222222</v>
      </c>
      <c r="I41" t="n">
        <v>22.84006223107681</v>
      </c>
      <c r="J41" t="n">
        <v>22.78597356285901</v>
      </c>
      <c r="K41" t="n">
        <v>22.96347342494666</v>
      </c>
      <c r="L41" t="n">
        <v>32.51242239218128</v>
      </c>
      <c r="M41" t="n">
        <v>33.67208905884794</v>
      </c>
    </row>
    <row r="42">
      <c r="A42" s="29" t="n">
        <v>46508</v>
      </c>
      <c r="B42" t="n">
        <v>5.815887213640851</v>
      </c>
      <c r="C42" t="n">
        <v>5.552993543365289</v>
      </c>
      <c r="D42" t="n">
        <v>0.6006258609295048</v>
      </c>
      <c r="E42" t="n">
        <v>6.990937874296153</v>
      </c>
      <c r="F42" t="n">
        <v>3.246131765669218</v>
      </c>
      <c r="G42" t="n">
        <v>0.08863725805226119</v>
      </c>
      <c r="H42" t="n">
        <v>2.179247311827957</v>
      </c>
      <c r="I42" t="n">
        <v>24.47446082778124</v>
      </c>
      <c r="J42" t="n">
        <v>24.41436230753924</v>
      </c>
      <c r="K42" t="n">
        <v>24.61158437652551</v>
      </c>
      <c r="L42" t="n">
        <v>32.71624278042914</v>
      </c>
      <c r="M42" t="n">
        <v>33.83927503849366</v>
      </c>
    </row>
    <row r="43">
      <c r="A43" s="29" t="n">
        <v>46539</v>
      </c>
      <c r="B43" t="n">
        <v>6.706918670559735</v>
      </c>
      <c r="C43" t="n">
        <v>5.614579908845148</v>
      </c>
      <c r="D43" t="n">
        <v>0.5926383540330482</v>
      </c>
      <c r="E43" t="n">
        <v>7.317293769208743</v>
      </c>
      <c r="F43" t="n">
        <v>3.183163621523248</v>
      </c>
      <c r="G43" t="n">
        <v>0.09750098385748729</v>
      </c>
      <c r="H43" t="n">
        <v>1.835466666666667</v>
      </c>
      <c r="I43" t="n">
        <v>25.34756197469407</v>
      </c>
      <c r="J43" t="n">
        <v>25.28145360242787</v>
      </c>
      <c r="K43" t="n">
        <v>25.49839787831278</v>
      </c>
      <c r="L43" t="n">
        <v>32.93451173619186</v>
      </c>
      <c r="M43" t="n">
        <v>34.08372284730297</v>
      </c>
    </row>
    <row r="44">
      <c r="A44" s="29" t="n">
        <v>46569</v>
      </c>
      <c r="B44" t="n">
        <v>7.299471258702761</v>
      </c>
      <c r="C44" t="n">
        <v>5.600740992260573</v>
      </c>
      <c r="D44" t="n">
        <v>0.5622294882113995</v>
      </c>
      <c r="E44" t="n">
        <v>7.490755317494781</v>
      </c>
      <c r="F44" t="n">
        <v>3.037684824395356</v>
      </c>
      <c r="G44" t="n">
        <v>0.1063647096627134</v>
      </c>
      <c r="H44" t="n">
        <v>1.445075268817204</v>
      </c>
      <c r="I44" t="n">
        <v>25.54232185954479</v>
      </c>
      <c r="J44" t="n">
        <v>25.47020363525439</v>
      </c>
      <c r="K44" t="n">
        <v>25.70687011803791</v>
      </c>
      <c r="L44" t="n">
        <v>33.16438630289471</v>
      </c>
      <c r="M44" t="n">
        <v>34.6857733996689</v>
      </c>
    </row>
    <row r="45">
      <c r="A45" s="29" t="n">
        <v>46600</v>
      </c>
      <c r="B45" t="n">
        <v>8.193937527388337</v>
      </c>
      <c r="C45" t="n">
        <v>5.666028153285912</v>
      </c>
      <c r="D45" t="n">
        <v>0.5278657951819984</v>
      </c>
      <c r="E45" t="n">
        <v>7.99559592769987</v>
      </c>
      <c r="F45" t="n">
        <v>3.108901705501792</v>
      </c>
      <c r="G45" t="n">
        <v>0.1152284354679395</v>
      </c>
      <c r="H45" t="n">
        <v>1.741763440860215</v>
      </c>
      <c r="I45" t="n">
        <v>27.34932098538606</v>
      </c>
      <c r="J45" t="n">
        <v>27.27119290907147</v>
      </c>
      <c r="K45" t="n">
        <v>27.52758159875361</v>
      </c>
      <c r="L45" t="n">
        <v>33.39840372909472</v>
      </c>
      <c r="M45" t="n">
        <v>36.28195211619149</v>
      </c>
    </row>
    <row r="46">
      <c r="A46" s="29" t="n">
        <v>46631</v>
      </c>
      <c r="B46" t="n">
        <v>6.945401123609252</v>
      </c>
      <c r="C46" t="n">
        <v>5.640800564781621</v>
      </c>
      <c r="D46" t="n">
        <v>0.5335739858869766</v>
      </c>
      <c r="E46" t="n">
        <v>8.695339501376306</v>
      </c>
      <c r="F46" t="n">
        <v>2.926571038137624</v>
      </c>
      <c r="G46" t="n">
        <v>0.1240921612731656</v>
      </c>
      <c r="H46" t="n">
        <v>2.412133333333333</v>
      </c>
      <c r="I46" t="n">
        <v>27.27791170839828</v>
      </c>
      <c r="J46" t="n">
        <v>27.19377378005948</v>
      </c>
      <c r="K46" t="n">
        <v>27.46988467664026</v>
      </c>
      <c r="L46" t="n">
        <v>33.63099851262336</v>
      </c>
      <c r="M46" t="n">
        <v>35.73585406817892</v>
      </c>
    </row>
    <row r="47">
      <c r="A47" s="29" t="n">
        <v>46661</v>
      </c>
      <c r="B47" t="n">
        <v>5.457817105953894</v>
      </c>
      <c r="C47" t="n">
        <v>5.492198659475094</v>
      </c>
      <c r="D47" t="n">
        <v>0.6334772840766415</v>
      </c>
      <c r="E47" t="n">
        <v>9.396864497151915</v>
      </c>
      <c r="F47" t="n">
        <v>2.791645855212021</v>
      </c>
      <c r="G47" t="n">
        <v>0.1329558870783917</v>
      </c>
      <c r="H47" t="n">
        <v>2.523494623655914</v>
      </c>
      <c r="I47" t="n">
        <v>26.42845391260387</v>
      </c>
      <c r="J47" t="n">
        <v>26.33830613224087</v>
      </c>
      <c r="K47" t="n">
        <v>26.63413923572027</v>
      </c>
      <c r="L47" t="n">
        <v>33.86432455900134</v>
      </c>
      <c r="M47" t="n">
        <v>34.9211095052379</v>
      </c>
    </row>
    <row r="48">
      <c r="A48" s="29" t="n">
        <v>46692</v>
      </c>
      <c r="B48" t="n">
        <v>4.663385892484723</v>
      </c>
      <c r="C48" t="n">
        <v>5.879821180492057</v>
      </c>
      <c r="D48" t="n">
        <v>0.9505264613662487</v>
      </c>
      <c r="E48" t="n">
        <v>10.02482796884667</v>
      </c>
      <c r="F48" t="n">
        <v>2.728542512866445</v>
      </c>
      <c r="G48" t="n">
        <v>0.1418196128836179</v>
      </c>
      <c r="H48" t="n">
        <v>1.881788888888889</v>
      </c>
      <c r="I48" t="n">
        <v>26.27071251782866</v>
      </c>
      <c r="J48" t="n">
        <v>26.17455488544146</v>
      </c>
      <c r="K48" t="n">
        <v>26.49011019581949</v>
      </c>
      <c r="L48" t="n">
        <v>34.0936053442197</v>
      </c>
      <c r="M48" t="n">
        <v>35.38128312199748</v>
      </c>
    </row>
    <row r="49">
      <c r="A49" s="29" t="n">
        <v>46722</v>
      </c>
      <c r="B49" t="n">
        <v>4.606898422723488</v>
      </c>
      <c r="C49" t="n">
        <v>6.079634754447258</v>
      </c>
      <c r="D49" t="n">
        <v>1.468451553691291</v>
      </c>
      <c r="E49" t="n">
        <v>10.18260905034924</v>
      </c>
      <c r="F49" t="n">
        <v>2.604276349552317</v>
      </c>
      <c r="G49" t="n">
        <v>0.150683338688844</v>
      </c>
      <c r="H49" t="n">
        <v>1.379204301075269</v>
      </c>
      <c r="I49" t="n">
        <v>26.47175777052771</v>
      </c>
      <c r="J49" t="n">
        <v>26.36959028611631</v>
      </c>
      <c r="K49" t="n">
        <v>26.70486780339297</v>
      </c>
      <c r="L49" t="n">
        <v>34.31354508796161</v>
      </c>
      <c r="M49" t="n">
        <v>36.47231928151</v>
      </c>
    </row>
    <row r="50">
      <c r="A50" s="29" t="n">
        <v>46753</v>
      </c>
      <c r="B50" t="n">
        <v>5.579445751982315</v>
      </c>
      <c r="C50" t="n">
        <v>5.940385840380165</v>
      </c>
      <c r="D50" t="n">
        <v>2.369736539130633</v>
      </c>
      <c r="E50" t="n">
        <v>9.933882743400591</v>
      </c>
      <c r="F50" t="n">
        <v>2.869003261234769</v>
      </c>
      <c r="G50" t="n">
        <v>0.1595470644940701</v>
      </c>
      <c r="H50" t="n">
        <v>0.9953118279569892</v>
      </c>
      <c r="I50" t="n">
        <v>27.84731302857954</v>
      </c>
      <c r="J50" t="n">
        <v>27.73913569214393</v>
      </c>
      <c r="K50" t="n">
        <v>28.09413541631922</v>
      </c>
      <c r="L50" t="n">
        <v>33.73408061239353</v>
      </c>
      <c r="M50" t="n">
        <v>38.16942469841504</v>
      </c>
    </row>
    <row r="51">
      <c r="A51" s="29" t="n">
        <v>46784</v>
      </c>
      <c r="B51" t="n">
        <v>4.573570037829584</v>
      </c>
      <c r="C51" t="n">
        <v>5.817416336869187</v>
      </c>
      <c r="D51" t="n">
        <v>1.734412042121105</v>
      </c>
      <c r="E51" t="n">
        <v>10.05862295544212</v>
      </c>
      <c r="F51" t="n">
        <v>2.820453433169897</v>
      </c>
      <c r="G51" t="n">
        <v>0.1684107902992963</v>
      </c>
      <c r="H51" t="n">
        <v>1.637940886699507</v>
      </c>
      <c r="I51" t="n">
        <v>26.8108264824307</v>
      </c>
      <c r="J51" t="n">
        <v>26.6966392939709</v>
      </c>
      <c r="K51" t="n">
        <v>27.07136122504481</v>
      </c>
      <c r="L51" t="n">
        <v>34.59969540182533</v>
      </c>
      <c r="M51" t="n">
        <v>37.452598932203</v>
      </c>
    </row>
    <row r="52">
      <c r="A52" s="29" t="n">
        <v>46813</v>
      </c>
      <c r="B52" t="n">
        <v>4.068206450284062</v>
      </c>
      <c r="C52" t="n">
        <v>5.790370846617636</v>
      </c>
      <c r="D52" t="n">
        <v>0.9568823520212337</v>
      </c>
      <c r="E52" t="n">
        <v>9.974197376981069</v>
      </c>
      <c r="F52" t="n">
        <v>2.717900612837081</v>
      </c>
      <c r="G52" t="n">
        <v>0.1772745161045224</v>
      </c>
      <c r="H52" t="n">
        <v>2.392172043010753</v>
      </c>
      <c r="I52" t="n">
        <v>26.07700419785635</v>
      </c>
      <c r="J52" t="n">
        <v>25.95680715737235</v>
      </c>
      <c r="K52" t="n">
        <v>26.35125129534489</v>
      </c>
      <c r="L52" t="n">
        <v>34.79017118914386</v>
      </c>
      <c r="M52" t="n">
        <v>35.97744000634816</v>
      </c>
    </row>
    <row r="53">
      <c r="A53" s="29" t="n">
        <v>46844</v>
      </c>
      <c r="B53" t="n">
        <v>4.495762034023503</v>
      </c>
      <c r="C53" t="n">
        <v>5.725619356997369</v>
      </c>
      <c r="D53" t="n">
        <v>0.7466569287605183</v>
      </c>
      <c r="E53" t="n">
        <v>9.851180955530085</v>
      </c>
      <c r="F53" t="n">
        <v>2.926172373492231</v>
      </c>
      <c r="G53" t="n">
        <v>0.1861382419097485</v>
      </c>
      <c r="H53" t="n">
        <v>2.271922222222222</v>
      </c>
      <c r="I53" t="n">
        <v>26.20345211293568</v>
      </c>
      <c r="J53" t="n">
        <v>26.07724522042748</v>
      </c>
      <c r="K53" t="n">
        <v>26.49141156529864</v>
      </c>
      <c r="L53" t="n">
        <v>34.99107076113182</v>
      </c>
      <c r="M53" t="n">
        <v>36.15073742779849</v>
      </c>
    </row>
    <row r="54">
      <c r="A54" s="29" t="n">
        <v>46874</v>
      </c>
      <c r="B54" t="n">
        <v>5.792966830004294</v>
      </c>
      <c r="C54" t="n">
        <v>5.596993586952225</v>
      </c>
      <c r="D54" t="n">
        <v>0.5826070851016196</v>
      </c>
      <c r="E54" t="n">
        <v>10.37861337246806</v>
      </c>
      <c r="F54" t="n">
        <v>3.180382741041686</v>
      </c>
      <c r="G54" t="n">
        <v>0.1950019677149746</v>
      </c>
      <c r="H54" t="n">
        <v>2.179247311827957</v>
      </c>
      <c r="I54" t="n">
        <v>27.90581289511082</v>
      </c>
      <c r="J54" t="n">
        <v>27.77359615057842</v>
      </c>
      <c r="K54" t="n">
        <v>28.20748470234821</v>
      </c>
      <c r="L54" t="n">
        <v>35.21107507190299</v>
      </c>
      <c r="M54" t="n">
        <v>36.33410732996751</v>
      </c>
    </row>
    <row r="55">
      <c r="A55" s="29" t="n">
        <v>46905</v>
      </c>
      <c r="B55" t="n">
        <v>6.680486736221694</v>
      </c>
      <c r="C55" t="n">
        <v>5.659067941972197</v>
      </c>
      <c r="D55" t="n">
        <v>0.5748592034120567</v>
      </c>
      <c r="E55" t="n">
        <v>10.77479381700417</v>
      </c>
      <c r="F55" t="n">
        <v>3.118689989997127</v>
      </c>
      <c r="G55" t="n">
        <v>0.2038656935202007</v>
      </c>
      <c r="H55" t="n">
        <v>1.835466666666667</v>
      </c>
      <c r="I55" t="n">
        <v>28.84723004879411</v>
      </c>
      <c r="J55" t="n">
        <v>28.70900345223752</v>
      </c>
      <c r="K55" t="n">
        <v>29.16261421090594</v>
      </c>
      <c r="L55" t="n">
        <v>35.44668340469384</v>
      </c>
      <c r="M55" t="n">
        <v>36.59589451580496</v>
      </c>
    </row>
    <row r="56">
      <c r="A56" s="29" t="n">
        <v>46935</v>
      </c>
      <c r="B56" t="n">
        <v>7.270704077454631</v>
      </c>
      <c r="C56" t="n">
        <v>5.645119370491004</v>
      </c>
      <c r="D56" t="n">
        <v>0.5453626035650575</v>
      </c>
      <c r="E56" t="n">
        <v>10.78008861771616</v>
      </c>
      <c r="F56" t="n">
        <v>2.976157804314989</v>
      </c>
      <c r="G56" t="n">
        <v>0.2127294193254269</v>
      </c>
      <c r="H56" t="n">
        <v>1.445075268817204</v>
      </c>
      <c r="I56" t="n">
        <v>28.87523716168446</v>
      </c>
      <c r="J56" t="n">
        <v>28.73100071310366</v>
      </c>
      <c r="K56" t="n">
        <v>29.20433367867071</v>
      </c>
      <c r="L56" t="n">
        <v>35.69475987330169</v>
      </c>
      <c r="M56" t="n">
        <v>37.21614697007588</v>
      </c>
    </row>
    <row r="57">
      <c r="A57" s="29" t="n">
        <v>46966</v>
      </c>
      <c r="B57" t="n">
        <v>8.161645258862009</v>
      </c>
      <c r="C57" t="n">
        <v>5.710923844909262</v>
      </c>
      <c r="D57" t="n">
        <v>0.5120298213265384</v>
      </c>
      <c r="E57" t="n">
        <v>11.27506783682496</v>
      </c>
      <c r="F57" t="n">
        <v>3.045932217645074</v>
      </c>
      <c r="G57" t="n">
        <v>0.221593145130653</v>
      </c>
      <c r="H57" t="n">
        <v>1.741763440860215</v>
      </c>
      <c r="I57" t="n">
        <v>30.66895556555871</v>
      </c>
      <c r="J57" t="n">
        <v>30.51870926495371</v>
      </c>
      <c r="K57" t="n">
        <v>31.01176443741938</v>
      </c>
      <c r="L57" t="n">
        <v>35.94722820096002</v>
      </c>
      <c r="M57" t="n">
        <v>38.83077658805679</v>
      </c>
    </row>
    <row r="58">
      <c r="A58" s="29" t="n">
        <v>46997</v>
      </c>
      <c r="B58" t="n">
        <v>6.918029331066658</v>
      </c>
      <c r="C58" t="n">
        <v>5.685496361522128</v>
      </c>
      <c r="D58" t="n">
        <v>0.5175667663103672</v>
      </c>
      <c r="E58" t="n">
        <v>12.09451430971443</v>
      </c>
      <c r="F58" t="n">
        <v>2.867294580756646</v>
      </c>
      <c r="G58" t="n">
        <v>0.2304568709358791</v>
      </c>
      <c r="H58" t="n">
        <v>2.412133333333333</v>
      </c>
      <c r="I58" t="n">
        <v>30.72549155363944</v>
      </c>
      <c r="J58" t="n">
        <v>30.56923540101024</v>
      </c>
      <c r="K58" t="n">
        <v>31.08201278037454</v>
      </c>
      <c r="L58" t="n">
        <v>36.1981811852821</v>
      </c>
      <c r="M58" t="n">
        <v>38.30303674083765</v>
      </c>
    </row>
    <row r="59">
      <c r="A59" s="29" t="n">
        <v>47027</v>
      </c>
      <c r="B59" t="n">
        <v>5.436307874895696</v>
      </c>
      <c r="C59" t="n">
        <v>5.535716984954465</v>
      </c>
      <c r="D59" t="n">
        <v>0.6144729655543421</v>
      </c>
      <c r="E59" t="n">
        <v>12.69228003083021</v>
      </c>
      <c r="F59" t="n">
        <v>2.73510225028912</v>
      </c>
      <c r="G59" t="n">
        <v>0.2393205967411053</v>
      </c>
      <c r="H59" t="n">
        <v>2.523494623655914</v>
      </c>
      <c r="I59" t="n">
        <v>29.77669532692085</v>
      </c>
      <c r="J59" t="n">
        <v>29.61442932226745</v>
      </c>
      <c r="K59" t="n">
        <v>30.14692890853038</v>
      </c>
      <c r="L59" t="n">
        <v>36.4497772919081</v>
      </c>
      <c r="M59" t="n">
        <v>37.50656223814466</v>
      </c>
    </row>
    <row r="60">
      <c r="A60" s="29" t="n">
        <v>47058</v>
      </c>
      <c r="B60" t="n">
        <v>4.645007511031529</v>
      </c>
      <c r="C60" t="n">
        <v>5.926410895787899</v>
      </c>
      <c r="D60" t="n">
        <v>0.9220106675252612</v>
      </c>
      <c r="E60" t="n">
        <v>13.09400310968609</v>
      </c>
      <c r="F60" t="n">
        <v>2.67327703942725</v>
      </c>
      <c r="G60" t="n">
        <v>0.2481843225463314</v>
      </c>
      <c r="H60" t="n">
        <v>1.881788888888889</v>
      </c>
      <c r="I60" t="n">
        <v>29.39068243489325</v>
      </c>
      <c r="J60" t="n">
        <v>29.22240657821565</v>
      </c>
      <c r="K60" t="n">
        <v>29.77462837137721</v>
      </c>
      <c r="L60" t="n">
        <v>36.69687435930132</v>
      </c>
      <c r="M60" t="n">
        <v>37.9845521370791</v>
      </c>
    </row>
    <row r="61">
      <c r="A61" s="29" t="n">
        <v>47088</v>
      </c>
      <c r="B61" t="n">
        <v>4.588742658117908</v>
      </c>
      <c r="C61" t="n">
        <v>6.127807724953939</v>
      </c>
      <c r="D61" t="n">
        <v>1.424398007080552</v>
      </c>
      <c r="E61" t="n">
        <v>13.04702460392214</v>
      </c>
      <c r="F61" t="n">
        <v>2.551527834641582</v>
      </c>
      <c r="G61" t="n">
        <v>0.2570480483515575</v>
      </c>
      <c r="H61" t="n">
        <v>1.379204301075269</v>
      </c>
      <c r="I61" t="n">
        <v>29.37575317814295</v>
      </c>
      <c r="J61" t="n">
        <v>29.20146746944116</v>
      </c>
      <c r="K61" t="n">
        <v>29.77341146950134</v>
      </c>
      <c r="L61" t="n">
        <v>36.93394943284404</v>
      </c>
      <c r="M61" t="n">
        <v>39.09272362639243</v>
      </c>
    </row>
    <row r="62">
      <c r="A62" s="29" t="n">
        <v>47119</v>
      </c>
      <c r="B62" t="n">
        <v>5.579445751982315</v>
      </c>
      <c r="C62" t="n">
        <v>5.987455449566409</v>
      </c>
      <c r="D62" t="n">
        <v>2.298644442956714</v>
      </c>
      <c r="E62" t="n">
        <v>12.67205817734582</v>
      </c>
      <c r="F62" t="n">
        <v>2.810892814802997</v>
      </c>
      <c r="G62" t="n">
        <v>0.2659117741567836</v>
      </c>
      <c r="H62" t="n">
        <v>0.9953118279569892</v>
      </c>
      <c r="I62" t="n">
        <v>30.60972023876803</v>
      </c>
      <c r="J62" t="n">
        <v>30.42942467804203</v>
      </c>
      <c r="K62" t="n">
        <v>31.02109088500084</v>
      </c>
      <c r="L62" t="n">
        <v>37.04951749580509</v>
      </c>
      <c r="M62" t="n">
        <v>41.48486158182659</v>
      </c>
    </row>
    <row r="63">
      <c r="A63" s="29" t="n">
        <v>47150</v>
      </c>
      <c r="B63" t="n">
        <v>4.573570037829584</v>
      </c>
      <c r="C63" t="n">
        <v>5.863511577280807</v>
      </c>
      <c r="D63" t="n">
        <v>1.682379680857472</v>
      </c>
      <c r="E63" t="n">
        <v>12.56022123652036</v>
      </c>
      <c r="F63" t="n">
        <v>2.763326342951468</v>
      </c>
      <c r="G63" t="n">
        <v>0.2747754999620097</v>
      </c>
      <c r="H63" t="n">
        <v>1.637940886699507</v>
      </c>
      <c r="I63" t="n">
        <v>29.35572526210122</v>
      </c>
      <c r="J63" t="n">
        <v>29.16941984935102</v>
      </c>
      <c r="K63" t="n">
        <v>29.78080826320845</v>
      </c>
      <c r="L63" t="n">
        <v>37.16545071279388</v>
      </c>
      <c r="M63" t="n">
        <v>40.01835424317154</v>
      </c>
    </row>
    <row r="64">
      <c r="A64" s="29" t="n">
        <v>47178</v>
      </c>
      <c r="B64" t="n">
        <v>4.068206450284062</v>
      </c>
      <c r="C64" t="n">
        <v>5.836251787707528</v>
      </c>
      <c r="D64" t="n">
        <v>0.9281758814605967</v>
      </c>
      <c r="E64" t="n">
        <v>12.25593655124702</v>
      </c>
      <c r="F64" t="n">
        <v>2.662850686577613</v>
      </c>
      <c r="G64" t="n">
        <v>0.2836392257672359</v>
      </c>
      <c r="H64" t="n">
        <v>2.392172043010753</v>
      </c>
      <c r="I64" t="n">
        <v>28.42723262605481</v>
      </c>
      <c r="J64" t="n">
        <v>28.23491736128041</v>
      </c>
      <c r="K64" t="n">
        <v>28.86602798203647</v>
      </c>
      <c r="L64" t="n">
        <v>37.28175027274523</v>
      </c>
      <c r="M64" t="n">
        <v>38.46901908994953</v>
      </c>
    </row>
    <row r="65">
      <c r="A65" s="29" t="n">
        <v>47209</v>
      </c>
      <c r="B65" t="n">
        <v>4.495762034023503</v>
      </c>
      <c r="C65" t="n">
        <v>5.770987229173467</v>
      </c>
      <c r="D65" t="n">
        <v>0.7242572208977028</v>
      </c>
      <c r="E65" t="n">
        <v>11.8381445387415</v>
      </c>
      <c r="F65" t="n">
        <v>2.866903990894866</v>
      </c>
      <c r="G65" t="n">
        <v>0.292502951572462</v>
      </c>
      <c r="H65" t="n">
        <v>2.271922222222222</v>
      </c>
      <c r="I65" t="n">
        <v>28.26048018752573</v>
      </c>
      <c r="J65" t="n">
        <v>28.06215507072713</v>
      </c>
      <c r="K65" t="n">
        <v>28.71298789838182</v>
      </c>
      <c r="L65" t="n">
        <v>37.39841736854674</v>
      </c>
      <c r="M65" t="n">
        <v>38.5580840352134</v>
      </c>
    </row>
    <row r="66">
      <c r="A66" s="29" t="n">
        <v>47239</v>
      </c>
      <c r="B66" t="n">
        <v>5.792966830004294</v>
      </c>
      <c r="C66" t="n">
        <v>5.641342272009844</v>
      </c>
      <c r="D66" t="n">
        <v>0.5651288725485711</v>
      </c>
      <c r="E66" t="n">
        <v>12.20315815805368</v>
      </c>
      <c r="F66" t="n">
        <v>3.115965435072403</v>
      </c>
      <c r="G66" t="n">
        <v>0.3013666773776881</v>
      </c>
      <c r="H66" t="n">
        <v>2.179247311827957</v>
      </c>
      <c r="I66" t="n">
        <v>29.79917555689445</v>
      </c>
      <c r="J66" t="n">
        <v>29.59484058807164</v>
      </c>
      <c r="K66" t="n">
        <v>30.26539562262496</v>
      </c>
      <c r="L66" t="n">
        <v>37.51545319705213</v>
      </c>
      <c r="M66" t="n">
        <v>38.63848545511665</v>
      </c>
    </row>
    <row r="67">
      <c r="A67" s="29" t="n">
        <v>47270</v>
      </c>
      <c r="B67" t="n">
        <v>6.680486736221694</v>
      </c>
      <c r="C67" t="n">
        <v>5.703908483234074</v>
      </c>
      <c r="D67" t="n">
        <v>0.5576134273096949</v>
      </c>
      <c r="E67" t="n">
        <v>12.32918349618877</v>
      </c>
      <c r="F67" t="n">
        <v>3.055522244581936</v>
      </c>
      <c r="G67" t="n">
        <v>0.3102304031829142</v>
      </c>
      <c r="H67" t="n">
        <v>1.835466666666667</v>
      </c>
      <c r="I67" t="n">
        <v>30.47241145738576</v>
      </c>
      <c r="J67" t="n">
        <v>30.26206663653875</v>
      </c>
      <c r="K67" t="n">
        <v>30.9523438779907</v>
      </c>
      <c r="L67" t="n">
        <v>37.63285895909468</v>
      </c>
      <c r="M67" t="n">
        <v>38.78207007020579</v>
      </c>
    </row>
    <row r="68">
      <c r="A68" s="29" t="n">
        <v>47300</v>
      </c>
      <c r="B68" t="n">
        <v>7.270704077454631</v>
      </c>
      <c r="C68" t="n">
        <v>5.689849387987933</v>
      </c>
      <c r="D68" t="n">
        <v>0.5290017254581059</v>
      </c>
      <c r="E68" t="n">
        <v>11.99695972456145</v>
      </c>
      <c r="F68" t="n">
        <v>2.915876987978199</v>
      </c>
      <c r="G68" t="n">
        <v>0.3190941289881403</v>
      </c>
      <c r="H68" t="n">
        <v>1.445075268817204</v>
      </c>
      <c r="I68" t="n">
        <v>30.16656130124566</v>
      </c>
      <c r="J68" t="n">
        <v>29.95020662837446</v>
      </c>
      <c r="K68" t="n">
        <v>30.66020607672503</v>
      </c>
      <c r="L68" t="n">
        <v>37.75063585950051</v>
      </c>
      <c r="M68" t="n">
        <v>39.2720229562747</v>
      </c>
    </row>
    <row r="69">
      <c r="A69" s="29" t="n">
        <v>47331</v>
      </c>
      <c r="B69" t="n">
        <v>8.161645258862009</v>
      </c>
      <c r="C69" t="n">
        <v>5.756175274815552</v>
      </c>
      <c r="D69" t="n">
        <v>0.4966689266867422</v>
      </c>
      <c r="E69" t="n">
        <v>12.31445570816869</v>
      </c>
      <c r="F69" t="n">
        <v>2.98423815010606</v>
      </c>
      <c r="G69" t="n">
        <v>0.3279578547933664</v>
      </c>
      <c r="H69" t="n">
        <v>1.741763440860215</v>
      </c>
      <c r="I69" t="n">
        <v>31.78290461429263</v>
      </c>
      <c r="J69" t="n">
        <v>31.56054008939724</v>
      </c>
      <c r="K69" t="n">
        <v>32.29026174464644</v>
      </c>
      <c r="L69" t="n">
        <v>37.86878510710218</v>
      </c>
      <c r="M69" t="n">
        <v>40.75233349419895</v>
      </c>
    </row>
    <row r="70">
      <c r="A70" s="29" t="n">
        <v>47362</v>
      </c>
      <c r="B70" t="n">
        <v>6.918029331066658</v>
      </c>
      <c r="C70" t="n">
        <v>5.7305463126461</v>
      </c>
      <c r="D70" t="n">
        <v>0.5020397633210562</v>
      </c>
      <c r="E70" t="n">
        <v>12.89759651652548</v>
      </c>
      <c r="F70" t="n">
        <v>2.80921874292457</v>
      </c>
      <c r="G70" t="n">
        <v>0.3368215805985925</v>
      </c>
      <c r="H70" t="n">
        <v>2.412133333333333</v>
      </c>
      <c r="I70" t="n">
        <v>31.60638558041578</v>
      </c>
      <c r="J70" t="n">
        <v>31.37801120349618</v>
      </c>
      <c r="K70" t="n">
        <v>32.12745506564401</v>
      </c>
      <c r="L70" t="n">
        <v>37.98730791475212</v>
      </c>
      <c r="M70" t="n">
        <v>40.09216347030767</v>
      </c>
    </row>
    <row r="71">
      <c r="A71" s="29" t="n">
        <v>47392</v>
      </c>
      <c r="B71" t="n">
        <v>5.436307874895696</v>
      </c>
      <c r="C71" t="n">
        <v>5.579580134933084</v>
      </c>
      <c r="D71" t="n">
        <v>0.5960387765877118</v>
      </c>
      <c r="E71" t="n">
        <v>13.25228722923687</v>
      </c>
      <c r="F71" t="n">
        <v>2.679703912145565</v>
      </c>
      <c r="G71" t="n">
        <v>0.3456853064038187</v>
      </c>
      <c r="H71" t="n">
        <v>2.523494623655914</v>
      </c>
      <c r="I71" t="n">
        <v>30.41309785785866</v>
      </c>
      <c r="J71" t="n">
        <v>30.17871362891486</v>
      </c>
      <c r="K71" t="n">
        <v>30.94787969796131</v>
      </c>
      <c r="L71" t="n">
        <v>38.10620549933621</v>
      </c>
      <c r="M71" t="n">
        <v>39.16299044557277</v>
      </c>
    </row>
    <row r="72">
      <c r="A72" s="29" t="n">
        <v>47423</v>
      </c>
      <c r="B72" t="n">
        <v>4.645007511031529</v>
      </c>
      <c r="C72" t="n">
        <v>5.973369772237578</v>
      </c>
      <c r="D72" t="n">
        <v>0.8943503474995033</v>
      </c>
      <c r="E72" t="n">
        <v>13.53544208829908</v>
      </c>
      <c r="F72" t="n">
        <v>2.61913094475531</v>
      </c>
      <c r="G72" t="n">
        <v>0.3545490322090448</v>
      </c>
      <c r="H72" t="n">
        <v>1.881788888888889</v>
      </c>
      <c r="I72" t="n">
        <v>29.90363858492093</v>
      </c>
      <c r="J72" t="n">
        <v>29.66324450395293</v>
      </c>
      <c r="K72" t="n">
        <v>30.45213277989801</v>
      </c>
      <c r="L72" t="n">
        <v>38.22547908178736</v>
      </c>
      <c r="M72" t="n">
        <v>39.51315685956514</v>
      </c>
    </row>
    <row r="73">
      <c r="A73" s="29" t="n">
        <v>47453</v>
      </c>
      <c r="B73" t="n">
        <v>4.588742658117908</v>
      </c>
      <c r="C73" t="n">
        <v>6.176362401793511</v>
      </c>
      <c r="D73" t="n">
        <v>1.381666066868136</v>
      </c>
      <c r="E73" t="n">
        <v>13.35375671170559</v>
      </c>
      <c r="F73" t="n">
        <v>2.499847718568692</v>
      </c>
      <c r="G73" t="n">
        <v>0.3634127580142709</v>
      </c>
      <c r="H73" t="n">
        <v>1.379204301075269</v>
      </c>
      <c r="I73" t="n">
        <v>29.74299261614337</v>
      </c>
      <c r="J73" t="n">
        <v>29.49658868315117</v>
      </c>
      <c r="K73" t="n">
        <v>30.30519916599488</v>
      </c>
      <c r="L73" t="n">
        <v>38.34512988709921</v>
      </c>
      <c r="M73" t="n">
        <v>40.5039040806476</v>
      </c>
    </row>
    <row r="74">
      <c r="A74" s="29" t="n">
        <v>47484</v>
      </c>
      <c r="B74" t="n">
        <v>5.579445751982315</v>
      </c>
      <c r="C74" t="n">
        <v>6.034898022423445</v>
      </c>
      <c r="D74" t="n">
        <v>2.229685109668012</v>
      </c>
      <c r="E74" t="n">
        <v>12.84320527110733</v>
      </c>
      <c r="F74" t="n">
        <v>2.753959370861995</v>
      </c>
      <c r="G74" t="n">
        <v>0.372276483819497</v>
      </c>
      <c r="H74" t="n">
        <v>0.9953118279569892</v>
      </c>
      <c r="I74" t="n">
        <v>30.80878183781959</v>
      </c>
      <c r="J74" t="n">
        <v>30.55636805280319</v>
      </c>
      <c r="K74" t="n">
        <v>31.38470074254552</v>
      </c>
      <c r="L74" t="n">
        <v>38.40566570148782</v>
      </c>
      <c r="M74" t="n">
        <v>42.84100978750932</v>
      </c>
    </row>
    <row r="75">
      <c r="A75" s="29" t="n">
        <v>47515</v>
      </c>
      <c r="B75" t="n">
        <v>4.573570037829584</v>
      </c>
      <c r="C75" t="n">
        <v>5.909972060794444</v>
      </c>
      <c r="D75" t="n">
        <v>1.631908290431748</v>
      </c>
      <c r="E75" t="n">
        <v>12.64447062575261</v>
      </c>
      <c r="F75" t="n">
        <v>2.707356337760023</v>
      </c>
      <c r="G75" t="n">
        <v>0.3811402096247231</v>
      </c>
      <c r="H75" t="n">
        <v>1.637940886699507</v>
      </c>
      <c r="I75" t="n">
        <v>29.48635844889264</v>
      </c>
      <c r="J75" t="n">
        <v>29.22793481185204</v>
      </c>
      <c r="K75" t="n">
        <v>30.07598970849301</v>
      </c>
      <c r="L75" t="n">
        <v>38.46629814319879</v>
      </c>
      <c r="M75" t="n">
        <v>41.31920167357646</v>
      </c>
    </row>
    <row r="76">
      <c r="A76" s="29" t="n">
        <v>47543</v>
      </c>
      <c r="B76" t="n">
        <v>4.068206450284062</v>
      </c>
      <c r="C76" t="n">
        <v>5.882496273864059</v>
      </c>
      <c r="D76" t="n">
        <v>0.9003306050167788</v>
      </c>
      <c r="E76" t="n">
        <v>12.25593655124702</v>
      </c>
      <c r="F76" t="n">
        <v>2.60891577326853</v>
      </c>
      <c r="G76" t="n">
        <v>0.3900039354299493</v>
      </c>
      <c r="H76" t="n">
        <v>2.392172043010753</v>
      </c>
      <c r="I76" t="n">
        <v>28.49806163212115</v>
      </c>
      <c r="J76" t="n">
        <v>28.23362814305635</v>
      </c>
      <c r="K76" t="n">
        <v>29.10140524659594</v>
      </c>
      <c r="L76" t="n">
        <v>38.52702737116564</v>
      </c>
      <c r="M76" t="n">
        <v>39.71429618836994</v>
      </c>
    </row>
    <row r="77">
      <c r="A77" s="29" t="n">
        <v>47574</v>
      </c>
      <c r="B77" t="n">
        <v>4.495762034023503</v>
      </c>
      <c r="C77" t="n">
        <v>5.816714581031577</v>
      </c>
      <c r="D77" t="n">
        <v>0.7025295042707718</v>
      </c>
      <c r="E77" t="n">
        <v>11.8381445387415</v>
      </c>
      <c r="F77" t="n">
        <v>2.80883606429508</v>
      </c>
      <c r="G77" t="n">
        <v>0.3988676612351754</v>
      </c>
      <c r="H77" t="n">
        <v>2.271922222222222</v>
      </c>
      <c r="I77" t="n">
        <v>28.33277660581983</v>
      </c>
      <c r="J77" t="n">
        <v>28.06233326473083</v>
      </c>
      <c r="K77" t="n">
        <v>28.94983257516904</v>
      </c>
      <c r="L77" t="n">
        <v>38.58785354458887</v>
      </c>
      <c r="M77" t="n">
        <v>39.74752021125553</v>
      </c>
    </row>
    <row r="78">
      <c r="A78" s="29" t="n">
        <v>47604</v>
      </c>
      <c r="B78" t="n">
        <v>5.792966830004294</v>
      </c>
      <c r="C78" t="n">
        <v>5.686042361055296</v>
      </c>
      <c r="D78" t="n">
        <v>0.5481750063721139</v>
      </c>
      <c r="E78" t="n">
        <v>12.20315815805368</v>
      </c>
      <c r="F78" t="n">
        <v>3.052852874363742</v>
      </c>
      <c r="G78" t="n">
        <v>0.4077313870404015</v>
      </c>
      <c r="H78" t="n">
        <v>2.179247311827957</v>
      </c>
      <c r="I78" t="n">
        <v>29.87017392871749</v>
      </c>
      <c r="J78" t="n">
        <v>29.59372073560429</v>
      </c>
      <c r="K78" t="n">
        <v>30.50094225294114</v>
      </c>
      <c r="L78" t="n">
        <v>38.64877682293622</v>
      </c>
      <c r="M78" t="n">
        <v>39.77180908100074</v>
      </c>
    </row>
    <row r="79">
      <c r="A79" s="29" t="n">
        <v>47635</v>
      </c>
      <c r="B79" t="n">
        <v>6.680486736221694</v>
      </c>
      <c r="C79" t="n">
        <v>5.74910432578607</v>
      </c>
      <c r="D79" t="n">
        <v>0.540885024490404</v>
      </c>
      <c r="E79" t="n">
        <v>12.32918349618877</v>
      </c>
      <c r="F79" t="n">
        <v>2.99363393510736</v>
      </c>
      <c r="G79" t="n">
        <v>0.4165951128456276</v>
      </c>
      <c r="H79" t="n">
        <v>1.835466666666667</v>
      </c>
      <c r="I79" t="n">
        <v>30.5453552973066</v>
      </c>
      <c r="J79" t="n">
        <v>30.26289225216919</v>
      </c>
      <c r="K79" t="n">
        <v>31.18983597640467</v>
      </c>
      <c r="L79" t="n">
        <v>38.70979736594332</v>
      </c>
      <c r="M79" t="n">
        <v>39.85900847705443</v>
      </c>
    </row>
    <row r="80">
      <c r="A80" s="29" t="n">
        <v>47665</v>
      </c>
      <c r="B80" t="n">
        <v>7.270704077454631</v>
      </c>
      <c r="C80" t="n">
        <v>5.734933831022031</v>
      </c>
      <c r="D80" t="n">
        <v>0.5131316736943625</v>
      </c>
      <c r="E80" t="n">
        <v>12.11686231590201</v>
      </c>
      <c r="F80" t="n">
        <v>2.856817134055754</v>
      </c>
      <c r="G80" t="n">
        <v>0.4254588386508537</v>
      </c>
      <c r="H80" t="n">
        <v>1.445075268817204</v>
      </c>
      <c r="I80" t="n">
        <v>30.36298313959684</v>
      </c>
      <c r="J80" t="n">
        <v>30.07451024243524</v>
      </c>
      <c r="K80" t="n">
        <v>31.02117617356934</v>
      </c>
      <c r="L80" t="n">
        <v>38.770915333614</v>
      </c>
      <c r="M80" t="n">
        <v>40.29230243038819</v>
      </c>
    </row>
    <row r="81">
      <c r="A81" s="29" t="n">
        <v>47696</v>
      </c>
      <c r="B81" t="n">
        <v>8.161645258862009</v>
      </c>
      <c r="C81" t="n">
        <v>5.801785261754675</v>
      </c>
      <c r="D81" t="n">
        <v>0.4817688588861398</v>
      </c>
      <c r="E81" t="n">
        <v>12.51958200464404</v>
      </c>
      <c r="F81" t="n">
        <v>2.923793669786177</v>
      </c>
      <c r="G81" t="n">
        <v>0.4343225644560798</v>
      </c>
      <c r="H81" t="n">
        <v>1.741763440860215</v>
      </c>
      <c r="I81" t="n">
        <v>32.06466105924934</v>
      </c>
      <c r="J81" t="n">
        <v>31.77017831006354</v>
      </c>
      <c r="K81" t="n">
        <v>32.73656644809627</v>
      </c>
      <c r="L81" t="n">
        <v>38.83213088622084</v>
      </c>
      <c r="M81" t="n">
        <v>41.71567927331761</v>
      </c>
    </row>
    <row r="82">
      <c r="A82" s="29" t="n">
        <v>47727</v>
      </c>
      <c r="B82" t="n">
        <v>6.918029331066658</v>
      </c>
      <c r="C82" t="n">
        <v>5.775953224353145</v>
      </c>
      <c r="D82" t="n">
        <v>0.4869785704214246</v>
      </c>
      <c r="E82" t="n">
        <v>13.34674215256428</v>
      </c>
      <c r="F82" t="n">
        <v>2.752319206600729</v>
      </c>
      <c r="G82" t="n">
        <v>0.4431862902613058</v>
      </c>
      <c r="H82" t="n">
        <v>2.412133333333333</v>
      </c>
      <c r="I82" t="n">
        <v>32.13534210860087</v>
      </c>
      <c r="J82" t="n">
        <v>31.83484950739087</v>
      </c>
      <c r="K82" t="n">
        <v>32.82095985232222</v>
      </c>
      <c r="L82" t="n">
        <v>38.89344418430559</v>
      </c>
      <c r="M82" t="n">
        <v>40.99829973986114</v>
      </c>
    </row>
    <row r="83">
      <c r="A83" s="29" t="n">
        <v>47757</v>
      </c>
      <c r="B83" t="n">
        <v>5.436307874895696</v>
      </c>
      <c r="C83" t="n">
        <v>5.623790841683713</v>
      </c>
      <c r="D83" t="n">
        <v>0.5781576132900805</v>
      </c>
      <c r="E83" t="n">
        <v>13.90371721049099</v>
      </c>
      <c r="F83" t="n">
        <v>2.625427643887605</v>
      </c>
      <c r="G83" t="n">
        <v>0.4520500160665321</v>
      </c>
      <c r="H83" t="n">
        <v>2.523494623655914</v>
      </c>
      <c r="I83" t="n">
        <v>31.14294582397052</v>
      </c>
      <c r="J83" t="n">
        <v>30.83644337073632</v>
      </c>
      <c r="K83" t="n">
        <v>31.84227592256631</v>
      </c>
      <c r="L83" t="n">
        <v>38.95485538867963</v>
      </c>
      <c r="M83" t="n">
        <v>40.01164033491619</v>
      </c>
    </row>
    <row r="84">
      <c r="A84" s="29" t="n">
        <v>47788</v>
      </c>
      <c r="B84" t="n">
        <v>4.645007511031529</v>
      </c>
      <c r="C84" t="n">
        <v>6.020700734949278</v>
      </c>
      <c r="D84" t="n">
        <v>0.8675198370745181</v>
      </c>
      <c r="E84" t="n">
        <v>14.39478163770154</v>
      </c>
      <c r="F84" t="n">
        <v>2.566081556307597</v>
      </c>
      <c r="G84" t="n">
        <v>0.4609137418717582</v>
      </c>
      <c r="H84" t="n">
        <v>1.881788888888889</v>
      </c>
      <c r="I84" t="n">
        <v>30.83679390782511</v>
      </c>
      <c r="J84" t="n">
        <v>30.5242816025667</v>
      </c>
      <c r="K84" t="n">
        <v>31.54983636129531</v>
      </c>
      <c r="L84" t="n">
        <v>39.01636466042443</v>
      </c>
      <c r="M84" t="n">
        <v>40.30404243820221</v>
      </c>
    </row>
    <row r="85">
      <c r="A85" s="29" t="n">
        <v>47818</v>
      </c>
      <c r="B85" t="n">
        <v>4.588742658117908</v>
      </c>
      <c r="C85" t="n">
        <v>6.225301809477917</v>
      </c>
      <c r="D85" t="n">
        <v>1.340216084862092</v>
      </c>
      <c r="E85" t="n">
        <v>14.39294827114436</v>
      </c>
      <c r="F85" t="n">
        <v>2.449214361367505</v>
      </c>
      <c r="G85" t="n">
        <v>0.4697774676769843</v>
      </c>
      <c r="H85" t="n">
        <v>1.379204301075269</v>
      </c>
      <c r="I85" t="n">
        <v>30.84540495372203</v>
      </c>
      <c r="J85" t="n">
        <v>30.52688279643943</v>
      </c>
      <c r="K85" t="n">
        <v>31.57215976206666</v>
      </c>
      <c r="L85" t="n">
        <v>39.07797216089202</v>
      </c>
      <c r="M85" t="n">
        <v>41.23674635444041</v>
      </c>
    </row>
    <row r="86">
      <c r="A86" s="29" t="n">
        <v>47849</v>
      </c>
      <c r="B86" t="n">
        <v>5.579445751982315</v>
      </c>
      <c r="C86" t="n">
        <v>6.082716514189316</v>
      </c>
      <c r="D86" t="n">
        <v>2.162794556377972</v>
      </c>
      <c r="E86" t="n">
        <v>14.15509556829357</v>
      </c>
      <c r="F86" t="n">
        <v>2.69817908972461</v>
      </c>
      <c r="G86" t="n">
        <v>0.4746460968977579</v>
      </c>
      <c r="H86" t="n">
        <v>0.9953118279569892</v>
      </c>
      <c r="I86" t="n">
        <v>32.14818940542253</v>
      </c>
      <c r="J86" t="n">
        <v>31.82529415156709</v>
      </c>
      <c r="K86" t="n">
        <v>32.88444855171111</v>
      </c>
      <c r="L86" t="n">
        <v>39.10896050210854</v>
      </c>
      <c r="M86" t="n">
        <v>43.54430458813005</v>
      </c>
    </row>
    <row r="87">
      <c r="A87" s="29" t="n">
        <v>47880</v>
      </c>
      <c r="B87" t="n">
        <v>4.573570037829584</v>
      </c>
      <c r="C87" t="n">
        <v>5.956800681472964</v>
      </c>
      <c r="D87" t="n">
        <v>1.582951041718796</v>
      </c>
      <c r="E87" t="n">
        <v>14.20153157323998</v>
      </c>
      <c r="F87" t="n">
        <v>2.652519981328204</v>
      </c>
      <c r="G87" t="n">
        <v>0.4795147261185315</v>
      </c>
      <c r="H87" t="n">
        <v>1.637940886699507</v>
      </c>
      <c r="I87" t="n">
        <v>31.08482892840757</v>
      </c>
      <c r="J87" t="n">
        <v>30.75756057797929</v>
      </c>
      <c r="K87" t="n">
        <v>31.83059241264011</v>
      </c>
      <c r="L87" t="n">
        <v>39.13997370468741</v>
      </c>
      <c r="M87" t="n">
        <v>41.99287723506507</v>
      </c>
    </row>
    <row r="88">
      <c r="A88" s="29" t="n">
        <v>47908</v>
      </c>
      <c r="B88" t="n">
        <v>4.068206450284062</v>
      </c>
      <c r="C88" t="n">
        <v>5.929107185695436</v>
      </c>
      <c r="D88" t="n">
        <v>0.8733206868662754</v>
      </c>
      <c r="E88" t="n">
        <v>14.02246622474038</v>
      </c>
      <c r="F88" t="n">
        <v>2.556073288794575</v>
      </c>
      <c r="G88" t="n">
        <v>0.4843833553393052</v>
      </c>
      <c r="H88" t="n">
        <v>2.392172043010753</v>
      </c>
      <c r="I88" t="n">
        <v>30.32572923473078</v>
      </c>
      <c r="J88" t="n">
        <v>29.99408778772968</v>
      </c>
      <c r="K88" t="n">
        <v>31.08099705690728</v>
      </c>
      <c r="L88" t="n">
        <v>39.17101178918138</v>
      </c>
      <c r="M88" t="n">
        <v>40.35828060638568</v>
      </c>
    </row>
    <row r="89">
      <c r="A89" s="29" t="n">
        <v>47939</v>
      </c>
      <c r="B89" t="n">
        <v>4.495762034023503</v>
      </c>
      <c r="C89" t="n">
        <v>5.862804260967176</v>
      </c>
      <c r="D89" t="n">
        <v>0.6814536191426485</v>
      </c>
      <c r="E89" t="n">
        <v>13.71412009222568</v>
      </c>
      <c r="F89" t="n">
        <v>2.751944278964868</v>
      </c>
      <c r="G89" t="n">
        <v>0.4892519845600789</v>
      </c>
      <c r="H89" t="n">
        <v>2.271922222222222</v>
      </c>
      <c r="I89" t="n">
        <v>30.26725849210617</v>
      </c>
      <c r="J89" t="n">
        <v>29.93124394853223</v>
      </c>
      <c r="K89" t="n">
        <v>31.03203065222662</v>
      </c>
      <c r="L89" t="n">
        <v>39.20207477616061</v>
      </c>
      <c r="M89" t="n">
        <v>40.36174144282727</v>
      </c>
    </row>
    <row r="90">
      <c r="A90" s="29" t="n">
        <v>47969</v>
      </c>
      <c r="B90" t="n">
        <v>5.792966830004294</v>
      </c>
      <c r="C90" t="n">
        <v>5.731096638494989</v>
      </c>
      <c r="D90" t="n">
        <v>0.5317297561809505</v>
      </c>
      <c r="E90" t="n">
        <v>14.3118733709199</v>
      </c>
      <c r="F90" t="n">
        <v>2.991018631852827</v>
      </c>
      <c r="G90" t="n">
        <v>0.4941206137808525</v>
      </c>
      <c r="H90" t="n">
        <v>2.179247311827957</v>
      </c>
      <c r="I90" t="n">
        <v>32.03205315306177</v>
      </c>
      <c r="J90" t="n">
        <v>31.691665512915</v>
      </c>
      <c r="K90" t="n">
        <v>32.80632965112618</v>
      </c>
      <c r="L90" t="n">
        <v>39.23316268621259</v>
      </c>
      <c r="M90" t="n">
        <v>40.35619494427711</v>
      </c>
    </row>
    <row r="91">
      <c r="A91" s="29" t="n">
        <v>48000</v>
      </c>
      <c r="B91" t="n">
        <v>6.680486736221694</v>
      </c>
      <c r="C91" t="n">
        <v>5.794658284915496</v>
      </c>
      <c r="D91" t="n">
        <v>0.5246584737556921</v>
      </c>
      <c r="E91" t="n">
        <v>14.54182463442464</v>
      </c>
      <c r="F91" t="n">
        <v>2.932999147140086</v>
      </c>
      <c r="G91" t="n">
        <v>0.4989892430016262</v>
      </c>
      <c r="H91" t="n">
        <v>1.835466666666667</v>
      </c>
      <c r="I91" t="n">
        <v>32.8090831861259</v>
      </c>
      <c r="J91" t="n">
        <v>32.46432244940627</v>
      </c>
      <c r="K91" t="n">
        <v>33.59286402213426</v>
      </c>
      <c r="L91" t="n">
        <v>39.26427553994218</v>
      </c>
      <c r="M91" t="n">
        <v>40.4134866510533</v>
      </c>
    </row>
    <row r="92">
      <c r="A92" s="29" t="n">
        <v>48030</v>
      </c>
      <c r="B92" t="n">
        <v>7.270704077454631</v>
      </c>
      <c r="C92" t="n">
        <v>5.780375507941438</v>
      </c>
      <c r="D92" t="n">
        <v>0.4977377234835317</v>
      </c>
      <c r="E92" t="n">
        <v>14.22991380966947</v>
      </c>
      <c r="F92" t="n">
        <v>2.798953512470861</v>
      </c>
      <c r="G92" t="n">
        <v>0.5038578722223999</v>
      </c>
      <c r="H92" t="n">
        <v>1.445075268817204</v>
      </c>
      <c r="I92" t="n">
        <v>32.52661777205953</v>
      </c>
      <c r="J92" t="n">
        <v>32.17748393876708</v>
      </c>
      <c r="K92" t="n">
        <v>33.31990294601184</v>
      </c>
      <c r="L92" t="n">
        <v>39.29541335797166</v>
      </c>
      <c r="M92" t="n">
        <v>40.81680045474585</v>
      </c>
    </row>
    <row r="93">
      <c r="A93" s="29" t="n">
        <v>48061</v>
      </c>
      <c r="B93" t="n">
        <v>8.161645258862009</v>
      </c>
      <c r="C93" t="n">
        <v>5.847756646811344</v>
      </c>
      <c r="D93" t="n">
        <v>0.4673157931195557</v>
      </c>
      <c r="E93" t="n">
        <v>14.68855477995527</v>
      </c>
      <c r="F93" t="n">
        <v>2.864573466825327</v>
      </c>
      <c r="G93" t="n">
        <v>0.5087265014431734</v>
      </c>
      <c r="H93" t="n">
        <v>1.741763440860215</v>
      </c>
      <c r="I93" t="n">
        <v>34.2803358878769</v>
      </c>
      <c r="J93" t="n">
        <v>33.92682895801161</v>
      </c>
      <c r="K93" t="n">
        <v>35.08312539977316</v>
      </c>
      <c r="L93" t="n">
        <v>39.3265761609407</v>
      </c>
      <c r="M93" t="n">
        <v>42.21012454803747</v>
      </c>
    </row>
    <row r="94">
      <c r="A94" s="29" t="n">
        <v>48092</v>
      </c>
      <c r="B94" t="n">
        <v>6.918029331066658</v>
      </c>
      <c r="C94" t="n">
        <v>5.82171992507825</v>
      </c>
      <c r="D94" t="n">
        <v>0.4723692133087817</v>
      </c>
      <c r="E94" t="n">
        <v>15.4700550280206</v>
      </c>
      <c r="F94" t="n">
        <v>2.696572146296074</v>
      </c>
      <c r="G94" t="n">
        <v>0.5135951306639471</v>
      </c>
      <c r="H94" t="n">
        <v>2.412133333333333</v>
      </c>
      <c r="I94" t="n">
        <v>34.30447410776764</v>
      </c>
      <c r="J94" t="n">
        <v>33.94659408132951</v>
      </c>
      <c r="K94" t="n">
        <v>35.11676795760785</v>
      </c>
      <c r="L94" t="n">
        <v>39.35776396950637</v>
      </c>
      <c r="M94" t="n">
        <v>41.46261952506192</v>
      </c>
    </row>
    <row r="95">
      <c r="A95" s="29" t="n">
        <v>48122</v>
      </c>
      <c r="B95" t="n">
        <v>5.436307874895696</v>
      </c>
      <c r="C95" t="n">
        <v>5.668351859128716</v>
      </c>
      <c r="D95" t="n">
        <v>0.5608128848913779</v>
      </c>
      <c r="E95" t="n">
        <v>15.89548970777218</v>
      </c>
      <c r="F95" t="n">
        <v>2.572250718464745</v>
      </c>
      <c r="G95" t="n">
        <v>0.5184637598847208</v>
      </c>
      <c r="H95" t="n">
        <v>2.523494623655914</v>
      </c>
      <c r="I95" t="n">
        <v>33.17517142869335</v>
      </c>
      <c r="J95" t="n">
        <v>32.81291830568239</v>
      </c>
      <c r="K95" t="n">
        <v>33.99696961647753</v>
      </c>
      <c r="L95" t="n">
        <v>39.38897680434319</v>
      </c>
      <c r="M95" t="n">
        <v>40.44576175057976</v>
      </c>
    </row>
    <row r="96">
      <c r="A96" s="29" t="n">
        <v>48153</v>
      </c>
      <c r="B96" t="n">
        <v>4.645007511031529</v>
      </c>
      <c r="C96" t="n">
        <v>6.068406732208753</v>
      </c>
      <c r="D96" t="n">
        <v>0.8414942419622826</v>
      </c>
      <c r="E96" t="n">
        <v>16.23512052546222</v>
      </c>
      <c r="F96" t="n">
        <v>2.514106660763842</v>
      </c>
      <c r="G96" t="n">
        <v>0.5233323891054944</v>
      </c>
      <c r="H96" t="n">
        <v>1.881788888888889</v>
      </c>
      <c r="I96" t="n">
        <v>32.70925694942301</v>
      </c>
      <c r="J96" t="n">
        <v>32.34263072983922</v>
      </c>
      <c r="K96" t="n">
        <v>33.54055947515113</v>
      </c>
      <c r="L96" t="n">
        <v>39.40963167559494</v>
      </c>
      <c r="M96" t="n">
        <v>40.69730945337272</v>
      </c>
    </row>
    <row r="97">
      <c r="A97" s="29" t="n">
        <v>48183</v>
      </c>
      <c r="B97" t="n">
        <v>4.588742658117908</v>
      </c>
      <c r="C97" t="n">
        <v>6.274628996484306</v>
      </c>
      <c r="D97" t="n">
        <v>1.300009602316229</v>
      </c>
      <c r="E97" t="n">
        <v>16.01719753724603</v>
      </c>
      <c r="F97" t="n">
        <v>2.399606561380231</v>
      </c>
      <c r="G97" t="n">
        <v>0.5282010183262681</v>
      </c>
      <c r="H97" t="n">
        <v>1.379204301075269</v>
      </c>
      <c r="I97" t="n">
        <v>32.48759067494624</v>
      </c>
      <c r="J97" t="n">
        <v>32.11659135878961</v>
      </c>
      <c r="K97" t="n">
        <v>33.32839753861832</v>
      </c>
      <c r="L97" t="n">
        <v>39.41656782134501</v>
      </c>
      <c r="M97" t="n">
        <v>41.5753420148934</v>
      </c>
    </row>
    <row r="98">
      <c r="A98" s="29" t="n">
        <v>48214</v>
      </c>
      <c r="B98" t="n">
        <v>5.579445751982315</v>
      </c>
      <c r="C98" t="n">
        <v>6.13091390351837</v>
      </c>
      <c r="D98" t="n">
        <v>2.097910719686632</v>
      </c>
      <c r="E98" t="n">
        <v>15.40481531001708</v>
      </c>
      <c r="F98" t="n">
        <v>2.643528614566458</v>
      </c>
      <c r="G98" t="n">
        <v>0.5330696475470417</v>
      </c>
      <c r="H98" t="n">
        <v>0.9953118279569892</v>
      </c>
      <c r="I98" t="n">
        <v>33.38499577527489</v>
      </c>
      <c r="J98" t="n">
        <v>33.00962336254542</v>
      </c>
      <c r="K98" t="n">
        <v>34.23530697689092</v>
      </c>
      <c r="L98" t="n">
        <v>39.42004294921241</v>
      </c>
      <c r="M98" t="n">
        <v>43.85538703523392</v>
      </c>
    </row>
    <row r="99">
      <c r="A99" s="29" t="n">
        <v>48245</v>
      </c>
      <c r="B99" t="n">
        <v>4.573570037829584</v>
      </c>
      <c r="C99" t="n">
        <v>6.00400035631081</v>
      </c>
      <c r="D99" t="n">
        <v>1.535462510467231</v>
      </c>
      <c r="E99" t="n">
        <v>15.16644253291303</v>
      </c>
      <c r="F99" t="n">
        <v>2.598794312080328</v>
      </c>
      <c r="G99" t="n">
        <v>0.5379382767678154</v>
      </c>
      <c r="H99" t="n">
        <v>1.637940886699507</v>
      </c>
      <c r="I99" t="n">
        <v>32.0541489130683</v>
      </c>
      <c r="J99" t="n">
        <v>31.67440340376601</v>
      </c>
      <c r="K99" t="n">
        <v>32.91396445262829</v>
      </c>
      <c r="L99" t="n">
        <v>39.42351902089015</v>
      </c>
      <c r="M99" t="n">
        <v>42.27642255126781</v>
      </c>
    </row>
    <row r="100">
      <c r="A100" s="29" t="n">
        <v>48274</v>
      </c>
      <c r="B100" t="n">
        <v>4.068206450284062</v>
      </c>
      <c r="C100" t="n">
        <v>5.976087426634833</v>
      </c>
      <c r="D100" t="n">
        <v>0.8471210662602872</v>
      </c>
      <c r="E100" t="n">
        <v>14.70041434656364</v>
      </c>
      <c r="F100" t="n">
        <v>2.504301106472185</v>
      </c>
      <c r="G100" t="n">
        <v>0.5428069059885891</v>
      </c>
      <c r="H100" t="n">
        <v>2.392172043010753</v>
      </c>
      <c r="I100" t="n">
        <v>31.03110934521435</v>
      </c>
      <c r="J100" t="n">
        <v>30.64699073933921</v>
      </c>
      <c r="K100" t="n">
        <v>31.90042922271829</v>
      </c>
      <c r="L100" t="n">
        <v>39.42699603663554</v>
      </c>
      <c r="M100" t="n">
        <v>40.61426485383984</v>
      </c>
    </row>
    <row r="101">
      <c r="A101" s="29" t="n">
        <v>48305</v>
      </c>
      <c r="B101" t="n">
        <v>4.495762034023503</v>
      </c>
      <c r="C101" t="n">
        <v>5.909259139945459</v>
      </c>
      <c r="D101" t="n">
        <v>0.6610100105683691</v>
      </c>
      <c r="E101" t="n">
        <v>14.1992926518784</v>
      </c>
      <c r="F101" t="n">
        <v>2.696204812660747</v>
      </c>
      <c r="G101" t="n">
        <v>0.5476755352093626</v>
      </c>
      <c r="H101" t="n">
        <v>2.271922222222222</v>
      </c>
      <c r="I101" t="n">
        <v>30.78112640650806</v>
      </c>
      <c r="J101" t="n">
        <v>30.39263470406009</v>
      </c>
      <c r="K101" t="n">
        <v>31.65995062195595</v>
      </c>
      <c r="L101" t="n">
        <v>39.43047399670598</v>
      </c>
      <c r="M101" t="n">
        <v>40.59014066337265</v>
      </c>
    </row>
    <row r="102">
      <c r="A102" s="29" t="n">
        <v>48335</v>
      </c>
      <c r="B102" t="n">
        <v>5.792966830004294</v>
      </c>
      <c r="C102" t="n">
        <v>5.776507910798016</v>
      </c>
      <c r="D102" t="n">
        <v>0.5157778634955219</v>
      </c>
      <c r="E102" t="n">
        <v>14.63710916827362</v>
      </c>
      <c r="F102" t="n">
        <v>2.930436815745756</v>
      </c>
      <c r="G102" t="n">
        <v>0.5525441644301362</v>
      </c>
      <c r="H102" t="n">
        <v>2.179247311827957</v>
      </c>
      <c r="I102" t="n">
        <v>32.38459006457531</v>
      </c>
      <c r="J102" t="n">
        <v>31.9917252655545</v>
      </c>
      <c r="K102" t="n">
        <v>33.27291861796716</v>
      </c>
      <c r="L102" t="n">
        <v>39.43395290135895</v>
      </c>
      <c r="M102" t="n">
        <v>40.55698515942347</v>
      </c>
    </row>
    <row r="103">
      <c r="A103" s="29" t="n">
        <v>48366</v>
      </c>
      <c r="B103" t="n">
        <v>6.680486736221694</v>
      </c>
      <c r="C103" t="n">
        <v>5.840573198217045</v>
      </c>
      <c r="D103" t="n">
        <v>0.5089187195430211</v>
      </c>
      <c r="E103" t="n">
        <v>14.78827058143899</v>
      </c>
      <c r="F103" t="n">
        <v>2.873592491132675</v>
      </c>
      <c r="G103" t="n">
        <v>0.5574127936509099</v>
      </c>
      <c r="H103" t="n">
        <v>1.835466666666667</v>
      </c>
      <c r="I103" t="n">
        <v>33.08472118687101</v>
      </c>
      <c r="J103" t="n">
        <v>32.68748329127736</v>
      </c>
      <c r="K103" t="n">
        <v>33.98255407820681</v>
      </c>
      <c r="L103" t="n">
        <v>39.43743275085197</v>
      </c>
      <c r="M103" t="n">
        <v>40.58664386196308</v>
      </c>
    </row>
    <row r="104">
      <c r="A104" s="29" t="n">
        <v>48396</v>
      </c>
      <c r="B104" t="n">
        <v>7.270704077454631</v>
      </c>
      <c r="C104" t="n">
        <v>5.826177249346695</v>
      </c>
      <c r="D104" t="n">
        <v>0.4828055917790257</v>
      </c>
      <c r="E104" t="n">
        <v>14.38978393145688</v>
      </c>
      <c r="F104" t="n">
        <v>2.742261894043959</v>
      </c>
      <c r="G104" t="n">
        <v>0.5622814228716836</v>
      </c>
      <c r="H104" t="n">
        <v>1.445075268817204</v>
      </c>
      <c r="I104" t="n">
        <v>32.71908943577009</v>
      </c>
      <c r="J104" t="n">
        <v>32.3174784436036</v>
      </c>
      <c r="K104" t="n">
        <v>33.62642666504985</v>
      </c>
      <c r="L104" t="n">
        <v>39.44091354544263</v>
      </c>
      <c r="M104" t="n">
        <v>40.96230064221682</v>
      </c>
    </row>
    <row r="105">
      <c r="A105" s="29" t="n">
        <v>48427</v>
      </c>
      <c r="B105" t="n">
        <v>8.161645258862009</v>
      </c>
      <c r="C105" t="n">
        <v>5.894092293582069</v>
      </c>
      <c r="D105" t="n">
        <v>0.453296319325969</v>
      </c>
      <c r="E105" t="n">
        <v>14.77060529854541</v>
      </c>
      <c r="F105" t="n">
        <v>2.806552744003916</v>
      </c>
      <c r="G105" t="n">
        <v>0.5671500520924572</v>
      </c>
      <c r="H105" t="n">
        <v>1.741763440860215</v>
      </c>
      <c r="I105" t="n">
        <v>34.39510540727205</v>
      </c>
      <c r="J105" t="n">
        <v>33.98912131853273</v>
      </c>
      <c r="K105" t="n">
        <v>35.31194697449576</v>
      </c>
      <c r="L105" t="n">
        <v>39.44439528538862</v>
      </c>
      <c r="M105" t="n">
        <v>42.32794367248539</v>
      </c>
    </row>
    <row r="106">
      <c r="A106" s="29" t="n">
        <v>48458</v>
      </c>
      <c r="B106" t="n">
        <v>6.918029331066658</v>
      </c>
      <c r="C106" t="n">
        <v>5.867849265667964</v>
      </c>
      <c r="D106" t="n">
        <v>0.4581981369095182</v>
      </c>
      <c r="E106" t="n">
        <v>15.4700550280206</v>
      </c>
      <c r="F106" t="n">
        <v>2.641954219096749</v>
      </c>
      <c r="G106" t="n">
        <v>0.5720186813132307</v>
      </c>
      <c r="H106" t="n">
        <v>2.412133333333333</v>
      </c>
      <c r="I106" t="n">
        <v>34.34023799540805</v>
      </c>
      <c r="J106" t="n">
        <v>33.9298808100959</v>
      </c>
      <c r="K106" t="n">
        <v>35.26658390057571</v>
      </c>
      <c r="L106" t="n">
        <v>39.44787797094769</v>
      </c>
      <c r="M106" t="n">
        <v>41.55273352650324</v>
      </c>
    </row>
    <row r="107">
      <c r="A107" s="29" t="n">
        <v>48488</v>
      </c>
      <c r="B107" t="n">
        <v>5.436307874895696</v>
      </c>
      <c r="C107" t="n">
        <v>5.713265963011611</v>
      </c>
      <c r="D107" t="n">
        <v>0.5439884983446366</v>
      </c>
      <c r="E107" t="n">
        <v>15.89548970777218</v>
      </c>
      <c r="F107" t="n">
        <v>2.520150869153281</v>
      </c>
      <c r="G107" t="n">
        <v>0.5768873105340044</v>
      </c>
      <c r="H107" t="n">
        <v>2.523494623655914</v>
      </c>
      <c r="I107" t="n">
        <v>33.20958484736732</v>
      </c>
      <c r="J107" t="n">
        <v>32.79485456548234</v>
      </c>
      <c r="K107" t="n">
        <v>34.14543509047894</v>
      </c>
      <c r="L107" t="n">
        <v>39.45136160237763</v>
      </c>
      <c r="M107" t="n">
        <v>40.50814654861419</v>
      </c>
    </row>
    <row r="108">
      <c r="A108" s="29" t="n">
        <v>48519</v>
      </c>
      <c r="B108" t="n">
        <v>4.645007511031529</v>
      </c>
      <c r="C108" t="n">
        <v>6.116490735662972</v>
      </c>
      <c r="D108" t="n">
        <v>0.8162494147034141</v>
      </c>
      <c r="E108" t="n">
        <v>16.23512052546222</v>
      </c>
      <c r="F108" t="n">
        <v>2.463184494725174</v>
      </c>
      <c r="G108" t="n">
        <v>0.5817559397547781</v>
      </c>
      <c r="H108" t="n">
        <v>1.881788888888889</v>
      </c>
      <c r="I108" t="n">
        <v>32.73959751022898</v>
      </c>
      <c r="J108" t="n">
        <v>32.32049413177115</v>
      </c>
      <c r="K108" t="n">
        <v>33.68495209128455</v>
      </c>
      <c r="L108" t="n">
        <v>39.45484617993637</v>
      </c>
      <c r="M108" t="n">
        <v>40.74252395771415</v>
      </c>
    </row>
    <row r="109">
      <c r="A109" s="29" t="n">
        <v>48549</v>
      </c>
      <c r="B109" t="n">
        <v>4.588742658117908</v>
      </c>
      <c r="C109" t="n">
        <v>6.324347035444935</v>
      </c>
      <c r="D109" t="n">
        <v>1.261009314246742</v>
      </c>
      <c r="E109" t="n">
        <v>16.01719753724603</v>
      </c>
      <c r="F109" t="n">
        <v>2.351003546379683</v>
      </c>
      <c r="G109" t="n">
        <v>0.5866245689755517</v>
      </c>
      <c r="H109" t="n">
        <v>1.379204301075269</v>
      </c>
      <c r="I109" t="n">
        <v>32.50812896148611</v>
      </c>
      <c r="J109" t="n">
        <v>32.08465248645546</v>
      </c>
      <c r="K109" t="n">
        <v>33.46298788048565</v>
      </c>
      <c r="L109" t="n">
        <v>39.45833170388183</v>
      </c>
      <c r="M109" t="n">
        <v>41.61710589743022</v>
      </c>
    </row>
    <row r="110">
      <c r="A110" s="29" t="n">
        <v>48580</v>
      </c>
      <c r="B110" t="n">
        <v>5.579445751982315</v>
      </c>
      <c r="C110" t="n">
        <v>6.179493192666809</v>
      </c>
      <c r="D110" t="n">
        <v>2.034973398096033</v>
      </c>
      <c r="E110" t="n">
        <v>15.40481531001708</v>
      </c>
      <c r="F110" t="n">
        <v>2.589985061645746</v>
      </c>
      <c r="G110" t="n">
        <v>0.5914931981963253</v>
      </c>
      <c r="H110" t="n">
        <v>0.9953118279569892</v>
      </c>
      <c r="I110" t="n">
        <v>33.3755177405613</v>
      </c>
      <c r="J110" t="n">
        <v>32.9476681689578</v>
      </c>
      <c r="K110" t="n">
        <v>34.33988099750478</v>
      </c>
      <c r="L110" t="n">
        <v>39.46007624099035</v>
      </c>
      <c r="M110" t="n">
        <v>43.89542032701186</v>
      </c>
    </row>
    <row r="111">
      <c r="A111" s="29" t="n">
        <v>48611</v>
      </c>
      <c r="B111" t="n">
        <v>4.573570037829584</v>
      </c>
      <c r="C111" t="n">
        <v>6.051574025415699</v>
      </c>
      <c r="D111" t="n">
        <v>1.489398635153214</v>
      </c>
      <c r="E111" t="n">
        <v>15.16644253291303</v>
      </c>
      <c r="F111" t="n">
        <v>2.546156833517707</v>
      </c>
      <c r="G111" t="n">
        <v>0.596361827417099</v>
      </c>
      <c r="H111" t="n">
        <v>1.637940886699507</v>
      </c>
      <c r="I111" t="n">
        <v>32.06144477894585</v>
      </c>
      <c r="J111" t="n">
        <v>31.62922211076952</v>
      </c>
      <c r="K111" t="n">
        <v>33.03531237383328</v>
      </c>
      <c r="L111" t="n">
        <v>39.46182101517966</v>
      </c>
      <c r="M111" t="n">
        <v>42.31472454555733</v>
      </c>
    </row>
    <row r="112">
      <c r="A112" s="29" t="n">
        <v>48639</v>
      </c>
      <c r="B112" t="n">
        <v>4.068206450284062</v>
      </c>
      <c r="C112" t="n">
        <v>6.023439923121245</v>
      </c>
      <c r="D112" t="n">
        <v>0.8217074342724785</v>
      </c>
      <c r="E112" t="n">
        <v>14.70041434656364</v>
      </c>
      <c r="F112" t="n">
        <v>2.453577547784403</v>
      </c>
      <c r="G112" t="n">
        <v>0.6012304566378727</v>
      </c>
      <c r="H112" t="n">
        <v>2.392172043010753</v>
      </c>
      <c r="I112" t="n">
        <v>31.06074820167445</v>
      </c>
      <c r="J112" t="n">
        <v>30.62415243692529</v>
      </c>
      <c r="K112" t="n">
        <v>32.04412013450585</v>
      </c>
      <c r="L112" t="n">
        <v>39.4635660264821</v>
      </c>
      <c r="M112" t="n">
        <v>40.6508348436864</v>
      </c>
    </row>
    <row r="113">
      <c r="A113" s="29" t="n">
        <v>48670</v>
      </c>
      <c r="B113" t="n">
        <v>4.495762034023503</v>
      </c>
      <c r="C113" t="n">
        <v>5.956082111680184</v>
      </c>
      <c r="D113" t="n">
        <v>0.641179710251318</v>
      </c>
      <c r="E113" t="n">
        <v>14.1992926518784</v>
      </c>
      <c r="F113" t="n">
        <v>2.641594325648691</v>
      </c>
      <c r="G113" t="n">
        <v>0.6060990858586462</v>
      </c>
      <c r="H113" t="n">
        <v>2.271922222222222</v>
      </c>
      <c r="I113" t="n">
        <v>30.81193214156296</v>
      </c>
      <c r="J113" t="n">
        <v>30.37096328024095</v>
      </c>
      <c r="K113" t="n">
        <v>31.8048084123383</v>
      </c>
      <c r="L113" t="n">
        <v>39.46531127493</v>
      </c>
      <c r="M113" t="n">
        <v>40.62497794159667</v>
      </c>
    </row>
    <row r="114">
      <c r="A114" s="29" t="n">
        <v>48700</v>
      </c>
      <c r="B114" t="n">
        <v>5.792966830004294</v>
      </c>
      <c r="C114" t="n">
        <v>5.822279006670992</v>
      </c>
      <c r="D114" t="n">
        <v>0.5003045275906562</v>
      </c>
      <c r="E114" t="n">
        <v>14.63710916827362</v>
      </c>
      <c r="F114" t="n">
        <v>2.871082058675945</v>
      </c>
      <c r="G114" t="n">
        <v>0.6109677150794198</v>
      </c>
      <c r="H114" t="n">
        <v>2.179247311827957</v>
      </c>
      <c r="I114" t="n">
        <v>32.41395661812287</v>
      </c>
      <c r="J114" t="n">
        <v>31.96861466022805</v>
      </c>
      <c r="K114" t="n">
        <v>33.41633722684217</v>
      </c>
      <c r="L114" t="n">
        <v>39.46705676055574</v>
      </c>
      <c r="M114" t="n">
        <v>40.59008901862025</v>
      </c>
    </row>
    <row r="115">
      <c r="A115" s="29" t="n">
        <v>48731</v>
      </c>
      <c r="B115" t="n">
        <v>6.680486736221694</v>
      </c>
      <c r="C115" t="n">
        <v>5.886851925769554</v>
      </c>
      <c r="D115" t="n">
        <v>0.4936511579567305</v>
      </c>
      <c r="E115" t="n">
        <v>14.78827058143899</v>
      </c>
      <c r="F115" t="n">
        <v>2.815389091792223</v>
      </c>
      <c r="G115" t="n">
        <v>0.6158363443001935</v>
      </c>
      <c r="H115" t="n">
        <v>1.835466666666667</v>
      </c>
      <c r="I115" t="n">
        <v>33.11595250414604</v>
      </c>
      <c r="J115" t="n">
        <v>32.66623744967838</v>
      </c>
      <c r="K115" t="n">
        <v>34.1278374508093</v>
      </c>
      <c r="L115" t="n">
        <v>39.46880248339166</v>
      </c>
      <c r="M115" t="n">
        <v>40.61801359450277</v>
      </c>
    </row>
    <row r="116">
      <c r="A116" s="29" t="n">
        <v>48761</v>
      </c>
      <c r="B116" t="n">
        <v>7.270704077454631</v>
      </c>
      <c r="C116" t="n">
        <v>5.872341908267063</v>
      </c>
      <c r="D116" t="n">
        <v>0.4683214240256549</v>
      </c>
      <c r="E116" t="n">
        <v>14.38978393145688</v>
      </c>
      <c r="F116" t="n">
        <v>2.686718540347266</v>
      </c>
      <c r="G116" t="n">
        <v>0.6207049735209672</v>
      </c>
      <c r="H116" t="n">
        <v>1.445075268817204</v>
      </c>
      <c r="I116" t="n">
        <v>32.75365012388968</v>
      </c>
      <c r="J116" t="n">
        <v>32.29956197284916</v>
      </c>
      <c r="K116" t="n">
        <v>33.77503940849687</v>
      </c>
      <c r="L116" t="n">
        <v>39.47054844347013</v>
      </c>
      <c r="M116" t="n">
        <v>40.99193554024432</v>
      </c>
    </row>
    <row r="117">
      <c r="A117" s="29" t="n">
        <v>48792</v>
      </c>
      <c r="B117" t="n">
        <v>8.161645258862009</v>
      </c>
      <c r="C117" t="n">
        <v>5.940795088353529</v>
      </c>
      <c r="D117" t="n">
        <v>0.43969742974619</v>
      </c>
      <c r="E117" t="n">
        <v>14.77060529854541</v>
      </c>
      <c r="F117" t="n">
        <v>2.749707206359532</v>
      </c>
      <c r="G117" t="n">
        <v>0.6255736027417408</v>
      </c>
      <c r="H117" t="n">
        <v>1.741763440860215</v>
      </c>
      <c r="I117" t="n">
        <v>34.42978732546863</v>
      </c>
      <c r="J117" t="n">
        <v>33.97132607785528</v>
      </c>
      <c r="K117" t="n">
        <v>35.46068094801979</v>
      </c>
      <c r="L117" t="n">
        <v>39.47229464082351</v>
      </c>
      <c r="M117" t="n">
        <v>42.35584302792028</v>
      </c>
    </row>
    <row r="118">
      <c r="A118" s="29" t="n">
        <v>48823</v>
      </c>
      <c r="B118" t="n">
        <v>6.918029331066658</v>
      </c>
      <c r="C118" t="n">
        <v>5.914344119557978</v>
      </c>
      <c r="D118" t="n">
        <v>0.4444521928022327</v>
      </c>
      <c r="E118" t="n">
        <v>15.4700550280206</v>
      </c>
      <c r="F118" t="n">
        <v>2.588442554889738</v>
      </c>
      <c r="G118" t="n">
        <v>0.6304422319625144</v>
      </c>
      <c r="H118" t="n">
        <v>2.412133333333333</v>
      </c>
      <c r="I118" t="n">
        <v>34.37789879163305</v>
      </c>
      <c r="J118" t="n">
        <v>33.91506444744687</v>
      </c>
      <c r="K118" t="n">
        <v>35.41829675212816</v>
      </c>
      <c r="L118" t="n">
        <v>39.47404107548417</v>
      </c>
      <c r="M118" t="n">
        <v>41.57889663103972</v>
      </c>
    </row>
    <row r="119">
      <c r="A119" s="29" t="n">
        <v>48853</v>
      </c>
      <c r="B119" t="n">
        <v>5.436307874895696</v>
      </c>
      <c r="C119" t="n">
        <v>5.758535951069964</v>
      </c>
      <c r="D119" t="n">
        <v>0.5276688433942975</v>
      </c>
      <c r="E119" t="n">
        <v>15.89548970777218</v>
      </c>
      <c r="F119" t="n">
        <v>2.469106280232568</v>
      </c>
      <c r="G119" t="n">
        <v>0.6353108611832881</v>
      </c>
      <c r="H119" t="n">
        <v>2.523494623655914</v>
      </c>
      <c r="I119" t="n">
        <v>33.2459141422039</v>
      </c>
      <c r="J119" t="n">
        <v>32.77870670144488</v>
      </c>
      <c r="K119" t="n">
        <v>34.29581644064297</v>
      </c>
      <c r="L119" t="n">
        <v>39.4757877474845</v>
      </c>
      <c r="M119" t="n">
        <v>40.53257269372106</v>
      </c>
    </row>
    <row r="120">
      <c r="A120" s="29" t="n">
        <v>48884</v>
      </c>
      <c r="B120" t="n">
        <v>4.645007511031529</v>
      </c>
      <c r="C120" t="n">
        <v>6.164955740505237</v>
      </c>
      <c r="D120" t="n">
        <v>0.7917619322623116</v>
      </c>
      <c r="E120" t="n">
        <v>16.23512052546222</v>
      </c>
      <c r="F120" t="n">
        <v>2.413293735601152</v>
      </c>
      <c r="G120" t="n">
        <v>0.6401794904040617</v>
      </c>
      <c r="H120" t="n">
        <v>1.881788888888889</v>
      </c>
      <c r="I120" t="n">
        <v>32.7721078241554</v>
      </c>
      <c r="J120" t="n">
        <v>32.30052728682355</v>
      </c>
      <c r="K120" t="n">
        <v>33.83151446053842</v>
      </c>
      <c r="L120" t="n">
        <v>39.47753465685685</v>
      </c>
      <c r="M120" t="n">
        <v>40.76521243463463</v>
      </c>
    </row>
    <row r="121">
      <c r="A121" s="29" t="n">
        <v>48914</v>
      </c>
      <c r="B121" t="n">
        <v>4.588742658117908</v>
      </c>
      <c r="C121" t="n">
        <v>6.374459023338558</v>
      </c>
      <c r="D121" t="n">
        <v>1.22317903481934</v>
      </c>
      <c r="E121" t="n">
        <v>16.01719753724603</v>
      </c>
      <c r="F121" t="n">
        <v>2.303384964871343</v>
      </c>
      <c r="G121" t="n">
        <v>0.6450481196248353</v>
      </c>
      <c r="H121" t="n">
        <v>1.379204301075269</v>
      </c>
      <c r="I121" t="n">
        <v>32.53121563909328</v>
      </c>
      <c r="J121" t="n">
        <v>32.05526200518859</v>
      </c>
      <c r="K121" t="n">
        <v>33.60012661342026</v>
      </c>
      <c r="L121" t="n">
        <v>39.47928180363363</v>
      </c>
      <c r="M121" t="n">
        <v>41.63805599718202</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cols>
    <col width="11" customWidth="1" min="1" max="1"/>
  </cols>
  <sheetData>
    <row r="1">
      <c r="A1" t="inlineStr">
        <is>
          <t>Date</t>
        </is>
      </c>
      <c r="B1" t="inlineStr">
        <is>
          <t>LOW data-centre case</t>
        </is>
      </c>
      <c r="C1" t="inlineStr">
        <is>
          <t>BASE data-centre case</t>
        </is>
      </c>
      <c r="D1" t="inlineStr">
        <is>
          <t>HIGH data-centre case</t>
        </is>
      </c>
      <c r="E1" t="inlineStr">
        <is>
          <t>BASE before storage (memo: old definition)</t>
        </is>
      </c>
    </row>
    <row r="2">
      <c r="A2" s="29" t="n">
        <v>45292</v>
      </c>
      <c r="B2" t="n">
        <v>7.177485161290321</v>
      </c>
      <c r="C2" t="n">
        <v>7.177485161290321</v>
      </c>
      <c r="D2" t="n">
        <v>7.177485161290321</v>
      </c>
      <c r="E2" t="n">
        <v>4.140807741935483</v>
      </c>
    </row>
    <row r="3">
      <c r="A3" s="29" t="n">
        <v>45323</v>
      </c>
      <c r="B3" t="n">
        <v>8.115016551724134</v>
      </c>
      <c r="C3" t="n">
        <v>8.115016551724134</v>
      </c>
      <c r="D3" t="n">
        <v>8.115016551724134</v>
      </c>
      <c r="E3" t="n">
        <v>8.521878620689652</v>
      </c>
    </row>
    <row r="4">
      <c r="A4" s="29" t="n">
        <v>45352</v>
      </c>
      <c r="B4" t="n">
        <v>8.269188387096774</v>
      </c>
      <c r="C4" t="n">
        <v>8.269188387096774</v>
      </c>
      <c r="D4" t="n">
        <v>8.269188387096774</v>
      </c>
      <c r="E4" t="n">
        <v>9.454575483870968</v>
      </c>
    </row>
    <row r="5">
      <c r="A5" s="29" t="n">
        <v>45383</v>
      </c>
      <c r="B5" t="n">
        <v>9.563271666666664</v>
      </c>
      <c r="C5" t="n">
        <v>9.563271666666664</v>
      </c>
      <c r="D5" t="n">
        <v>9.563271666666664</v>
      </c>
      <c r="E5" t="n">
        <v>10.541805</v>
      </c>
    </row>
    <row r="6">
      <c r="A6" s="29" t="n">
        <v>45413</v>
      </c>
      <c r="B6" t="n">
        <v>7.633640645161293</v>
      </c>
      <c r="C6" t="n">
        <v>7.633640645161293</v>
      </c>
      <c r="D6" t="n">
        <v>7.633640645161293</v>
      </c>
      <c r="E6" t="n">
        <v>8.29567290322581</v>
      </c>
    </row>
    <row r="7">
      <c r="A7" s="29" t="n">
        <v>45444</v>
      </c>
      <c r="B7" t="n">
        <v>6.697791666666669</v>
      </c>
      <c r="C7" t="n">
        <v>6.697791666666669</v>
      </c>
      <c r="D7" t="n">
        <v>6.697791666666669</v>
      </c>
      <c r="E7" t="n">
        <v>6.917958333333335</v>
      </c>
    </row>
    <row r="8">
      <c r="A8" s="29" t="n">
        <v>45474</v>
      </c>
      <c r="B8" t="n">
        <v>8.801400322580648</v>
      </c>
      <c r="C8" t="n">
        <v>8.801400322580648</v>
      </c>
      <c r="D8" t="n">
        <v>8.801400322580648</v>
      </c>
      <c r="E8" t="n">
        <v>8.266529354838713</v>
      </c>
    </row>
    <row r="9">
      <c r="A9" s="29" t="n">
        <v>45505</v>
      </c>
      <c r="B9" t="n">
        <v>7.272399999999998</v>
      </c>
      <c r="C9" t="n">
        <v>7.272399999999998</v>
      </c>
      <c r="D9" t="n">
        <v>7.272399999999998</v>
      </c>
      <c r="E9" t="n">
        <v>5.672980645161289</v>
      </c>
    </row>
    <row r="10">
      <c r="A10" s="29" t="n">
        <v>45536</v>
      </c>
      <c r="B10" t="n">
        <v>7.179467333333333</v>
      </c>
      <c r="C10" t="n">
        <v>7.179467333333333</v>
      </c>
      <c r="D10" t="n">
        <v>7.179467333333333</v>
      </c>
      <c r="E10" t="n">
        <v>7.475400666666669</v>
      </c>
    </row>
    <row r="11">
      <c r="A11" s="29" t="n">
        <v>45566</v>
      </c>
      <c r="B11" t="n">
        <v>7.211064838709678</v>
      </c>
      <c r="C11" t="n">
        <v>7.211064838709678</v>
      </c>
      <c r="D11" t="n">
        <v>7.211064838709678</v>
      </c>
      <c r="E11" t="n">
        <v>9.006645483870969</v>
      </c>
    </row>
    <row r="12">
      <c r="A12" s="29" t="n">
        <v>45597</v>
      </c>
      <c r="B12" t="n">
        <v>9.133436666666661</v>
      </c>
      <c r="C12" t="n">
        <v>9.133436666666661</v>
      </c>
      <c r="D12" t="n">
        <v>9.133436666666661</v>
      </c>
      <c r="E12" t="n">
        <v>9.693369999999994</v>
      </c>
    </row>
    <row r="13">
      <c r="A13" s="29" t="n">
        <v>45627</v>
      </c>
      <c r="B13" t="n">
        <v>9.182682258064514</v>
      </c>
      <c r="C13" t="n">
        <v>9.182682258064514</v>
      </c>
      <c r="D13" t="n">
        <v>9.182682258064514</v>
      </c>
      <c r="E13" t="n">
        <v>8.757649999999998</v>
      </c>
    </row>
    <row r="14">
      <c r="A14" s="29" t="n">
        <v>45658</v>
      </c>
      <c r="B14" t="n">
        <v>9.774462926553834</v>
      </c>
      <c r="C14" t="n">
        <v>9.774462926553834</v>
      </c>
      <c r="D14" t="n">
        <v>9.774462926553834</v>
      </c>
      <c r="E14" t="n">
        <v>6.127527442682869</v>
      </c>
    </row>
    <row r="15">
      <c r="A15" s="29" t="n">
        <v>45689</v>
      </c>
      <c r="B15" t="n">
        <v>9.51019462074216</v>
      </c>
      <c r="C15" t="n">
        <v>9.51019462074216</v>
      </c>
      <c r="D15" t="n">
        <v>9.51019462074216</v>
      </c>
      <c r="E15" t="n">
        <v>6.740801763599304</v>
      </c>
    </row>
    <row r="16">
      <c r="A16" s="29" t="n">
        <v>45717</v>
      </c>
      <c r="B16" t="n">
        <v>9.142732398272791</v>
      </c>
      <c r="C16" t="n">
        <v>9.142732398272791</v>
      </c>
      <c r="D16" t="n">
        <v>9.142732398272791</v>
      </c>
      <c r="E16" t="n">
        <v>10.55711949504698</v>
      </c>
    </row>
    <row r="17">
      <c r="A17" s="29" t="n">
        <v>45748</v>
      </c>
      <c r="B17" t="n">
        <v>8.403937588501389</v>
      </c>
      <c r="C17" t="n">
        <v>8.403937588501389</v>
      </c>
      <c r="D17" t="n">
        <v>8.403937588501389</v>
      </c>
      <c r="E17" t="n">
        <v>9.805337588501391</v>
      </c>
    </row>
    <row r="18">
      <c r="A18" s="29" t="n">
        <v>45778</v>
      </c>
      <c r="B18" t="n">
        <v>6.829930772398939</v>
      </c>
      <c r="C18" t="n">
        <v>6.829930772398939</v>
      </c>
      <c r="D18" t="n">
        <v>6.829930772398939</v>
      </c>
      <c r="E18" t="n">
        <v>8.428575933689263</v>
      </c>
    </row>
    <row r="19">
      <c r="A19" s="29" t="n">
        <v>45809</v>
      </c>
      <c r="B19" t="n">
        <v>6.91370746552894</v>
      </c>
      <c r="C19" t="n">
        <v>6.91370746552894</v>
      </c>
      <c r="D19" t="n">
        <v>6.91370746552894</v>
      </c>
      <c r="E19" t="n">
        <v>8.128174132195607</v>
      </c>
    </row>
    <row r="20">
      <c r="A20" s="29" t="n">
        <v>45839</v>
      </c>
      <c r="B20" t="n">
        <v>8.180148360112124</v>
      </c>
      <c r="C20" t="n">
        <v>8.180148360112124</v>
      </c>
      <c r="D20" t="n">
        <v>8.180148360112124</v>
      </c>
      <c r="E20" t="n">
        <v>8.405535456886316</v>
      </c>
    </row>
    <row r="21">
      <c r="A21" s="29" t="n">
        <v>45870</v>
      </c>
      <c r="B21" t="n">
        <v>8.246182275747056</v>
      </c>
      <c r="C21" t="n">
        <v>8.246182275747056</v>
      </c>
      <c r="D21" t="n">
        <v>8.246182275747056</v>
      </c>
      <c r="E21" t="n">
        <v>7.834150017682539</v>
      </c>
    </row>
    <row r="22">
      <c r="A22" s="29" t="n">
        <v>45901</v>
      </c>
      <c r="B22" t="n">
        <v>8.310402587254451</v>
      </c>
      <c r="C22" t="n">
        <v>8.310402587254451</v>
      </c>
      <c r="D22" t="n">
        <v>8.310402587254451</v>
      </c>
      <c r="E22" t="n">
        <v>8.700235920587783</v>
      </c>
    </row>
    <row r="23">
      <c r="A23" s="29" t="n">
        <v>45931</v>
      </c>
      <c r="B23" t="n">
        <v>8.456295391165634</v>
      </c>
      <c r="C23" t="n">
        <v>8.456295391165634</v>
      </c>
      <c r="D23" t="n">
        <v>8.456295391165634</v>
      </c>
      <c r="E23" t="n">
        <v>9.513069584714021</v>
      </c>
    </row>
    <row r="24">
      <c r="A24" s="29" t="n">
        <v>45962</v>
      </c>
      <c r="B24" t="n">
        <v>9.146541736868853</v>
      </c>
      <c r="C24" t="n">
        <v>9.146541736868853</v>
      </c>
      <c r="D24" t="n">
        <v>9.146541736868853</v>
      </c>
      <c r="E24" t="n">
        <v>10.00037507020219</v>
      </c>
    </row>
    <row r="25">
      <c r="A25" s="29" t="n">
        <v>45992</v>
      </c>
      <c r="B25" t="n">
        <v>11.05273942116519</v>
      </c>
      <c r="C25" t="n">
        <v>11.05273942116519</v>
      </c>
      <c r="D25" t="n">
        <v>11.05273942116519</v>
      </c>
      <c r="E25" t="n">
        <v>9.228223292132931</v>
      </c>
    </row>
    <row r="26">
      <c r="A26" s="29" t="n">
        <v>46023</v>
      </c>
      <c r="B26" t="n">
        <v>10.97176958452595</v>
      </c>
      <c r="C26" t="n">
        <v>10.97176958452595</v>
      </c>
      <c r="D26" t="n">
        <v>10.97176958452595</v>
      </c>
      <c r="E26" t="n">
        <v>7.335285713558207</v>
      </c>
    </row>
    <row r="27">
      <c r="A27" s="29" t="n">
        <v>46054</v>
      </c>
      <c r="B27" t="n">
        <v>10.55851542007055</v>
      </c>
      <c r="C27" t="n">
        <v>10.55851542007055</v>
      </c>
      <c r="D27" t="n">
        <v>10.55851542007055</v>
      </c>
      <c r="E27" t="n">
        <v>9.276158277213405</v>
      </c>
    </row>
    <row r="28">
      <c r="A28" s="29" t="n">
        <v>46082</v>
      </c>
      <c r="B28" t="n">
        <v>9.565601033757488</v>
      </c>
      <c r="C28" t="n">
        <v>9.565601033757488</v>
      </c>
      <c r="D28" t="n">
        <v>9.565601033757488</v>
      </c>
      <c r="E28" t="n">
        <v>10.58053651762846</v>
      </c>
    </row>
    <row r="29">
      <c r="A29" s="29" t="n">
        <v>46113</v>
      </c>
      <c r="B29" t="n">
        <v>9.343715796644739</v>
      </c>
      <c r="C29" t="n">
        <v>9.343715796644739</v>
      </c>
      <c r="D29" t="n">
        <v>9.343715796644739</v>
      </c>
      <c r="E29" t="n">
        <v>10.30054912997807</v>
      </c>
    </row>
    <row r="30">
      <c r="A30" s="29" t="n">
        <v>46143</v>
      </c>
      <c r="B30" t="n">
        <v>8.573432493189625</v>
      </c>
      <c r="C30" t="n">
        <v>8.573432493189625</v>
      </c>
      <c r="D30" t="n">
        <v>8.573432493189625</v>
      </c>
      <c r="E30" t="n">
        <v>9.481400235125108</v>
      </c>
    </row>
    <row r="31">
      <c r="A31" s="29" t="n">
        <v>46174</v>
      </c>
      <c r="B31" t="n">
        <v>7.781989173459427</v>
      </c>
      <c r="C31" t="n">
        <v>7.781989173459427</v>
      </c>
      <c r="D31" t="n">
        <v>7.781989173459427</v>
      </c>
      <c r="E31" t="n">
        <v>8.406122506792759</v>
      </c>
    </row>
    <row r="32">
      <c r="A32" s="29" t="n">
        <v>46204</v>
      </c>
      <c r="B32" t="n">
        <v>8.696623776211011</v>
      </c>
      <c r="C32" t="n">
        <v>8.696623776211011</v>
      </c>
      <c r="D32" t="n">
        <v>8.696623776211011</v>
      </c>
      <c r="E32" t="n">
        <v>8.777172163307782</v>
      </c>
    </row>
    <row r="33">
      <c r="A33" s="29" t="n">
        <v>46235</v>
      </c>
      <c r="B33" t="n">
        <v>8.96698939511829</v>
      </c>
      <c r="C33" t="n">
        <v>8.960979543094087</v>
      </c>
      <c r="D33" t="n">
        <v>8.947267188219662</v>
      </c>
      <c r="E33" t="n">
        <v>7.819194596857528</v>
      </c>
    </row>
    <row r="34">
      <c r="A34" s="29" t="n">
        <v>46266</v>
      </c>
      <c r="B34" t="n">
        <v>8.701666976339666</v>
      </c>
      <c r="C34" t="n">
        <v>8.689647272291268</v>
      </c>
      <c r="D34" t="n">
        <v>8.662222562542414</v>
      </c>
      <c r="E34" t="n">
        <v>8.996925050069045</v>
      </c>
    </row>
    <row r="35">
      <c r="A35" s="29" t="n">
        <v>46296</v>
      </c>
      <c r="B35" t="n">
        <v>9.233506765088354</v>
      </c>
      <c r="C35" t="n">
        <v>9.215477209015752</v>
      </c>
      <c r="D35" t="n">
        <v>9.17434014439247</v>
      </c>
      <c r="E35" t="n">
        <v>10.6821868864351</v>
      </c>
    </row>
    <row r="36">
      <c r="A36" s="29" t="n">
        <v>46327</v>
      </c>
      <c r="B36" t="n">
        <v>10.1983924786925</v>
      </c>
      <c r="C36" t="n">
        <v>10.1743530705957</v>
      </c>
      <c r="D36" t="n">
        <v>10.119503651098</v>
      </c>
      <c r="E36" t="n">
        <v>10.76846418170681</v>
      </c>
    </row>
    <row r="37">
      <c r="A37" s="29" t="n">
        <v>46357</v>
      </c>
      <c r="B37" t="n">
        <v>11.11434575434223</v>
      </c>
      <c r="C37" t="n">
        <v>11.08429649422123</v>
      </c>
      <c r="D37" t="n">
        <v>11.0157347198491</v>
      </c>
      <c r="E37" t="n">
        <v>10.30472660174811</v>
      </c>
    </row>
    <row r="38">
      <c r="A38" s="29" t="n">
        <v>46388</v>
      </c>
      <c r="B38" t="n">
        <v>11.42679642819728</v>
      </c>
      <c r="C38" t="n">
        <v>11.39073731605208</v>
      </c>
      <c r="D38" t="n">
        <v>11.30846318680552</v>
      </c>
      <c r="E38" t="n">
        <v>7.950705057987562</v>
      </c>
    </row>
    <row r="39">
      <c r="A39" s="29" t="n">
        <v>46419</v>
      </c>
      <c r="B39" t="n">
        <v>11.85734220385974</v>
      </c>
      <c r="C39" t="n">
        <v>11.81527323969034</v>
      </c>
      <c r="D39" t="n">
        <v>11.71928675556935</v>
      </c>
      <c r="E39" t="n">
        <v>10.60031059601218</v>
      </c>
    </row>
    <row r="40">
      <c r="A40" s="29" t="n">
        <v>46447</v>
      </c>
      <c r="B40" t="n">
        <v>11.03380773061122</v>
      </c>
      <c r="C40" t="n">
        <v>10.98572891441762</v>
      </c>
      <c r="D40" t="n">
        <v>10.87603007542221</v>
      </c>
      <c r="E40" t="n">
        <v>12.19063214022408</v>
      </c>
    </row>
    <row r="41">
      <c r="A41" s="29" t="n">
        <v>46478</v>
      </c>
      <c r="B41" t="n">
        <v>10.88611549598893</v>
      </c>
      <c r="C41" t="n">
        <v>10.83202682777113</v>
      </c>
      <c r="D41" t="n">
        <v>10.70861563390129</v>
      </c>
      <c r="E41" t="n">
        <v>11.94428238332668</v>
      </c>
    </row>
    <row r="42">
      <c r="A42" s="29" t="n">
        <v>46508</v>
      </c>
      <c r="B42" t="n">
        <v>9.424912730954421</v>
      </c>
      <c r="C42" t="n">
        <v>9.364814210712421</v>
      </c>
      <c r="D42" t="n">
        <v>9.227690661968154</v>
      </c>
      <c r="E42" t="n">
        <v>10.42102926447586</v>
      </c>
    </row>
    <row r="43">
      <c r="A43" s="29" t="n">
        <v>46539</v>
      </c>
      <c r="B43" t="n">
        <v>8.802269244875093</v>
      </c>
      <c r="C43" t="n">
        <v>8.736160872608894</v>
      </c>
      <c r="D43" t="n">
        <v>8.585324968990195</v>
      </c>
      <c r="E43" t="n">
        <v>9.422416428164446</v>
      </c>
    </row>
    <row r="44">
      <c r="A44" s="29" t="n">
        <v>46569</v>
      </c>
      <c r="B44" t="n">
        <v>9.215569764414512</v>
      </c>
      <c r="C44" t="n">
        <v>9.143451540124113</v>
      </c>
      <c r="D44" t="n">
        <v>8.978903281630989</v>
      </c>
      <c r="E44" t="n">
        <v>9.067139712167126</v>
      </c>
    </row>
    <row r="45">
      <c r="A45" s="29" t="n">
        <v>46600</v>
      </c>
      <c r="B45" t="n">
        <v>9.010759207120024</v>
      </c>
      <c r="C45" t="n">
        <v>8.932631130805422</v>
      </c>
      <c r="D45" t="n">
        <v>8.754370517437874</v>
      </c>
      <c r="E45" t="n">
        <v>7.790846184568863</v>
      </c>
    </row>
    <row r="46">
      <c r="A46" s="29" t="n">
        <v>46631</v>
      </c>
      <c r="B46" t="n">
        <v>8.542080288119436</v>
      </c>
      <c r="C46" t="n">
        <v>8.457942359780638</v>
      </c>
      <c r="D46" t="n">
        <v>8.265969391538658</v>
      </c>
      <c r="E46" t="n">
        <v>8.765220137558419</v>
      </c>
    </row>
    <row r="47">
      <c r="A47" s="29" t="n">
        <v>46661</v>
      </c>
      <c r="B47" t="n">
        <v>8.582803372997031</v>
      </c>
      <c r="C47" t="n">
        <v>8.49265559263403</v>
      </c>
      <c r="D47" t="n">
        <v>8.286970269517624</v>
      </c>
      <c r="E47" t="n">
        <v>9.959365270053382</v>
      </c>
    </row>
    <row r="48">
      <c r="A48" s="29" t="n">
        <v>46692</v>
      </c>
      <c r="B48" t="n">
        <v>9.206728236556028</v>
      </c>
      <c r="C48" t="n">
        <v>9.110570604168828</v>
      </c>
      <c r="D48" t="n">
        <v>8.891172926177997</v>
      </c>
      <c r="E48" t="n">
        <v>9.704681715279936</v>
      </c>
    </row>
    <row r="49">
      <c r="A49" s="29" t="n">
        <v>46722</v>
      </c>
      <c r="B49" t="n">
        <v>10.10272899539369</v>
      </c>
      <c r="C49" t="n">
        <v>10.00056151098229</v>
      </c>
      <c r="D49" t="n">
        <v>9.767451478117035</v>
      </c>
      <c r="E49" t="n">
        <v>9.220991618509174</v>
      </c>
    </row>
    <row r="50">
      <c r="A50" s="29" t="n">
        <v>46753</v>
      </c>
      <c r="B50" t="n">
        <v>10.43028900627111</v>
      </c>
      <c r="C50" t="n">
        <v>10.32211166983551</v>
      </c>
      <c r="D50" t="n">
        <v>10.07528928209582</v>
      </c>
      <c r="E50" t="n">
        <v>6.882079411770988</v>
      </c>
    </row>
    <row r="51">
      <c r="A51" s="29" t="n">
        <v>46784</v>
      </c>
      <c r="B51" t="n">
        <v>10.7559596382321</v>
      </c>
      <c r="C51" t="n">
        <v>10.6417724497723</v>
      </c>
      <c r="D51" t="n">
        <v>10.38123770715819</v>
      </c>
      <c r="E51" t="n">
        <v>9.426809806094141</v>
      </c>
    </row>
    <row r="52">
      <c r="A52" s="29" t="n">
        <v>46813</v>
      </c>
      <c r="B52" t="n">
        <v>10.02063284897581</v>
      </c>
      <c r="C52" t="n">
        <v>9.900435808491807</v>
      </c>
      <c r="D52" t="n">
        <v>9.626188711003266</v>
      </c>
      <c r="E52" t="n">
        <v>11.10533903429826</v>
      </c>
    </row>
    <row r="53">
      <c r="A53" s="29" t="n">
        <v>46844</v>
      </c>
      <c r="B53" t="n">
        <v>10.07349220737101</v>
      </c>
      <c r="C53" t="n">
        <v>9.94728531486281</v>
      </c>
      <c r="D53" t="n">
        <v>9.659325862499845</v>
      </c>
      <c r="E53" t="n">
        <v>11.05954087041837</v>
      </c>
    </row>
    <row r="54">
      <c r="A54" s="29" t="n">
        <v>46874</v>
      </c>
      <c r="B54" t="n">
        <v>8.560511179389092</v>
      </c>
      <c r="C54" t="n">
        <v>8.428294434856689</v>
      </c>
      <c r="D54" t="n">
        <v>8.126622627619298</v>
      </c>
      <c r="E54" t="n">
        <v>9.484509488620127</v>
      </c>
    </row>
    <row r="55">
      <c r="A55" s="29" t="n">
        <v>46905</v>
      </c>
      <c r="B55" t="n">
        <v>7.886891063567445</v>
      </c>
      <c r="C55" t="n">
        <v>7.748664467010846</v>
      </c>
      <c r="D55" t="n">
        <v>7.433280304899023</v>
      </c>
      <c r="E55" t="n">
        <v>8.434920022566399</v>
      </c>
    </row>
    <row r="56">
      <c r="A56" s="29" t="n">
        <v>46935</v>
      </c>
      <c r="B56" t="n">
        <v>8.48514625697222</v>
      </c>
      <c r="C56" t="n">
        <v>8.340909808391418</v>
      </c>
      <c r="D56" t="n">
        <v>8.01181329140517</v>
      </c>
      <c r="E56" t="n">
        <v>8.264597980434431</v>
      </c>
    </row>
    <row r="57">
      <c r="A57" s="29" t="n">
        <v>46966</v>
      </c>
      <c r="B57" t="n">
        <v>8.312067323103079</v>
      </c>
      <c r="C57" t="n">
        <v>8.161821022498078</v>
      </c>
      <c r="D57" t="n">
        <v>7.819012150637406</v>
      </c>
      <c r="E57" t="n">
        <v>7.020036076261519</v>
      </c>
    </row>
    <row r="58">
      <c r="A58" s="29" t="n">
        <v>46997</v>
      </c>
      <c r="B58" t="n">
        <v>7.733801339827416</v>
      </c>
      <c r="C58" t="n">
        <v>7.577545187198215</v>
      </c>
      <c r="D58" t="n">
        <v>7.221023960463111</v>
      </c>
      <c r="E58" t="n">
        <v>7.884822964975996</v>
      </c>
    </row>
    <row r="59">
      <c r="A59" s="29" t="n">
        <v>47027</v>
      </c>
      <c r="B59" t="n">
        <v>7.892132915877202</v>
      </c>
      <c r="C59" t="n">
        <v>7.729866911223802</v>
      </c>
      <c r="D59" t="n">
        <v>7.359633329614272</v>
      </c>
      <c r="E59" t="n">
        <v>9.196576588643154</v>
      </c>
    </row>
    <row r="60">
      <c r="A60" s="29" t="n">
        <v>47058</v>
      </c>
      <c r="B60" t="n">
        <v>8.762145558863452</v>
      </c>
      <c r="C60" t="n">
        <v>8.593869702185849</v>
      </c>
      <c r="D60" t="n">
        <v>8.209923765701895</v>
      </c>
      <c r="E60" t="n">
        <v>9.187980813296956</v>
      </c>
    </row>
    <row r="61">
      <c r="A61" s="29" t="n">
        <v>47088</v>
      </c>
      <c r="B61" t="n">
        <v>9.891256156951272</v>
      </c>
      <c r="C61" t="n">
        <v>9.716970448249473</v>
      </c>
      <c r="D61" t="n">
        <v>9.31931215689109</v>
      </c>
      <c r="E61" t="n">
        <v>8.937400555776353</v>
      </c>
    </row>
    <row r="62">
      <c r="A62" s="29" t="n">
        <v>47119</v>
      </c>
      <c r="B62" t="n">
        <v>11.05543690378457</v>
      </c>
      <c r="C62" t="n">
        <v>10.87514134305857</v>
      </c>
      <c r="D62" t="n">
        <v>10.46377069682576</v>
      </c>
      <c r="E62" t="n">
        <v>7.435109084994053</v>
      </c>
    </row>
    <row r="63">
      <c r="A63" s="29" t="n">
        <v>47150</v>
      </c>
      <c r="B63" t="n">
        <v>10.84893439382053</v>
      </c>
      <c r="C63" t="n">
        <v>10.66262898107033</v>
      </c>
      <c r="D63" t="n">
        <v>10.23754597996309</v>
      </c>
      <c r="E63" t="n">
        <v>9.447666337392171</v>
      </c>
    </row>
    <row r="64">
      <c r="A64" s="29" t="n">
        <v>47178</v>
      </c>
      <c r="B64" t="n">
        <v>10.23410172866912</v>
      </c>
      <c r="C64" t="n">
        <v>10.04178646389472</v>
      </c>
      <c r="D64" t="n">
        <v>9.602991107913052</v>
      </c>
      <c r="E64" t="n">
        <v>11.24668968970117</v>
      </c>
    </row>
    <row r="65">
      <c r="A65" s="29" t="n">
        <v>47209</v>
      </c>
      <c r="B65" t="n">
        <v>10.49592896448627</v>
      </c>
      <c r="C65" t="n">
        <v>10.29760384768768</v>
      </c>
      <c r="D65" t="n">
        <v>9.845096136831586</v>
      </c>
      <c r="E65" t="n">
        <v>11.40985940324323</v>
      </c>
    </row>
    <row r="66">
      <c r="A66" s="29" t="n">
        <v>47239</v>
      </c>
      <c r="B66" t="n">
        <v>9.04364486704501</v>
      </c>
      <c r="C66" t="n">
        <v>8.839309898222208</v>
      </c>
      <c r="D66" t="n">
        <v>8.373089832491694</v>
      </c>
      <c r="E66" t="n">
        <v>9.895524951985646</v>
      </c>
    </row>
    <row r="67">
      <c r="A67" s="29" t="n">
        <v>47270</v>
      </c>
      <c r="B67" t="n">
        <v>8.520003433667037</v>
      </c>
      <c r="C67" t="n">
        <v>8.309658612820035</v>
      </c>
      <c r="D67" t="n">
        <v>7.829726192215089</v>
      </c>
      <c r="E67" t="n">
        <v>8.995914168375588</v>
      </c>
    </row>
    <row r="68">
      <c r="A68" s="29" t="n">
        <v>47300</v>
      </c>
      <c r="B68" t="n">
        <v>9.321816327900232</v>
      </c>
      <c r="C68" t="n">
        <v>9.10546165502903</v>
      </c>
      <c r="D68" t="n">
        <v>8.611816879549659</v>
      </c>
      <c r="E68" t="n">
        <v>9.029149827072043</v>
      </c>
    </row>
    <row r="69">
      <c r="A69" s="29" t="n">
        <v>47331</v>
      </c>
      <c r="B69" t="n">
        <v>9.191793404801718</v>
      </c>
      <c r="C69" t="n">
        <v>8.969428879906314</v>
      </c>
      <c r="D69" t="n">
        <v>8.462071749552518</v>
      </c>
      <c r="E69" t="n">
        <v>7.827643933669755</v>
      </c>
    </row>
    <row r="70">
      <c r="A70" s="29" t="n">
        <v>47362</v>
      </c>
      <c r="B70" t="n">
        <v>8.714152266811489</v>
      </c>
      <c r="C70" t="n">
        <v>8.485777889891889</v>
      </c>
      <c r="D70" t="n">
        <v>7.964708404663664</v>
      </c>
      <c r="E70" t="n">
        <v>8.79305566766967</v>
      </c>
    </row>
    <row r="71">
      <c r="A71" s="29" t="n">
        <v>47392</v>
      </c>
      <c r="B71" t="n">
        <v>8.984276816657914</v>
      </c>
      <c r="C71" t="n">
        <v>8.749892587714111</v>
      </c>
      <c r="D71" t="n">
        <v>8.215110747611458</v>
      </c>
      <c r="E71" t="n">
        <v>10.21660226513346</v>
      </c>
    </row>
    <row r="72">
      <c r="A72" s="29" t="n">
        <v>47423</v>
      </c>
      <c r="B72" t="n">
        <v>9.849912355612211</v>
      </c>
      <c r="C72" t="n">
        <v>9.609518274644213</v>
      </c>
      <c r="D72" t="n">
        <v>9.061024079667131</v>
      </c>
      <c r="E72" t="n">
        <v>10.20362938575532</v>
      </c>
    </row>
    <row r="73">
      <c r="A73" s="29" t="n">
        <v>47453</v>
      </c>
      <c r="B73" t="n">
        <v>11.00731539749643</v>
      </c>
      <c r="C73" t="n">
        <v>10.76091146450423</v>
      </c>
      <c r="D73" t="n">
        <v>10.19870491465272</v>
      </c>
      <c r="E73" t="n">
        <v>9.981341572031109</v>
      </c>
    </row>
    <row r="74">
      <c r="A74" s="29" t="n">
        <v>47484</v>
      </c>
      <c r="B74" t="n">
        <v>12.28464173470613</v>
      </c>
      <c r="C74" t="n">
        <v>12.03222794968973</v>
      </c>
      <c r="D74" t="n">
        <v>11.4563090449638</v>
      </c>
      <c r="E74" t="n">
        <v>8.592195691625221</v>
      </c>
    </row>
    <row r="75">
      <c r="A75" s="29" t="n">
        <v>47515</v>
      </c>
      <c r="B75" t="n">
        <v>12.09126686172442</v>
      </c>
      <c r="C75" t="n">
        <v>11.83284322468382</v>
      </c>
      <c r="D75" t="n">
        <v>11.24321196508345</v>
      </c>
      <c r="E75" t="n">
        <v>10.61788058100566</v>
      </c>
    </row>
    <row r="76">
      <c r="A76" s="29" t="n">
        <v>47543</v>
      </c>
      <c r="B76" t="n">
        <v>11.48066804531359</v>
      </c>
      <c r="C76" t="n">
        <v>11.21623455624879</v>
      </c>
      <c r="D76" t="n">
        <v>10.612890941774</v>
      </c>
      <c r="E76" t="n">
        <v>12.42113778205524</v>
      </c>
    </row>
    <row r="77">
      <c r="A77" s="29" t="n">
        <v>47574</v>
      </c>
      <c r="B77" t="n">
        <v>11.6851869465247</v>
      </c>
      <c r="C77" t="n">
        <v>11.4147436054357</v>
      </c>
      <c r="D77" t="n">
        <v>10.79768763608649</v>
      </c>
      <c r="E77" t="n">
        <v>12.52699916099126</v>
      </c>
    </row>
    <row r="78">
      <c r="A78" s="29" t="n">
        <v>47604</v>
      </c>
      <c r="B78" t="n">
        <v>10.17808834539645</v>
      </c>
      <c r="C78" t="n">
        <v>9.901635152283252</v>
      </c>
      <c r="D78" t="n">
        <v>9.270866828059606</v>
      </c>
      <c r="E78" t="n">
        <v>10.95785020604669</v>
      </c>
    </row>
    <row r="79">
      <c r="A79" s="29" t="n">
        <v>47635</v>
      </c>
      <c r="B79" t="n">
        <v>9.596116224885238</v>
      </c>
      <c r="C79" t="n">
        <v>9.313653179747837</v>
      </c>
      <c r="D79" t="n">
        <v>8.669172500649767</v>
      </c>
      <c r="E79" t="n">
        <v>9.999908735303389</v>
      </c>
    </row>
    <row r="80">
      <c r="A80" s="29" t="n">
        <v>47665</v>
      </c>
      <c r="B80" t="n">
        <v>10.21779218795294</v>
      </c>
      <c r="C80" t="n">
        <v>9.929319290791343</v>
      </c>
      <c r="D80" t="n">
        <v>9.271126256818848</v>
      </c>
      <c r="E80" t="n">
        <v>9.853007462834356</v>
      </c>
    </row>
    <row r="81">
      <c r="A81" s="29" t="n">
        <v>47696</v>
      </c>
      <c r="B81" t="n">
        <v>9.945500963254073</v>
      </c>
      <c r="C81" t="n">
        <v>9.651018214068273</v>
      </c>
      <c r="D81" t="n">
        <v>8.97911282522135</v>
      </c>
      <c r="E81" t="n">
        <v>8.509233267831714</v>
      </c>
    </row>
    <row r="82">
      <c r="A82" s="29" t="n">
        <v>47727</v>
      </c>
      <c r="B82" t="n">
        <v>9.163450232470264</v>
      </c>
      <c r="C82" t="n">
        <v>8.862957631260265</v>
      </c>
      <c r="D82" t="n">
        <v>8.177339887538913</v>
      </c>
      <c r="E82" t="n">
        <v>9.170235409038046</v>
      </c>
    </row>
    <row r="83">
      <c r="A83" s="29" t="n">
        <v>47757</v>
      </c>
      <c r="B83" t="n">
        <v>9.175196964179865</v>
      </c>
      <c r="C83" t="n">
        <v>8.868694510945662</v>
      </c>
      <c r="D83" t="n">
        <v>8.169364412349886</v>
      </c>
      <c r="E83" t="n">
        <v>10.33540418836501</v>
      </c>
    </row>
    <row r="84">
      <c r="A84" s="29" t="n">
        <v>47788</v>
      </c>
      <c r="B84" t="n">
        <v>9.779760835635507</v>
      </c>
      <c r="C84" t="n">
        <v>9.467248530377105</v>
      </c>
      <c r="D84" t="n">
        <v>8.7542060769069</v>
      </c>
      <c r="E84" t="n">
        <v>10.06135964148821</v>
      </c>
    </row>
    <row r="85">
      <c r="A85" s="29" t="n">
        <v>47818</v>
      </c>
      <c r="B85" t="n">
        <v>10.70986355800098</v>
      </c>
      <c r="C85" t="n">
        <v>10.39134140071837</v>
      </c>
      <c r="D85" t="n">
        <v>9.664586592373745</v>
      </c>
      <c r="E85" t="n">
        <v>9.611771508245255</v>
      </c>
    </row>
    <row r="86">
      <c r="A86" s="29" t="n">
        <v>47849</v>
      </c>
      <c r="B86" t="n">
        <v>11.71901043656295</v>
      </c>
      <c r="C86" t="n">
        <v>11.39611518270752</v>
      </c>
      <c r="D86" t="n">
        <v>10.65985603641893</v>
      </c>
      <c r="E86" t="n">
        <v>7.956082924643006</v>
      </c>
    </row>
    <row r="87">
      <c r="A87" s="29" t="n">
        <v>47880</v>
      </c>
      <c r="B87" t="n">
        <v>11.23531665708578</v>
      </c>
      <c r="C87" t="n">
        <v>10.90804830665751</v>
      </c>
      <c r="D87" t="n">
        <v>10.16228482242497</v>
      </c>
      <c r="E87" t="n">
        <v>9.69308566297935</v>
      </c>
    </row>
    <row r="88">
      <c r="A88" s="29" t="n">
        <v>47908</v>
      </c>
      <c r="B88" t="n">
        <v>10.364192818656</v>
      </c>
      <c r="C88" t="n">
        <v>10.03255137165489</v>
      </c>
      <c r="D88" t="n">
        <v>9.277283549478394</v>
      </c>
      <c r="E88" t="n">
        <v>11.23745459746134</v>
      </c>
    </row>
    <row r="89">
      <c r="A89" s="29" t="n">
        <v>47939</v>
      </c>
      <c r="B89" t="n">
        <v>10.43049749429504</v>
      </c>
      <c r="C89" t="n">
        <v>10.0944829507211</v>
      </c>
      <c r="D89" t="n">
        <v>9.32971079060065</v>
      </c>
      <c r="E89" t="n">
        <v>11.20673850627665</v>
      </c>
    </row>
    <row r="90">
      <c r="A90" s="29" t="n">
        <v>47969</v>
      </c>
      <c r="B90" t="n">
        <v>8.664529431362112</v>
      </c>
      <c r="C90" t="n">
        <v>8.324141791215332</v>
      </c>
      <c r="D90" t="n">
        <v>7.54986529315093</v>
      </c>
      <c r="E90" t="n">
        <v>9.38035684497877</v>
      </c>
    </row>
    <row r="91">
      <c r="A91" s="29" t="n">
        <v>48000</v>
      </c>
      <c r="B91" t="n">
        <v>7.949164201647017</v>
      </c>
      <c r="C91" t="n">
        <v>7.604403464927399</v>
      </c>
      <c r="D91" t="n">
        <v>6.820622628919045</v>
      </c>
      <c r="E91" t="n">
        <v>8.290659020482952</v>
      </c>
    </row>
    <row r="92">
      <c r="A92" s="29" t="n">
        <v>48030</v>
      </c>
      <c r="B92" t="n">
        <v>8.639316515978772</v>
      </c>
      <c r="C92" t="n">
        <v>8.29018268268632</v>
      </c>
      <c r="D92" t="n">
        <v>7.49689750873401</v>
      </c>
      <c r="E92" t="n">
        <v>8.213870854729333</v>
      </c>
    </row>
    <row r="93">
      <c r="A93" s="29" t="n">
        <v>48061</v>
      </c>
      <c r="B93" t="n">
        <v>8.283295590025862</v>
      </c>
      <c r="C93" t="n">
        <v>7.929788660160579</v>
      </c>
      <c r="D93" t="n">
        <v>7.126999148264314</v>
      </c>
      <c r="E93" t="n">
        <v>6.78800371392402</v>
      </c>
    </row>
    <row r="94">
      <c r="A94" s="29" t="n">
        <v>48092</v>
      </c>
      <c r="B94" t="n">
        <v>7.516025443732403</v>
      </c>
      <c r="C94" t="n">
        <v>7.158145417294278</v>
      </c>
      <c r="D94" t="n">
        <v>6.345851567454066</v>
      </c>
      <c r="E94" t="n">
        <v>7.465423195072059</v>
      </c>
    </row>
    <row r="95">
      <c r="A95" s="29" t="n">
        <v>48122</v>
      </c>
      <c r="B95" t="n">
        <v>7.632843444897365</v>
      </c>
      <c r="C95" t="n">
        <v>7.270590321886406</v>
      </c>
      <c r="D95" t="n">
        <v>6.448792134102234</v>
      </c>
      <c r="E95" t="n">
        <v>8.737299999305758</v>
      </c>
    </row>
    <row r="96">
      <c r="A96" s="29" t="n">
        <v>48153</v>
      </c>
      <c r="B96" t="n">
        <v>8.35467872353351</v>
      </c>
      <c r="C96" t="n">
        <v>7.988052503949716</v>
      </c>
      <c r="D96" t="n">
        <v>7.156749978221593</v>
      </c>
      <c r="E96" t="n">
        <v>8.582163615060825</v>
      </c>
    </row>
    <row r="97">
      <c r="A97" s="29" t="n">
        <v>48183</v>
      </c>
      <c r="B97" t="n">
        <v>9.458750656103788</v>
      </c>
      <c r="C97" t="n">
        <v>9.087751339947157</v>
      </c>
      <c r="D97" t="n">
        <v>8.246944476275079</v>
      </c>
      <c r="E97" t="n">
        <v>8.308181447474038</v>
      </c>
    </row>
    <row r="98">
      <c r="A98" s="29" t="n">
        <v>48214</v>
      </c>
      <c r="B98" t="n">
        <v>10.8457636726885</v>
      </c>
      <c r="C98" t="n">
        <v>10.47039125995903</v>
      </c>
      <c r="D98" t="n">
        <v>9.620080058343</v>
      </c>
      <c r="E98" t="n">
        <v>7.03035900189451</v>
      </c>
    </row>
    <row r="99">
      <c r="A99" s="29" t="n">
        <v>48245</v>
      </c>
      <c r="B99" t="n">
        <v>10.6020191475018</v>
      </c>
      <c r="C99" t="n">
        <v>10.2222736381995</v>
      </c>
      <c r="D99" t="n">
        <v>9.362458098639515</v>
      </c>
      <c r="E99" t="n">
        <v>9.007310994521344</v>
      </c>
    </row>
    <row r="100">
      <c r="A100" s="29" t="n">
        <v>48274</v>
      </c>
      <c r="B100" t="n">
        <v>9.967274114500629</v>
      </c>
      <c r="C100" t="n">
        <v>9.583155508625492</v>
      </c>
      <c r="D100" t="n">
        <v>8.713835631121551</v>
      </c>
      <c r="E100" t="n">
        <v>10.78805873443195</v>
      </c>
    </row>
    <row r="101">
      <c r="A101" s="29" t="n">
        <v>48305</v>
      </c>
      <c r="B101" t="n">
        <v>10.19750595931256</v>
      </c>
      <c r="C101" t="n">
        <v>9.809014256864589</v>
      </c>
      <c r="D101" t="n">
        <v>8.930190041416694</v>
      </c>
      <c r="E101" t="n">
        <v>10.92126981242015</v>
      </c>
    </row>
    <row r="102">
      <c r="A102" s="29" t="n">
        <v>48335</v>
      </c>
      <c r="B102" t="n">
        <v>8.565259893868973</v>
      </c>
      <c r="C102" t="n">
        <v>8.172395094848167</v>
      </c>
      <c r="D102" t="n">
        <v>7.284066541456315</v>
      </c>
      <c r="E102" t="n">
        <v>9.228610148611605</v>
      </c>
    </row>
    <row r="103">
      <c r="A103" s="29" t="n">
        <v>48366</v>
      </c>
      <c r="B103" t="n">
        <v>7.899160570685725</v>
      </c>
      <c r="C103" t="n">
        <v>7.501922675092077</v>
      </c>
      <c r="D103" t="n">
        <v>6.604089783756274</v>
      </c>
      <c r="E103" t="n">
        <v>8.18817823064763</v>
      </c>
    </row>
    <row r="104">
      <c r="A104" s="29" t="n">
        <v>48396</v>
      </c>
      <c r="B104" t="n">
        <v>8.644822198613218</v>
      </c>
      <c r="C104" t="n">
        <v>8.243211206446736</v>
      </c>
      <c r="D104" t="n">
        <v>7.335873977166978</v>
      </c>
      <c r="E104" t="n">
        <v>8.166899378489749</v>
      </c>
    </row>
    <row r="105">
      <c r="A105" s="29" t="n">
        <v>48427</v>
      </c>
      <c r="B105" t="n">
        <v>8.338822353952661</v>
      </c>
      <c r="C105" t="n">
        <v>7.932838265213345</v>
      </c>
      <c r="D105" t="n">
        <v>7.015996697989632</v>
      </c>
      <c r="E105" t="n">
        <v>6.791053318976786</v>
      </c>
    </row>
    <row r="106">
      <c r="A106" s="29" t="n">
        <v>48458</v>
      </c>
      <c r="B106" t="n">
        <v>7.622852716407341</v>
      </c>
      <c r="C106" t="n">
        <v>7.212495531095186</v>
      </c>
      <c r="D106" t="n">
        <v>6.286149625927525</v>
      </c>
      <c r="E106" t="n">
        <v>7.519773308872967</v>
      </c>
    </row>
    <row r="107">
      <c r="A107" s="29" t="n">
        <v>48488</v>
      </c>
      <c r="B107" t="n">
        <v>7.713291983131857</v>
      </c>
      <c r="C107" t="n">
        <v>7.298561701246868</v>
      </c>
      <c r="D107" t="n">
        <v>6.362711458135248</v>
      </c>
      <c r="E107" t="n">
        <v>8.76527137866622</v>
      </c>
    </row>
    <row r="108">
      <c r="A108" s="29" t="n">
        <v>48519</v>
      </c>
      <c r="B108" t="n">
        <v>8.422029825942996</v>
      </c>
      <c r="C108" t="n">
        <v>8.002926447485173</v>
      </c>
      <c r="D108" t="n">
        <v>7.0575718664296</v>
      </c>
      <c r="E108" t="n">
        <v>8.597037558596281</v>
      </c>
    </row>
    <row r="109">
      <c r="A109" s="29" t="n">
        <v>48549</v>
      </c>
      <c r="B109" t="n">
        <v>9.532453410974764</v>
      </c>
      <c r="C109" t="n">
        <v>9.108976935944103</v>
      </c>
      <c r="D109" t="n">
        <v>8.154118016944572</v>
      </c>
      <c r="E109" t="n">
        <v>8.329407043470983</v>
      </c>
    </row>
    <row r="110">
      <c r="A110" s="29" t="n">
        <v>48580</v>
      </c>
      <c r="B110" t="n">
        <v>10.94775215805406</v>
      </c>
      <c r="C110" t="n">
        <v>10.51990258645056</v>
      </c>
      <c r="D110" t="n">
        <v>9.555539329507084</v>
      </c>
      <c r="E110" t="n">
        <v>7.079870328386043</v>
      </c>
    </row>
    <row r="111">
      <c r="A111" s="29" t="n">
        <v>48611</v>
      </c>
      <c r="B111" t="n">
        <v>10.68550243478781</v>
      </c>
      <c r="C111" t="n">
        <v>10.25327976661148</v>
      </c>
      <c r="D111" t="n">
        <v>9.279412171724044</v>
      </c>
      <c r="E111" t="n">
        <v>9.038317122933321</v>
      </c>
    </row>
    <row r="112">
      <c r="A112" s="29" t="n">
        <v>48639</v>
      </c>
      <c r="B112" t="n">
        <v>10.02668240676111</v>
      </c>
      <c r="C112" t="n">
        <v>9.590086642011943</v>
      </c>
      <c r="D112" t="n">
        <v>8.606714709180554</v>
      </c>
      <c r="E112" t="n">
        <v>10.7949898678184</v>
      </c>
    </row>
    <row r="113">
      <c r="A113" s="29" t="n">
        <v>48670</v>
      </c>
      <c r="B113" t="n">
        <v>10.25401466135571</v>
      </c>
      <c r="C113" t="n">
        <v>9.813045800033709</v>
      </c>
      <c r="D113" t="n">
        <v>8.820169529258365</v>
      </c>
      <c r="E113" t="n">
        <v>10.92530135558927</v>
      </c>
    </row>
    <row r="114">
      <c r="A114" s="29" t="n">
        <v>48700</v>
      </c>
      <c r="B114" t="n">
        <v>8.621474358392209</v>
      </c>
      <c r="C114" t="n">
        <v>8.176132400497373</v>
      </c>
      <c r="D114" t="n">
        <v>7.173751791778074</v>
      </c>
      <c r="E114" t="n">
        <v>9.232347454260811</v>
      </c>
    </row>
    <row r="115">
      <c r="A115" s="29" t="n">
        <v>48731</v>
      </c>
      <c r="B115" t="n">
        <v>7.951776144824391</v>
      </c>
      <c r="C115" t="n">
        <v>7.502061090356721</v>
      </c>
      <c r="D115" t="n">
        <v>6.49017614369347</v>
      </c>
      <c r="E115" t="n">
        <v>8.188316645912273</v>
      </c>
    </row>
    <row r="116">
      <c r="A116" s="29" t="n">
        <v>48761</v>
      </c>
      <c r="B116" t="n">
        <v>8.69237356739516</v>
      </c>
      <c r="C116" t="n">
        <v>8.238285416354648</v>
      </c>
      <c r="D116" t="n">
        <v>7.216896131747442</v>
      </c>
      <c r="E116" t="n">
        <v>8.161973588397661</v>
      </c>
    </row>
    <row r="117">
      <c r="A117" s="29" t="n">
        <v>48792</v>
      </c>
      <c r="B117" t="n">
        <v>8.384516950065002</v>
      </c>
      <c r="C117" t="n">
        <v>7.926055702451659</v>
      </c>
      <c r="D117" t="n">
        <v>6.895162079900498</v>
      </c>
      <c r="E117" t="n">
        <v>6.784270756215101</v>
      </c>
    </row>
    <row r="118">
      <c r="A118" s="29" t="n">
        <v>48823</v>
      </c>
      <c r="B118" t="n">
        <v>7.663832183592845</v>
      </c>
      <c r="C118" t="n">
        <v>7.200997839406664</v>
      </c>
      <c r="D118" t="n">
        <v>6.160599878911551</v>
      </c>
      <c r="E118" t="n">
        <v>7.508275617184445</v>
      </c>
    </row>
    <row r="119">
      <c r="A119" s="29" t="n">
        <v>48853</v>
      </c>
      <c r="B119" t="n">
        <v>7.753865992276172</v>
      </c>
      <c r="C119" t="n">
        <v>7.286658551517153</v>
      </c>
      <c r="D119" t="n">
        <v>6.236756253078084</v>
      </c>
      <c r="E119" t="n">
        <v>8.753368228936505</v>
      </c>
    </row>
    <row r="120">
      <c r="A120" s="29" t="n">
        <v>48884</v>
      </c>
      <c r="B120" t="n">
        <v>8.464685147811089</v>
      </c>
      <c r="C120" t="n">
        <v>7.993104610479235</v>
      </c>
      <c r="D120" t="n">
        <v>6.933697974096215</v>
      </c>
      <c r="E120" t="n">
        <v>8.587215721590344</v>
      </c>
    </row>
    <row r="121">
      <c r="A121" s="29" t="n">
        <v>48914</v>
      </c>
      <c r="B121" t="n">
        <v>9.58279399199343</v>
      </c>
      <c r="C121" t="n">
        <v>9.106840358088743</v>
      </c>
      <c r="D121" t="n">
        <v>8.037929383761764</v>
      </c>
      <c r="E121" t="n">
        <v>8.327270465615623</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85"/>
  <sheetViews>
    <sheetView workbookViewId="0">
      <selection activeCell="A1" sqref="A1"/>
    </sheetView>
  </sheetViews>
  <sheetFormatPr baseColWidth="8" defaultRowHeight="15"/>
  <cols>
    <col width="11" customWidth="1" min="1" max="1"/>
  </cols>
  <sheetData>
    <row r="1">
      <c r="A1" t="inlineStr">
        <is>
          <t>Date</t>
        </is>
      </c>
      <c r="B1" t="inlineStr">
        <is>
          <t>History</t>
        </is>
      </c>
      <c r="C1" t="inlineStr">
        <is>
          <t>Forecast - base</t>
        </is>
      </c>
      <c r="D1" t="inlineStr">
        <is>
          <t>Forecast - takeaway delayed 6 months</t>
        </is>
      </c>
    </row>
    <row r="2">
      <c r="A2" s="29" t="n">
        <v>44562</v>
      </c>
      <c r="B2" t="n">
        <v>27.34338709677419</v>
      </c>
    </row>
    <row r="3">
      <c r="A3" s="29" t="n">
        <v>44593</v>
      </c>
      <c r="B3" t="n">
        <v>28.54342857142857</v>
      </c>
    </row>
    <row r="4">
      <c r="A4" s="29" t="n">
        <v>44621</v>
      </c>
      <c r="B4" t="n">
        <v>29.1521935483871</v>
      </c>
    </row>
    <row r="5">
      <c r="A5" s="29" t="n">
        <v>44652</v>
      </c>
      <c r="B5" t="n">
        <v>29.6837</v>
      </c>
    </row>
    <row r="6">
      <c r="A6" s="29" t="n">
        <v>44682</v>
      </c>
      <c r="B6" t="n">
        <v>29.06916129032258</v>
      </c>
    </row>
    <row r="7">
      <c r="A7" s="29" t="n">
        <v>44713</v>
      </c>
      <c r="B7" t="n">
        <v>28.8727</v>
      </c>
    </row>
    <row r="8">
      <c r="A8" s="29" t="n">
        <v>44743</v>
      </c>
      <c r="B8" t="n">
        <v>28.84554838709677</v>
      </c>
    </row>
    <row r="9">
      <c r="A9" s="29" t="n">
        <v>44774</v>
      </c>
      <c r="B9" t="n">
        <v>29.41538709677419</v>
      </c>
    </row>
    <row r="10">
      <c r="A10" s="29" t="n">
        <v>44805</v>
      </c>
      <c r="B10" t="n">
        <v>30.11273333333333</v>
      </c>
    </row>
    <row r="11">
      <c r="A11" s="29" t="n">
        <v>44835</v>
      </c>
      <c r="B11" t="n">
        <v>29.7851935483871</v>
      </c>
    </row>
    <row r="12">
      <c r="A12" s="29" t="n">
        <v>44866</v>
      </c>
      <c r="B12" t="n">
        <v>29.8353</v>
      </c>
    </row>
    <row r="13">
      <c r="A13" s="29" t="n">
        <v>44896</v>
      </c>
      <c r="B13" t="n">
        <v>29.94512903225807</v>
      </c>
    </row>
    <row r="14">
      <c r="A14" s="29" t="n">
        <v>44927</v>
      </c>
      <c r="B14" t="n">
        <v>29.99625806451613</v>
      </c>
    </row>
    <row r="15">
      <c r="A15" s="29" t="n">
        <v>44958</v>
      </c>
      <c r="B15" t="n">
        <v>30.02260714285714</v>
      </c>
    </row>
    <row r="16">
      <c r="A16" s="29" t="n">
        <v>44986</v>
      </c>
      <c r="B16" t="n">
        <v>31.55867741935484</v>
      </c>
    </row>
    <row r="17">
      <c r="A17" s="29" t="n">
        <v>45017</v>
      </c>
      <c r="B17" t="n">
        <v>30.91673333333333</v>
      </c>
    </row>
    <row r="18">
      <c r="A18" s="29" t="n">
        <v>45047</v>
      </c>
      <c r="B18" t="n">
        <v>31.16616129032258</v>
      </c>
    </row>
    <row r="19">
      <c r="A19" s="29" t="n">
        <v>45078</v>
      </c>
      <c r="B19" t="n">
        <v>30.79596666666667</v>
      </c>
    </row>
    <row r="20">
      <c r="A20" s="29" t="n">
        <v>45108</v>
      </c>
      <c r="B20" t="n">
        <v>31.08687096774193</v>
      </c>
    </row>
    <row r="21">
      <c r="A21" s="29" t="n">
        <v>45139</v>
      </c>
      <c r="B21" t="n">
        <v>31.46732258064516</v>
      </c>
    </row>
    <row r="22">
      <c r="A22" s="29" t="n">
        <v>45170</v>
      </c>
      <c r="B22" t="n">
        <v>31.83276666666667</v>
      </c>
    </row>
    <row r="23">
      <c r="A23" s="29" t="n">
        <v>45200</v>
      </c>
      <c r="B23" t="n">
        <v>31.85374193548387</v>
      </c>
    </row>
    <row r="24">
      <c r="A24" s="29" t="n">
        <v>45231</v>
      </c>
      <c r="B24" t="n">
        <v>32.13006666666666</v>
      </c>
    </row>
    <row r="25">
      <c r="A25" s="29" t="n">
        <v>45261</v>
      </c>
      <c r="B25" t="n">
        <v>32.01570967741936</v>
      </c>
    </row>
    <row r="26">
      <c r="A26" s="29" t="n">
        <v>45292</v>
      </c>
      <c r="B26" t="n">
        <v>30.42906451612903</v>
      </c>
    </row>
    <row r="27">
      <c r="A27" s="29" t="n">
        <v>45323</v>
      </c>
      <c r="B27" t="n">
        <v>31.91979310344827</v>
      </c>
    </row>
    <row r="28">
      <c r="A28" s="29" t="n">
        <v>45352</v>
      </c>
      <c r="B28" t="n">
        <v>32.04229032258064</v>
      </c>
    </row>
    <row r="29">
      <c r="A29" s="29" t="n">
        <v>45383</v>
      </c>
      <c r="B29" t="n">
        <v>31.96823333333333</v>
      </c>
    </row>
    <row r="30">
      <c r="A30" s="29" t="n">
        <v>45413</v>
      </c>
      <c r="B30" t="n">
        <v>32.86045161290323</v>
      </c>
    </row>
    <row r="31">
      <c r="A31" s="29" t="n">
        <v>45444</v>
      </c>
      <c r="B31" t="n">
        <v>33.14356666666666</v>
      </c>
    </row>
    <row r="32">
      <c r="A32" s="29" t="n">
        <v>45474</v>
      </c>
      <c r="B32" t="n">
        <v>33.14932258064516</v>
      </c>
    </row>
    <row r="33">
      <c r="A33" s="29" t="n">
        <v>45505</v>
      </c>
      <c r="B33" t="n">
        <v>33.2896129032258</v>
      </c>
    </row>
    <row r="34">
      <c r="A34" s="29" t="n">
        <v>45536</v>
      </c>
      <c r="B34" t="n">
        <v>33.5967</v>
      </c>
    </row>
    <row r="35">
      <c r="A35" s="29" t="n">
        <v>45566</v>
      </c>
      <c r="B35" t="n">
        <v>33.96545161290323</v>
      </c>
    </row>
    <row r="36">
      <c r="A36" s="29" t="n">
        <v>45597</v>
      </c>
      <c r="B36" t="n">
        <v>33.69269999999999</v>
      </c>
    </row>
    <row r="37">
      <c r="A37" s="29" t="n">
        <v>45627</v>
      </c>
      <c r="B37" t="n">
        <v>34.00558064516129</v>
      </c>
    </row>
    <row r="38">
      <c r="A38" s="29" t="n">
        <v>45658</v>
      </c>
      <c r="B38" t="n">
        <v>33.77132258064516</v>
      </c>
    </row>
    <row r="39">
      <c r="A39" s="29" t="n">
        <v>45689</v>
      </c>
      <c r="B39" t="n">
        <v>33.87828571428572</v>
      </c>
    </row>
    <row r="40">
      <c r="A40" s="29" t="n">
        <v>45717</v>
      </c>
      <c r="B40" t="n">
        <v>33.98274193548387</v>
      </c>
    </row>
    <row r="41">
      <c r="A41" s="29" t="n">
        <v>45748</v>
      </c>
      <c r="B41" t="n">
        <v>34.2791</v>
      </c>
    </row>
    <row r="42">
      <c r="A42" s="29" t="n">
        <v>45778</v>
      </c>
      <c r="B42" t="n">
        <v>33.95767741935484</v>
      </c>
    </row>
    <row r="43">
      <c r="A43" s="29" t="n">
        <v>45809</v>
      </c>
      <c r="B43" t="n">
        <v>34.42446666666667</v>
      </c>
    </row>
    <row r="44">
      <c r="A44" s="29" t="n">
        <v>45839</v>
      </c>
      <c r="B44" t="n">
        <v>34.88470967741936</v>
      </c>
    </row>
    <row r="45">
      <c r="A45" s="29" t="n">
        <v>45870</v>
      </c>
      <c r="B45" t="n">
        <v>35.25983870967742</v>
      </c>
    </row>
    <row r="46">
      <c r="A46" s="29" t="n">
        <v>45901</v>
      </c>
      <c r="B46" t="n">
        <v>35.21926666666667</v>
      </c>
    </row>
    <row r="47">
      <c r="A47" s="29" t="n">
        <v>45931</v>
      </c>
      <c r="B47" t="n">
        <v>34.84435483870968</v>
      </c>
    </row>
    <row r="48">
      <c r="A48" s="29" t="n">
        <v>45962</v>
      </c>
      <c r="B48" t="n">
        <v>35.58796666666667</v>
      </c>
    </row>
    <row r="49">
      <c r="A49" s="29" t="n">
        <v>45992</v>
      </c>
      <c r="B49" t="n">
        <v>35.96516129032258</v>
      </c>
    </row>
    <row r="50">
      <c r="A50" s="29" t="n">
        <v>46023</v>
      </c>
      <c r="B50" t="n">
        <v>34.71883870967741</v>
      </c>
    </row>
    <row r="51">
      <c r="A51" s="29" t="n">
        <v>46054</v>
      </c>
      <c r="B51" t="n">
        <v>35.748</v>
      </c>
    </row>
    <row r="52">
      <c r="A52" s="29" t="n">
        <v>46082</v>
      </c>
      <c r="B52" t="n">
        <v>35.92364516129032</v>
      </c>
    </row>
    <row r="53">
      <c r="A53" s="29" t="n">
        <v>46113</v>
      </c>
      <c r="B53" t="n">
        <v>36.20336666666667</v>
      </c>
    </row>
    <row r="54">
      <c r="A54" s="29" t="n">
        <v>46143</v>
      </c>
      <c r="B54" t="n">
        <v>35.91348387096775</v>
      </c>
    </row>
    <row r="55">
      <c r="A55" s="29" t="n">
        <v>46174</v>
      </c>
      <c r="B55" t="n">
        <v>36.40676666666667</v>
      </c>
    </row>
    <row r="56">
      <c r="A56" s="29" t="n">
        <v>46204</v>
      </c>
      <c r="B56" t="n">
        <v>37.34825806451613</v>
      </c>
      <c r="C56" t="n">
        <v>37.34825806451613</v>
      </c>
      <c r="D56" t="n">
        <v>37.34825806451613</v>
      </c>
    </row>
    <row r="57">
      <c r="A57" s="29" t="n">
        <v>46235</v>
      </c>
      <c r="C57" t="n">
        <v>37.40270190426792</v>
      </c>
      <c r="D57" t="n">
        <v>36.91820190426792</v>
      </c>
    </row>
    <row r="58">
      <c r="A58" s="29" t="n">
        <v>46266</v>
      </c>
      <c r="C58" t="n">
        <v>37.44592563326792</v>
      </c>
      <c r="D58" t="n">
        <v>36.96142563326792</v>
      </c>
    </row>
    <row r="59">
      <c r="A59" s="29" t="n">
        <v>46296</v>
      </c>
      <c r="C59" t="n">
        <v>37.70798635826792</v>
      </c>
      <c r="D59" t="n">
        <v>37.00049557326791</v>
      </c>
    </row>
    <row r="60">
      <c r="A60" s="29" t="n">
        <v>46327</v>
      </c>
      <c r="C60" t="n">
        <v>37.84212593776792</v>
      </c>
      <c r="D60" t="n">
        <v>37.03160326126792</v>
      </c>
    </row>
    <row r="61">
      <c r="A61" s="29" t="n">
        <v>46357</v>
      </c>
      <c r="C61" t="n">
        <v>38.04949500826792</v>
      </c>
      <c r="D61" t="n">
        <v>37.12971294926792</v>
      </c>
    </row>
    <row r="62">
      <c r="A62" s="29" t="n">
        <v>46388</v>
      </c>
      <c r="C62" t="n">
        <v>37.47887379926792</v>
      </c>
      <c r="D62" t="n">
        <v>37.40941169726792</v>
      </c>
    </row>
    <row r="63">
      <c r="A63" s="29" t="n">
        <v>46419</v>
      </c>
      <c r="C63" t="n">
        <v>38.44134142226792</v>
      </c>
      <c r="D63" t="n">
        <v>37.67458647826792</v>
      </c>
    </row>
    <row r="64">
      <c r="A64" s="29" t="n">
        <v>46447</v>
      </c>
      <c r="C64" t="n">
        <v>38.65245455576792</v>
      </c>
      <c r="D64" t="n">
        <v>37.70960767026792</v>
      </c>
    </row>
    <row r="65">
      <c r="A65" s="29" t="n">
        <v>46478</v>
      </c>
      <c r="C65" t="n">
        <v>38.87499279426792</v>
      </c>
      <c r="D65" t="n">
        <v>38.87499279426792</v>
      </c>
    </row>
    <row r="66">
      <c r="A66" s="29" t="n">
        <v>46508</v>
      </c>
      <c r="C66" t="n">
        <v>39.11870013876791</v>
      </c>
      <c r="D66" t="n">
        <v>39.11870013876791</v>
      </c>
    </row>
    <row r="67">
      <c r="A67" s="29" t="n">
        <v>46539</v>
      </c>
      <c r="C67" t="n">
        <v>39.37968358626792</v>
      </c>
      <c r="D67" t="n">
        <v>39.37968358626792</v>
      </c>
    </row>
    <row r="68">
      <c r="A68" s="29" t="n">
        <v>46569</v>
      </c>
      <c r="C68" t="n">
        <v>39.65454382326791</v>
      </c>
      <c r="D68" t="n">
        <v>39.65454382326791</v>
      </c>
    </row>
    <row r="69">
      <c r="A69" s="29" t="n">
        <v>46600</v>
      </c>
      <c r="C69" t="n">
        <v>39.93435766326792</v>
      </c>
      <c r="D69" t="n">
        <v>39.93435766326792</v>
      </c>
    </row>
    <row r="70">
      <c r="A70" s="29" t="n">
        <v>46631</v>
      </c>
      <c r="C70" t="n">
        <v>40.21247045426792</v>
      </c>
      <c r="D70" t="n">
        <v>40.21247045426792</v>
      </c>
    </row>
    <row r="71">
      <c r="A71" s="29" t="n">
        <v>46661</v>
      </c>
      <c r="C71" t="n">
        <v>40.49145761376792</v>
      </c>
      <c r="D71" t="n">
        <v>40.49145761376792</v>
      </c>
    </row>
    <row r="72">
      <c r="A72" s="29" t="n">
        <v>46692</v>
      </c>
      <c r="C72" t="n">
        <v>40.76560786826791</v>
      </c>
      <c r="D72" t="n">
        <v>40.76560786826791</v>
      </c>
    </row>
    <row r="73">
      <c r="A73" s="29" t="n">
        <v>46722</v>
      </c>
      <c r="C73" t="n">
        <v>41.02858907126792</v>
      </c>
      <c r="D73" t="n">
        <v>41.02858907126792</v>
      </c>
    </row>
    <row r="74">
      <c r="A74" s="29" t="n">
        <v>46753</v>
      </c>
      <c r="C74" t="n">
        <v>40.3357253701104</v>
      </c>
      <c r="D74" t="n">
        <v>40.3357253701104</v>
      </c>
    </row>
    <row r="75">
      <c r="A75" s="29" t="n">
        <v>46784</v>
      </c>
      <c r="C75" t="n">
        <v>41.37073802760666</v>
      </c>
      <c r="D75" t="n">
        <v>41.37073802760666</v>
      </c>
    </row>
    <row r="76">
      <c r="A76" s="29" t="n">
        <v>46813</v>
      </c>
      <c r="C76" t="n">
        <v>41.59848927819546</v>
      </c>
      <c r="D76" t="n">
        <v>41.59848927819546</v>
      </c>
    </row>
    <row r="77">
      <c r="A77" s="29" t="n">
        <v>46844</v>
      </c>
      <c r="C77" t="n">
        <v>41.83870421263484</v>
      </c>
      <c r="D77" t="n">
        <v>41.83870421263484</v>
      </c>
    </row>
    <row r="78">
      <c r="A78" s="29" t="n">
        <v>46874</v>
      </c>
      <c r="C78" t="n">
        <v>42.10176261821196</v>
      </c>
      <c r="D78" t="n">
        <v>42.10176261821196</v>
      </c>
    </row>
    <row r="79">
      <c r="A79" s="29" t="n">
        <v>46905</v>
      </c>
      <c r="C79" t="n">
        <v>42.3834786998078</v>
      </c>
      <c r="D79" t="n">
        <v>42.3834786998078</v>
      </c>
    </row>
    <row r="80">
      <c r="A80" s="29" t="n">
        <v>46935</v>
      </c>
      <c r="C80" t="n">
        <v>42.68010288896316</v>
      </c>
      <c r="D80" t="n">
        <v>42.68010288896316</v>
      </c>
    </row>
    <row r="81">
      <c r="A81" s="29" t="n">
        <v>46966</v>
      </c>
      <c r="C81" t="n">
        <v>42.98197840903695</v>
      </c>
      <c r="D81" t="n">
        <v>42.98197840903695</v>
      </c>
    </row>
    <row r="82">
      <c r="A82" s="29" t="n">
        <v>46997</v>
      </c>
      <c r="C82" t="n">
        <v>43.28204203824125</v>
      </c>
      <c r="D82" t="n">
        <v>43.28204203824125</v>
      </c>
    </row>
    <row r="83">
      <c r="A83" s="29" t="n">
        <v>47027</v>
      </c>
      <c r="C83" t="n">
        <v>43.58287464659539</v>
      </c>
      <c r="D83" t="n">
        <v>43.58287464659539</v>
      </c>
    </row>
    <row r="84">
      <c r="A84" s="29" t="n">
        <v>47058</v>
      </c>
      <c r="C84" t="n">
        <v>43.87832776905194</v>
      </c>
      <c r="D84" t="n">
        <v>43.87832776905194</v>
      </c>
    </row>
    <row r="85">
      <c r="A85" s="29" t="n">
        <v>47088</v>
      </c>
      <c r="C85" t="n">
        <v>44.16179762757255</v>
      </c>
      <c r="D85" t="n">
        <v>44.16179762757255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cols>
    <col width="11" customWidth="1" min="1" max="1"/>
  </cols>
  <sheetData>
    <row r="1">
      <c r="A1" t="inlineStr">
        <is>
          <t>Date</t>
        </is>
      </c>
      <c r="B1" t="inlineStr">
        <is>
          <t>Base (base production, base LNG)</t>
        </is>
      </c>
      <c r="C1" t="inlineStr">
        <is>
          <t>Delayed (takeaway delayed 6 months, LNG delayed 6 months)</t>
        </is>
      </c>
      <c r="D1" t="inlineStr">
        <is>
          <t>Base before storage (memo: old definition)</t>
        </is>
      </c>
    </row>
    <row r="2">
      <c r="A2" s="29" t="n">
        <v>44197</v>
      </c>
      <c r="B2" t="n">
        <v>5.757202903225805</v>
      </c>
      <c r="C2" t="n">
        <v>5.757202903225805</v>
      </c>
      <c r="D2" t="n">
        <v>3.716848064516128</v>
      </c>
    </row>
    <row r="3">
      <c r="A3" s="29" t="n">
        <v>44228</v>
      </c>
      <c r="B3" t="n">
        <v>4.833603928571426</v>
      </c>
      <c r="C3" t="n">
        <v>4.833603928571426</v>
      </c>
      <c r="D3" t="n">
        <v>1.69296107142857</v>
      </c>
    </row>
    <row r="4">
      <c r="A4" s="29" t="n">
        <v>44256</v>
      </c>
      <c r="B4" t="n">
        <v>6.168179354838709</v>
      </c>
      <c r="C4" t="n">
        <v>6.168179354838709</v>
      </c>
      <c r="D4" t="n">
        <v>6.786179354838708</v>
      </c>
    </row>
    <row r="5">
      <c r="A5" s="29" t="n">
        <v>44287</v>
      </c>
      <c r="B5" t="n">
        <v>5.950775333333326</v>
      </c>
      <c r="C5" t="n">
        <v>5.950775333333326</v>
      </c>
      <c r="D5" t="n">
        <v>6.742908666666661</v>
      </c>
    </row>
    <row r="6">
      <c r="A6" s="29" t="n">
        <v>44317</v>
      </c>
      <c r="B6" t="n">
        <v>5.127310322580644</v>
      </c>
      <c r="C6" t="n">
        <v>5.127310322580644</v>
      </c>
      <c r="D6" t="n">
        <v>6.816761935483871</v>
      </c>
    </row>
    <row r="7">
      <c r="A7" s="29" t="n">
        <v>44348</v>
      </c>
      <c r="B7" t="n">
        <v>4.784641666666665</v>
      </c>
      <c r="C7" t="n">
        <v>4.784641666666665</v>
      </c>
      <c r="D7" t="n">
        <v>4.585908333333332</v>
      </c>
    </row>
    <row r="8">
      <c r="A8" s="29" t="n">
        <v>44378</v>
      </c>
      <c r="B8" t="n">
        <v>4.923483225806446</v>
      </c>
      <c r="C8" t="n">
        <v>4.923483225806446</v>
      </c>
      <c r="D8" t="n">
        <v>4.606321935483866</v>
      </c>
    </row>
    <row r="9">
      <c r="A9" s="29" t="n">
        <v>44409</v>
      </c>
      <c r="B9" t="n">
        <v>5.052491935483863</v>
      </c>
      <c r="C9" t="n">
        <v>5.052491935483863</v>
      </c>
      <c r="D9" t="n">
        <v>4.406169354838703</v>
      </c>
    </row>
    <row r="10">
      <c r="A10" s="29" t="n">
        <v>44440</v>
      </c>
      <c r="B10" t="n">
        <v>5.228334666666672</v>
      </c>
      <c r="C10" t="n">
        <v>5.228334666666672</v>
      </c>
      <c r="D10" t="n">
        <v>6.713868000000005</v>
      </c>
    </row>
    <row r="11">
      <c r="A11" s="29" t="n">
        <v>44470</v>
      </c>
      <c r="B11" t="n">
        <v>5.703013870967736</v>
      </c>
      <c r="C11" t="n">
        <v>5.703013870967736</v>
      </c>
      <c r="D11" t="n">
        <v>7.267755806451607</v>
      </c>
    </row>
    <row r="12">
      <c r="A12" s="29" t="n">
        <v>44501</v>
      </c>
      <c r="B12" t="n">
        <v>7.840158666666669</v>
      </c>
      <c r="C12" t="n">
        <v>7.840158666666669</v>
      </c>
      <c r="D12" t="n">
        <v>8.019658666666668</v>
      </c>
    </row>
    <row r="13">
      <c r="A13" s="29" t="n">
        <v>44531</v>
      </c>
      <c r="B13" t="n">
        <v>7.66885741935484</v>
      </c>
      <c r="C13" t="n">
        <v>7.66885741935484</v>
      </c>
      <c r="D13" t="n">
        <v>7.689309032258066</v>
      </c>
    </row>
    <row r="14">
      <c r="A14" s="29" t="n">
        <v>44562</v>
      </c>
      <c r="B14" t="n">
        <v>7.751888387096768</v>
      </c>
      <c r="C14" t="n">
        <v>7.751888387096768</v>
      </c>
      <c r="D14" t="n">
        <v>4.266243225806445</v>
      </c>
    </row>
    <row r="15">
      <c r="A15" s="29" t="n">
        <v>44593</v>
      </c>
      <c r="B15" t="n">
        <v>7.630339642857142</v>
      </c>
      <c r="C15" t="n">
        <v>7.630339642857142</v>
      </c>
      <c r="D15" t="n">
        <v>4.689018214285714</v>
      </c>
    </row>
    <row r="16">
      <c r="A16" s="29" t="n">
        <v>44621</v>
      </c>
      <c r="B16" t="n">
        <v>7.71630322580646</v>
      </c>
      <c r="C16" t="n">
        <v>7.71630322580646</v>
      </c>
      <c r="D16" t="n">
        <v>7.723432258064523</v>
      </c>
    </row>
    <row r="17">
      <c r="A17" s="29" t="n">
        <v>44652</v>
      </c>
      <c r="B17" t="n">
        <v>7.959171333333334</v>
      </c>
      <c r="C17" t="n">
        <v>7.959171333333334</v>
      </c>
      <c r="D17" t="n">
        <v>9.449604666666666</v>
      </c>
    </row>
    <row r="18">
      <c r="A18" s="29" t="n">
        <v>44682</v>
      </c>
      <c r="B18" t="n">
        <v>5.77487580645161</v>
      </c>
      <c r="C18" t="n">
        <v>5.77487580645161</v>
      </c>
      <c r="D18" t="n">
        <v>6.77087580645161</v>
      </c>
    </row>
    <row r="19">
      <c r="A19" s="29" t="n">
        <v>44713</v>
      </c>
      <c r="B19" t="n">
        <v>6.117568000000004</v>
      </c>
      <c r="C19" t="n">
        <v>6.117568000000004</v>
      </c>
      <c r="D19" t="n">
        <v>6.78893466666667</v>
      </c>
    </row>
    <row r="20">
      <c r="A20" s="29" t="n">
        <v>44743</v>
      </c>
      <c r="B20" t="n">
        <v>6.451506774193542</v>
      </c>
      <c r="C20" t="n">
        <v>6.451506774193542</v>
      </c>
      <c r="D20" t="n">
        <v>6.265635806451606</v>
      </c>
    </row>
    <row r="21">
      <c r="A21" s="29" t="n">
        <v>44774</v>
      </c>
      <c r="B21" t="n">
        <v>7.089976774193541</v>
      </c>
      <c r="C21" t="n">
        <v>7.089976774193541</v>
      </c>
      <c r="D21" t="n">
        <v>7.077783225806446</v>
      </c>
    </row>
    <row r="22">
      <c r="A22" s="29" t="n">
        <v>44805</v>
      </c>
      <c r="B22" t="n">
        <v>7.499300333333327</v>
      </c>
      <c r="C22" t="n">
        <v>7.499300333333327</v>
      </c>
      <c r="D22" t="n">
        <v>8.963766999999994</v>
      </c>
    </row>
    <row r="23">
      <c r="A23" s="29" t="n">
        <v>44835</v>
      </c>
      <c r="B23" t="n">
        <v>7.751459999999998</v>
      </c>
      <c r="C23" t="n">
        <v>7.751459999999998</v>
      </c>
      <c r="D23" t="n">
        <v>9.765459999999997</v>
      </c>
    </row>
    <row r="24">
      <c r="A24" s="29" t="n">
        <v>44866</v>
      </c>
      <c r="B24" t="n">
        <v>9.075615999999997</v>
      </c>
      <c r="C24" t="n">
        <v>9.075615999999997</v>
      </c>
      <c r="D24" t="n">
        <v>9.212582666666663</v>
      </c>
    </row>
    <row r="25">
      <c r="A25" s="29" t="n">
        <v>44896</v>
      </c>
      <c r="B25" t="n">
        <v>9.897009354838707</v>
      </c>
      <c r="C25" t="n">
        <v>9.897009354838707</v>
      </c>
      <c r="D25" t="n">
        <v>9.008815806451612</v>
      </c>
    </row>
    <row r="26">
      <c r="A26" s="29" t="n">
        <v>44927</v>
      </c>
      <c r="B26" t="n">
        <v>9.396738064516132</v>
      </c>
      <c r="C26" t="n">
        <v>9.396738064516132</v>
      </c>
      <c r="D26" t="n">
        <v>8.654350967741937</v>
      </c>
    </row>
    <row r="27">
      <c r="A27" s="29" t="n">
        <v>44958</v>
      </c>
      <c r="B27" t="n">
        <v>8.319489285714287</v>
      </c>
      <c r="C27" t="n">
        <v>8.319489285714287</v>
      </c>
      <c r="D27" t="n">
        <v>7.744667857142858</v>
      </c>
    </row>
    <row r="28">
      <c r="A28" s="29" t="n">
        <v>44986</v>
      </c>
      <c r="B28" t="n">
        <v>9.329610645161287</v>
      </c>
      <c r="C28" t="n">
        <v>9.329610645161287</v>
      </c>
      <c r="D28" t="n">
        <v>9.850159032258059</v>
      </c>
    </row>
    <row r="29">
      <c r="A29" s="29" t="n">
        <v>45017</v>
      </c>
      <c r="B29" t="n">
        <v>7.987759666666667</v>
      </c>
      <c r="C29" t="n">
        <v>7.987759666666667</v>
      </c>
      <c r="D29" t="n">
        <v>8.734059666666667</v>
      </c>
    </row>
    <row r="30">
      <c r="A30" s="29" t="n">
        <v>45047</v>
      </c>
      <c r="B30" t="n">
        <v>6.255350322580647</v>
      </c>
      <c r="C30" t="n">
        <v>6.255350322580647</v>
      </c>
      <c r="D30" t="n">
        <v>7.367092258064517</v>
      </c>
    </row>
    <row r="31">
      <c r="A31" s="29" t="n">
        <v>45078</v>
      </c>
      <c r="B31" t="n">
        <v>4.700988999999996</v>
      </c>
      <c r="C31" t="n">
        <v>4.700989</v>
      </c>
      <c r="D31" t="n">
        <v>5.058455666666664</v>
      </c>
    </row>
    <row r="32">
      <c r="A32" s="29" t="n">
        <v>45108</v>
      </c>
      <c r="B32" t="n">
        <v>5.991242258064512</v>
      </c>
      <c r="C32" t="n">
        <v>5.991242258064512</v>
      </c>
      <c r="D32" t="n">
        <v>5.42724225806451</v>
      </c>
    </row>
    <row r="33">
      <c r="A33" s="29" t="n">
        <v>45139</v>
      </c>
      <c r="B33" t="n">
        <v>5.801764516129037</v>
      </c>
      <c r="C33" t="n">
        <v>5.801764516129037</v>
      </c>
      <c r="D33" t="n">
        <v>4.387861290322586</v>
      </c>
    </row>
    <row r="34">
      <c r="A34" s="29" t="n">
        <v>45170</v>
      </c>
      <c r="B34" t="n">
        <v>6.312693333333336</v>
      </c>
      <c r="C34" t="n">
        <v>6.312693333333336</v>
      </c>
      <c r="D34" t="n">
        <v>6.548760000000001</v>
      </c>
    </row>
    <row r="35">
      <c r="A35" s="29" t="n">
        <v>45200</v>
      </c>
      <c r="B35" t="n">
        <v>6.730473225806455</v>
      </c>
      <c r="C35" t="n">
        <v>6.730473225806455</v>
      </c>
      <c r="D35" t="n">
        <v>8.278247419354841</v>
      </c>
    </row>
    <row r="36">
      <c r="A36" s="29" t="n">
        <v>45231</v>
      </c>
      <c r="B36" t="n">
        <v>7.699237999999994</v>
      </c>
      <c r="C36" t="n">
        <v>7.699237999999994</v>
      </c>
      <c r="D36" t="n">
        <v>8.06780466666666</v>
      </c>
    </row>
    <row r="37">
      <c r="A37" s="29" t="n">
        <v>45261</v>
      </c>
      <c r="B37" t="n">
        <v>7.660188064516134</v>
      </c>
      <c r="C37" t="n">
        <v>7.660188064516134</v>
      </c>
      <c r="D37" t="n">
        <v>7.571026774193552</v>
      </c>
    </row>
    <row r="38">
      <c r="A38" s="29" t="n">
        <v>45292</v>
      </c>
      <c r="B38" t="n">
        <v>7.177485161290321</v>
      </c>
      <c r="C38" t="n">
        <v>7.177485161290324</v>
      </c>
      <c r="D38" t="n">
        <v>4.140807741935483</v>
      </c>
    </row>
    <row r="39">
      <c r="A39" s="29" t="n">
        <v>45323</v>
      </c>
      <c r="B39" t="n">
        <v>8.115016551724134</v>
      </c>
      <c r="C39" t="n">
        <v>8.115016551724134</v>
      </c>
      <c r="D39" t="n">
        <v>8.521878620689652</v>
      </c>
    </row>
    <row r="40">
      <c r="A40" s="29" t="n">
        <v>45352</v>
      </c>
      <c r="B40" t="n">
        <v>8.269188387096774</v>
      </c>
      <c r="C40" t="n">
        <v>8.269188387096774</v>
      </c>
      <c r="D40" t="n">
        <v>9.454575483870968</v>
      </c>
    </row>
    <row r="41">
      <c r="A41" s="29" t="n">
        <v>45383</v>
      </c>
      <c r="B41" t="n">
        <v>9.563271666666664</v>
      </c>
      <c r="C41" t="n">
        <v>9.563271666666664</v>
      </c>
      <c r="D41" t="n">
        <v>10.541805</v>
      </c>
    </row>
    <row r="42">
      <c r="A42" s="29" t="n">
        <v>45413</v>
      </c>
      <c r="B42" t="n">
        <v>7.633640645161293</v>
      </c>
      <c r="C42" t="n">
        <v>7.633640645161293</v>
      </c>
      <c r="D42" t="n">
        <v>8.29567290322581</v>
      </c>
    </row>
    <row r="43">
      <c r="A43" s="29" t="n">
        <v>45444</v>
      </c>
      <c r="B43" t="n">
        <v>6.697791666666669</v>
      </c>
      <c r="C43" t="n">
        <v>6.697791666666673</v>
      </c>
      <c r="D43" t="n">
        <v>6.917958333333335</v>
      </c>
    </row>
    <row r="44">
      <c r="A44" s="29" t="n">
        <v>45474</v>
      </c>
      <c r="B44" t="n">
        <v>8.801400322580648</v>
      </c>
      <c r="C44" t="n">
        <v>8.801400322580648</v>
      </c>
      <c r="D44" t="n">
        <v>8.266529354838713</v>
      </c>
    </row>
    <row r="45">
      <c r="A45" s="29" t="n">
        <v>45505</v>
      </c>
      <c r="B45" t="n">
        <v>7.272399999999998</v>
      </c>
      <c r="C45" t="n">
        <v>7.272399999999998</v>
      </c>
      <c r="D45" t="n">
        <v>5.672980645161289</v>
      </c>
    </row>
    <row r="46">
      <c r="A46" s="29" t="n">
        <v>45536</v>
      </c>
      <c r="B46" t="n">
        <v>7.179467333333333</v>
      </c>
      <c r="C46" t="n">
        <v>7.179467333333333</v>
      </c>
      <c r="D46" t="n">
        <v>7.475400666666669</v>
      </c>
    </row>
    <row r="47">
      <c r="A47" s="29" t="n">
        <v>45566</v>
      </c>
      <c r="B47" t="n">
        <v>7.211064838709678</v>
      </c>
      <c r="C47" t="n">
        <v>7.211064838709678</v>
      </c>
      <c r="D47" t="n">
        <v>9.006645483870969</v>
      </c>
    </row>
    <row r="48">
      <c r="A48" s="29" t="n">
        <v>45597</v>
      </c>
      <c r="B48" t="n">
        <v>9.133436666666661</v>
      </c>
      <c r="C48" t="n">
        <v>9.133436666666661</v>
      </c>
      <c r="D48" t="n">
        <v>9.693369999999994</v>
      </c>
    </row>
    <row r="49">
      <c r="A49" s="29" t="n">
        <v>45627</v>
      </c>
      <c r="B49" t="n">
        <v>9.182682258064514</v>
      </c>
      <c r="C49" t="n">
        <v>9.182682258064514</v>
      </c>
      <c r="D49" t="n">
        <v>8.757649999999998</v>
      </c>
    </row>
    <row r="50">
      <c r="A50" s="29" t="n">
        <v>45658</v>
      </c>
      <c r="B50" t="n">
        <v>9.774462926553834</v>
      </c>
      <c r="C50" t="n">
        <v>9.774462926553834</v>
      </c>
      <c r="D50" t="n">
        <v>6.127527442682869</v>
      </c>
    </row>
    <row r="51">
      <c r="A51" s="29" t="n">
        <v>45689</v>
      </c>
      <c r="B51" t="n">
        <v>9.51019462074216</v>
      </c>
      <c r="C51" t="n">
        <v>9.51019462074216</v>
      </c>
      <c r="D51" t="n">
        <v>6.740801763599304</v>
      </c>
    </row>
    <row r="52">
      <c r="A52" s="29" t="n">
        <v>45717</v>
      </c>
      <c r="B52" t="n">
        <v>9.142732398272791</v>
      </c>
      <c r="C52" t="n">
        <v>9.142732398272791</v>
      </c>
      <c r="D52" t="n">
        <v>10.55711949504698</v>
      </c>
    </row>
    <row r="53">
      <c r="A53" s="29" t="n">
        <v>45748</v>
      </c>
      <c r="B53" t="n">
        <v>8.403937588501389</v>
      </c>
      <c r="C53" t="n">
        <v>8.403937588501389</v>
      </c>
      <c r="D53" t="n">
        <v>9.805337588501391</v>
      </c>
    </row>
    <row r="54">
      <c r="A54" s="29" t="n">
        <v>45778</v>
      </c>
      <c r="B54" t="n">
        <v>6.829930772398939</v>
      </c>
      <c r="C54" t="n">
        <v>6.829930772398939</v>
      </c>
      <c r="D54" t="n">
        <v>8.428575933689263</v>
      </c>
    </row>
    <row r="55">
      <c r="A55" s="29" t="n">
        <v>45809</v>
      </c>
      <c r="B55" t="n">
        <v>6.91370746552894</v>
      </c>
      <c r="C55" t="n">
        <v>6.91370746552894</v>
      </c>
      <c r="D55" t="n">
        <v>8.128174132195607</v>
      </c>
    </row>
    <row r="56">
      <c r="A56" s="29" t="n">
        <v>45839</v>
      </c>
      <c r="B56" t="n">
        <v>8.180148360112124</v>
      </c>
      <c r="C56" t="n">
        <v>8.180148360112124</v>
      </c>
      <c r="D56" t="n">
        <v>8.405535456886316</v>
      </c>
    </row>
    <row r="57">
      <c r="A57" s="29" t="n">
        <v>45870</v>
      </c>
      <c r="B57" t="n">
        <v>8.246182275747056</v>
      </c>
      <c r="C57" t="n">
        <v>8.246182275747056</v>
      </c>
      <c r="D57" t="n">
        <v>7.834150017682539</v>
      </c>
    </row>
    <row r="58">
      <c r="A58" s="29" t="n">
        <v>45901</v>
      </c>
      <c r="B58" t="n">
        <v>8.310402587254451</v>
      </c>
      <c r="C58" t="n">
        <v>8.310402587254451</v>
      </c>
      <c r="D58" t="n">
        <v>8.700235920587783</v>
      </c>
    </row>
    <row r="59">
      <c r="A59" s="29" t="n">
        <v>45931</v>
      </c>
      <c r="B59" t="n">
        <v>8.456295391165634</v>
      </c>
      <c r="C59" t="n">
        <v>8.456295391165634</v>
      </c>
      <c r="D59" t="n">
        <v>9.513069584714021</v>
      </c>
    </row>
    <row r="60">
      <c r="A60" s="29" t="n">
        <v>45962</v>
      </c>
      <c r="B60" t="n">
        <v>9.146541736868853</v>
      </c>
      <c r="C60" t="n">
        <v>9.146541736868853</v>
      </c>
      <c r="D60" t="n">
        <v>10.00037507020219</v>
      </c>
    </row>
    <row r="61">
      <c r="A61" s="29" t="n">
        <v>45992</v>
      </c>
      <c r="B61" t="n">
        <v>11.05273942116519</v>
      </c>
      <c r="C61" t="n">
        <v>11.05273942116519</v>
      </c>
      <c r="D61" t="n">
        <v>9.228223292132931</v>
      </c>
    </row>
    <row r="62">
      <c r="A62" s="29" t="n">
        <v>46023</v>
      </c>
      <c r="B62" t="n">
        <v>10.97176958452595</v>
      </c>
      <c r="C62" t="n">
        <v>10.97176958452594</v>
      </c>
      <c r="D62" t="n">
        <v>7.335285713558207</v>
      </c>
    </row>
    <row r="63">
      <c r="A63" s="29" t="n">
        <v>46054</v>
      </c>
      <c r="B63" t="n">
        <v>10.55851542007055</v>
      </c>
      <c r="C63" t="n">
        <v>10.55851542007055</v>
      </c>
      <c r="D63" t="n">
        <v>9.276158277213401</v>
      </c>
    </row>
    <row r="64">
      <c r="A64" s="29" t="n">
        <v>46082</v>
      </c>
      <c r="B64" t="n">
        <v>9.565601033757488</v>
      </c>
      <c r="C64" t="n">
        <v>9.565601033757488</v>
      </c>
      <c r="D64" t="n">
        <v>10.58053651762846</v>
      </c>
    </row>
    <row r="65">
      <c r="A65" s="29" t="n">
        <v>46113</v>
      </c>
      <c r="B65" t="n">
        <v>9.343715796644739</v>
      </c>
      <c r="C65" t="n">
        <v>9.343715796644739</v>
      </c>
      <c r="D65" t="n">
        <v>10.30054912997807</v>
      </c>
    </row>
    <row r="66">
      <c r="A66" s="29" t="n">
        <v>46143</v>
      </c>
      <c r="B66" t="n">
        <v>8.573432493189625</v>
      </c>
      <c r="C66" t="n">
        <v>8.573432493189625</v>
      </c>
      <c r="D66" t="n">
        <v>9.481400235125108</v>
      </c>
    </row>
    <row r="67">
      <c r="A67" s="29" t="n">
        <v>46174</v>
      </c>
      <c r="B67" t="n">
        <v>7.781989173459427</v>
      </c>
      <c r="C67" t="n">
        <v>7.781989173459427</v>
      </c>
      <c r="D67" t="n">
        <v>8.406122506792759</v>
      </c>
    </row>
    <row r="68">
      <c r="A68" s="29" t="n">
        <v>46204</v>
      </c>
      <c r="B68" t="n">
        <v>8.696623776211011</v>
      </c>
      <c r="C68" t="n">
        <v>8.696623776211011</v>
      </c>
      <c r="D68" t="n">
        <v>8.777172163307782</v>
      </c>
    </row>
    <row r="69">
      <c r="A69" s="29" t="n">
        <v>46235</v>
      </c>
      <c r="B69" t="n">
        <v>8.969843268899318</v>
      </c>
      <c r="C69" t="n">
        <v>8.564640141727686</v>
      </c>
      <c r="D69" t="n">
        <v>7.828058322662759</v>
      </c>
    </row>
    <row r="70">
      <c r="A70" s="29" t="n">
        <v>46266</v>
      </c>
      <c r="B70" t="n">
        <v>8.707374723901719</v>
      </c>
      <c r="C70" t="n">
        <v>8.302171596730094</v>
      </c>
      <c r="D70" t="n">
        <v>9.014652501679496</v>
      </c>
    </row>
    <row r="71">
      <c r="A71" s="29" t="n">
        <v>46296</v>
      </c>
      <c r="B71" t="n">
        <v>9.242068386431434</v>
      </c>
      <c r="C71" t="n">
        <v>8.650370804332134</v>
      </c>
      <c r="D71" t="n">
        <v>10.70877806385079</v>
      </c>
    </row>
    <row r="72">
      <c r="A72" s="29" t="n">
        <v>46327</v>
      </c>
      <c r="B72" t="n">
        <v>10.20980797381661</v>
      </c>
      <c r="C72" t="n">
        <v>9.531941465743714</v>
      </c>
      <c r="D72" t="n">
        <v>10.80391908492772</v>
      </c>
    </row>
    <row r="73">
      <c r="A73" s="29" t="n">
        <v>46357</v>
      </c>
      <c r="B73" t="n">
        <v>11.12861512324736</v>
      </c>
      <c r="C73" t="n">
        <v>10.49664311279248</v>
      </c>
      <c r="D73" t="n">
        <v>10.34904523077424</v>
      </c>
    </row>
    <row r="74">
      <c r="A74" s="29" t="n">
        <v>46388</v>
      </c>
      <c r="B74" t="n">
        <v>11.44391967088344</v>
      </c>
      <c r="C74" t="n">
        <v>11.57285939911755</v>
      </c>
      <c r="D74" t="n">
        <v>8.003887412818923</v>
      </c>
    </row>
    <row r="75">
      <c r="A75" s="29" t="n">
        <v>46419</v>
      </c>
      <c r="B75" t="n">
        <v>11.87731932032693</v>
      </c>
      <c r="C75" t="n">
        <v>11.47435473634564</v>
      </c>
      <c r="D75" t="n">
        <v>10.66235667664877</v>
      </c>
    </row>
    <row r="76">
      <c r="A76" s="29" t="n">
        <v>46447</v>
      </c>
      <c r="B76" t="n">
        <v>11.05663872085943</v>
      </c>
      <c r="C76" t="n">
        <v>10.68731975854501</v>
      </c>
      <c r="D76" t="n">
        <v>12.26154194666589</v>
      </c>
    </row>
    <row r="77">
      <c r="A77" s="29" t="n">
        <v>46478</v>
      </c>
      <c r="B77" t="n">
        <v>10.91180036001816</v>
      </c>
      <c r="C77" t="n">
        <v>11.57315630519333</v>
      </c>
      <c r="D77" t="n">
        <v>12.02405591557372</v>
      </c>
    </row>
    <row r="78">
      <c r="A78" s="29" t="n">
        <v>46508</v>
      </c>
      <c r="B78" t="n">
        <v>9.453451468764687</v>
      </c>
      <c r="C78" t="n">
        <v>10.35888366159829</v>
      </c>
      <c r="D78" t="n">
        <v>10.50966652252812</v>
      </c>
    </row>
    <row r="79">
      <c r="A79" s="29" t="n">
        <v>46539</v>
      </c>
      <c r="B79" t="n">
        <v>8.833661856466387</v>
      </c>
      <c r="C79" t="n">
        <v>9.847699505076269</v>
      </c>
      <c r="D79" t="n">
        <v>9.51991741202194</v>
      </c>
    </row>
    <row r="80">
      <c r="A80" s="29" t="n">
        <v>46569</v>
      </c>
      <c r="B80" t="n">
        <v>9.24981624978683</v>
      </c>
      <c r="C80" t="n">
        <v>10.52837327163809</v>
      </c>
      <c r="D80" t="n">
        <v>9.173504421829843</v>
      </c>
    </row>
    <row r="81">
      <c r="A81" s="29" t="n">
        <v>46600</v>
      </c>
      <c r="B81" t="n">
        <v>9.047859566273367</v>
      </c>
      <c r="C81" t="n">
        <v>10.5859775145707</v>
      </c>
      <c r="D81" t="n">
        <v>7.906074620036808</v>
      </c>
    </row>
    <row r="82">
      <c r="A82" s="29" t="n">
        <v>46631</v>
      </c>
      <c r="B82" t="n">
        <v>8.582034521053803</v>
      </c>
      <c r="C82" t="n">
        <v>10.28655012900813</v>
      </c>
      <c r="D82" t="n">
        <v>8.889312298831584</v>
      </c>
    </row>
    <row r="83">
      <c r="A83" s="29" t="n">
        <v>46661</v>
      </c>
      <c r="B83" t="n">
        <v>8.625611479712425</v>
      </c>
      <c r="C83" t="n">
        <v>10.52206332355965</v>
      </c>
      <c r="D83" t="n">
        <v>10.09232115713178</v>
      </c>
    </row>
    <row r="84">
      <c r="A84" s="29" t="n">
        <v>46692</v>
      </c>
      <c r="B84" t="n">
        <v>9.252390217052451</v>
      </c>
      <c r="C84" t="n">
        <v>11.33752318435372</v>
      </c>
      <c r="D84" t="n">
        <v>9.846501328163558</v>
      </c>
    </row>
    <row r="85">
      <c r="A85" s="29" t="n">
        <v>46722</v>
      </c>
      <c r="B85" t="n">
        <v>10.15124484967114</v>
      </c>
      <c r="C85" t="n">
        <v>12.25595821027485</v>
      </c>
      <c r="D85" t="n">
        <v>9.371674957198024</v>
      </c>
    </row>
    <row r="86">
      <c r="A86" s="29" t="n">
        <v>46753</v>
      </c>
      <c r="B86" t="n">
        <v>10.48165873432959</v>
      </c>
      <c r="C86" t="n">
        <v>12.27904663228654</v>
      </c>
      <c r="D86" t="n">
        <v>7.041626476265066</v>
      </c>
    </row>
    <row r="87">
      <c r="A87" s="29" t="n">
        <v>46784</v>
      </c>
      <c r="B87" t="n">
        <v>10.8101832400716</v>
      </c>
      <c r="C87" t="n">
        <v>12.57228275760785</v>
      </c>
      <c r="D87" t="n">
        <v>9.595220596393439</v>
      </c>
    </row>
    <row r="88">
      <c r="A88" s="29" t="n">
        <v>46813</v>
      </c>
      <c r="B88" t="n">
        <v>10.07771032459633</v>
      </c>
      <c r="C88" t="n">
        <v>11.73317040372553</v>
      </c>
      <c r="D88" t="n">
        <v>11.28261355040279</v>
      </c>
    </row>
    <row r="89">
      <c r="A89" s="29" t="n">
        <v>46844</v>
      </c>
      <c r="B89" t="n">
        <v>10.13342355677256</v>
      </c>
      <c r="C89" t="n">
        <v>11.56343051927497</v>
      </c>
      <c r="D89" t="n">
        <v>11.24567911232812</v>
      </c>
    </row>
    <row r="90">
      <c r="A90" s="29" t="n">
        <v>46874</v>
      </c>
      <c r="B90" t="n">
        <v>8.623296402571668</v>
      </c>
      <c r="C90" t="n">
        <v>9.963818487510228</v>
      </c>
      <c r="D90" t="n">
        <v>9.679511456335106</v>
      </c>
    </row>
    <row r="91">
      <c r="A91" s="29" t="n">
        <v>46905</v>
      </c>
      <c r="B91" t="n">
        <v>7.952530160531046</v>
      </c>
      <c r="C91" t="n">
        <v>9.325980358502521</v>
      </c>
      <c r="D91" t="n">
        <v>8.638785716086598</v>
      </c>
    </row>
    <row r="92">
      <c r="A92" s="29" t="n">
        <v>46935</v>
      </c>
      <c r="B92" t="n">
        <v>8.553639227716838</v>
      </c>
      <c r="C92" t="n">
        <v>10.0543938578966</v>
      </c>
      <c r="D92" t="n">
        <v>8.477327399759851</v>
      </c>
    </row>
    <row r="93">
      <c r="A93" s="29" t="n">
        <v>46966</v>
      </c>
      <c r="B93" t="n">
        <v>8.383414167628736</v>
      </c>
      <c r="C93" t="n">
        <v>9.862384521520273</v>
      </c>
      <c r="D93" t="n">
        <v>7.241629221392177</v>
      </c>
    </row>
    <row r="94">
      <c r="A94" s="29" t="n">
        <v>46997</v>
      </c>
      <c r="B94" t="n">
        <v>7.808002058134097</v>
      </c>
      <c r="C94" t="n">
        <v>9.406119555856275</v>
      </c>
      <c r="D94" t="n">
        <v>8.115279835911878</v>
      </c>
    </row>
    <row r="95">
      <c r="A95" s="29" t="n">
        <v>47027</v>
      </c>
      <c r="B95" t="n">
        <v>7.969187507964914</v>
      </c>
      <c r="C95" t="n">
        <v>9.633499503548315</v>
      </c>
      <c r="D95" t="n">
        <v>9.435897185384267</v>
      </c>
    </row>
    <row r="96">
      <c r="A96" s="29" t="n">
        <v>47058</v>
      </c>
      <c r="B96" t="n">
        <v>8.842054024732182</v>
      </c>
      <c r="C96" t="n">
        <v>10.42435512741148</v>
      </c>
      <c r="D96" t="n">
        <v>9.436165135843289</v>
      </c>
    </row>
    <row r="97">
      <c r="A97" s="29" t="n">
        <v>47088</v>
      </c>
      <c r="B97" t="n">
        <v>9.97401849660103</v>
      </c>
      <c r="C97" t="n">
        <v>11.35084812811961</v>
      </c>
      <c r="D97" t="n">
        <v>9.19444860412791</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157"/>
  <sheetViews>
    <sheetView workbookViewId="0">
      <selection activeCell="A1" sqref="A1"/>
    </sheetView>
  </sheetViews>
  <sheetFormatPr baseColWidth="8" defaultRowHeight="15"/>
  <cols>
    <col width="11" customWidth="1" min="1" max="1"/>
  </cols>
  <sheetData>
    <row r="1">
      <c r="A1" t="inlineStr">
        <is>
          <t>Date</t>
        </is>
      </c>
      <c r="B1" t="inlineStr">
        <is>
          <t>Injection (demand side)</t>
        </is>
      </c>
      <c r="C1" t="inlineStr">
        <is>
          <t>Withdrawal (supply side, shown negative)</t>
        </is>
      </c>
      <c r="D1" t="inlineStr">
        <is>
          <t>Net injection (+) / withdrawal (-)</t>
        </is>
      </c>
    </row>
    <row r="2">
      <c r="A2" s="29" t="n">
        <v>44197</v>
      </c>
      <c r="B2" t="n">
        <v>0.5196451612903226</v>
      </c>
      <c r="C2" t="n">
        <v>-2.56</v>
      </c>
      <c r="D2" t="n">
        <v>-2.040354838709677</v>
      </c>
    </row>
    <row r="3">
      <c r="A3" s="29" t="n">
        <v>44228</v>
      </c>
      <c r="B3" t="n">
        <v>1.272107142857143</v>
      </c>
      <c r="C3" t="n">
        <v>-4.41275</v>
      </c>
      <c r="D3" t="n">
        <v>-3.140642857142857</v>
      </c>
    </row>
    <row r="4">
      <c r="A4" s="29" t="n">
        <v>44256</v>
      </c>
      <c r="B4" t="n">
        <v>1.762354838709677</v>
      </c>
      <c r="C4" t="n">
        <v>-1.144354838709677</v>
      </c>
      <c r="D4" t="n">
        <v>0.6179999999999999</v>
      </c>
    </row>
    <row r="5">
      <c r="A5" s="29" t="n">
        <v>44287</v>
      </c>
      <c r="B5" t="n">
        <v>1.559</v>
      </c>
      <c r="C5" t="n">
        <v>-0.7668666666666667</v>
      </c>
      <c r="D5" t="n">
        <v>0.7921333333333332</v>
      </c>
    </row>
    <row r="6">
      <c r="A6" s="29" t="n">
        <v>44317</v>
      </c>
      <c r="B6" t="n">
        <v>2.060290322580645</v>
      </c>
      <c r="C6" t="n">
        <v>-0.3708387096774193</v>
      </c>
      <c r="D6" t="n">
        <v>1.689451612903226</v>
      </c>
    </row>
    <row r="7">
      <c r="A7" s="29" t="n">
        <v>44348</v>
      </c>
      <c r="B7" t="n">
        <v>1.1406</v>
      </c>
      <c r="C7" t="n">
        <v>-1.339333333333333</v>
      </c>
      <c r="D7" t="n">
        <v>-0.1987333333333334</v>
      </c>
    </row>
    <row r="8">
      <c r="A8" s="29" t="n">
        <v>44378</v>
      </c>
      <c r="B8" t="n">
        <v>0.9387096774193548</v>
      </c>
      <c r="C8" t="n">
        <v>-1.255870967741935</v>
      </c>
      <c r="D8" t="n">
        <v>-0.3171612903225804</v>
      </c>
    </row>
    <row r="9">
      <c r="A9" s="29" t="n">
        <v>44409</v>
      </c>
      <c r="B9" t="n">
        <v>1.041451612903226</v>
      </c>
      <c r="C9" t="n">
        <v>-1.687774193548387</v>
      </c>
      <c r="D9" t="n">
        <v>-0.6463225806451611</v>
      </c>
    </row>
    <row r="10">
      <c r="A10" s="29" t="n">
        <v>44440</v>
      </c>
      <c r="B10" t="n">
        <v>2.160866666666667</v>
      </c>
      <c r="C10" t="n">
        <v>-0.6753333333333333</v>
      </c>
      <c r="D10" t="n">
        <v>1.485533333333333</v>
      </c>
    </row>
    <row r="11">
      <c r="A11" s="29" t="n">
        <v>44470</v>
      </c>
      <c r="B11" t="n">
        <v>2.154032258064516</v>
      </c>
      <c r="C11" t="n">
        <v>-0.5892903225806452</v>
      </c>
      <c r="D11" t="n">
        <v>1.564741935483871</v>
      </c>
    </row>
    <row r="12">
      <c r="A12" s="29" t="n">
        <v>44501</v>
      </c>
      <c r="B12" t="n">
        <v>1.294366666666667</v>
      </c>
      <c r="C12" t="n">
        <v>-1.114866666666666</v>
      </c>
      <c r="D12" t="n">
        <v>0.1795000000000002</v>
      </c>
    </row>
    <row r="13">
      <c r="A13" s="29" t="n">
        <v>44531</v>
      </c>
      <c r="B13" t="n">
        <v>1.387967741935484</v>
      </c>
      <c r="C13" t="n">
        <v>-1.367516129032258</v>
      </c>
      <c r="D13" t="n">
        <v>0.02045161290322595</v>
      </c>
    </row>
    <row r="14">
      <c r="A14" s="29" t="n">
        <v>44562</v>
      </c>
      <c r="B14" t="n">
        <v>0.5149677419354839</v>
      </c>
      <c r="C14" t="n">
        <v>-4.000612903225806</v>
      </c>
      <c r="D14" t="n">
        <v>-3.485645161290322</v>
      </c>
    </row>
    <row r="15">
      <c r="A15" s="29" t="n">
        <v>44593</v>
      </c>
      <c r="B15" t="n">
        <v>0.7398571428571429</v>
      </c>
      <c r="C15" t="n">
        <v>-3.681178571428572</v>
      </c>
      <c r="D15" t="n">
        <v>-2.941321428571429</v>
      </c>
    </row>
    <row r="16">
      <c r="A16" s="29" t="n">
        <v>44621</v>
      </c>
      <c r="B16" t="n">
        <v>1.433064516129032</v>
      </c>
      <c r="C16" t="n">
        <v>-1.425935483870968</v>
      </c>
      <c r="D16" t="n">
        <v>0.007129032258064605</v>
      </c>
    </row>
    <row r="17">
      <c r="A17" s="29" t="n">
        <v>44652</v>
      </c>
      <c r="B17" t="n">
        <v>2.011033333333333</v>
      </c>
      <c r="C17" t="n">
        <v>-0.5206000000000001</v>
      </c>
      <c r="D17" t="n">
        <v>1.490433333333333</v>
      </c>
    </row>
    <row r="18">
      <c r="A18" s="29" t="n">
        <v>44682</v>
      </c>
      <c r="B18" t="n">
        <v>1.664612903225806</v>
      </c>
      <c r="C18" t="n">
        <v>-0.6686129032258065</v>
      </c>
      <c r="D18" t="n">
        <v>0.9959999999999999</v>
      </c>
    </row>
    <row r="19">
      <c r="A19" s="29" t="n">
        <v>44713</v>
      </c>
      <c r="B19" t="n">
        <v>1.453166666666667</v>
      </c>
      <c r="C19" t="n">
        <v>-0.7817999999999999</v>
      </c>
      <c r="D19" t="n">
        <v>0.6713666666666668</v>
      </c>
    </row>
    <row r="20">
      <c r="A20" s="29" t="n">
        <v>44743</v>
      </c>
      <c r="B20" t="n">
        <v>1.202129032258065</v>
      </c>
      <c r="C20" t="n">
        <v>-1.388</v>
      </c>
      <c r="D20" t="n">
        <v>-0.1858709677419352</v>
      </c>
    </row>
    <row r="21">
      <c r="A21" s="29" t="n">
        <v>44774</v>
      </c>
      <c r="B21" t="n">
        <v>1.73141935483871</v>
      </c>
      <c r="C21" t="n">
        <v>-1.743612903225806</v>
      </c>
      <c r="D21" t="n">
        <v>-0.01219354838709652</v>
      </c>
    </row>
    <row r="22">
      <c r="A22" s="29" t="n">
        <v>44805</v>
      </c>
      <c r="B22" t="n">
        <v>2.6006</v>
      </c>
      <c r="C22" t="n">
        <v>-1.136133333333333</v>
      </c>
      <c r="D22" t="n">
        <v>1.464466666666667</v>
      </c>
    </row>
    <row r="23">
      <c r="A23" s="29" t="n">
        <v>44835</v>
      </c>
      <c r="B23" t="n">
        <v>2.467064516129032</v>
      </c>
      <c r="C23" t="n">
        <v>-0.4530645161290323</v>
      </c>
      <c r="D23" t="n">
        <v>2.014</v>
      </c>
    </row>
    <row r="24">
      <c r="A24" s="29" t="n">
        <v>44866</v>
      </c>
      <c r="B24" t="n">
        <v>1.554566666666667</v>
      </c>
      <c r="C24" t="n">
        <v>-1.4176</v>
      </c>
      <c r="D24" t="n">
        <v>0.1369666666666667</v>
      </c>
    </row>
    <row r="25">
      <c r="A25" s="29" t="n">
        <v>44896</v>
      </c>
      <c r="B25" t="n">
        <v>1.395903225806452</v>
      </c>
      <c r="C25" t="n">
        <v>-2.284096774193548</v>
      </c>
      <c r="D25" t="n">
        <v>-0.8881935483870966</v>
      </c>
    </row>
    <row r="26">
      <c r="A26" s="29" t="n">
        <v>44927</v>
      </c>
      <c r="B26" t="n">
        <v>1.189967741935484</v>
      </c>
      <c r="C26" t="n">
        <v>-1.932354838709677</v>
      </c>
      <c r="D26" t="n">
        <v>-0.7423870967741935</v>
      </c>
    </row>
    <row r="27">
      <c r="A27" s="29" t="n">
        <v>44958</v>
      </c>
      <c r="B27" t="n">
        <v>1.318821428571429</v>
      </c>
      <c r="C27" t="n">
        <v>-1.893642857142857</v>
      </c>
      <c r="D27" t="n">
        <v>-0.5748214285714286</v>
      </c>
    </row>
    <row r="28">
      <c r="A28" s="29" t="n">
        <v>44986</v>
      </c>
      <c r="B28" t="n">
        <v>1.539709677419355</v>
      </c>
      <c r="C28" t="n">
        <v>-1.019161290322581</v>
      </c>
      <c r="D28" t="n">
        <v>0.5205483870967742</v>
      </c>
    </row>
    <row r="29">
      <c r="A29" s="29" t="n">
        <v>45017</v>
      </c>
      <c r="B29" t="n">
        <v>1.441633333333334</v>
      </c>
      <c r="C29" t="n">
        <v>-0.6953333333333334</v>
      </c>
      <c r="D29" t="n">
        <v>0.7463000000000002</v>
      </c>
    </row>
    <row r="30">
      <c r="A30" s="29" t="n">
        <v>45047</v>
      </c>
      <c r="B30" t="n">
        <v>1.817225806451613</v>
      </c>
      <c r="C30" t="n">
        <v>-0.7054838709677419</v>
      </c>
      <c r="D30" t="n">
        <v>1.111741935483871</v>
      </c>
    </row>
    <row r="31">
      <c r="A31" s="29" t="n">
        <v>45078</v>
      </c>
      <c r="B31" t="n">
        <v>1.372766666666667</v>
      </c>
      <c r="C31" t="n">
        <v>-1.0153</v>
      </c>
      <c r="D31" t="n">
        <v>0.3574666666666668</v>
      </c>
    </row>
    <row r="32">
      <c r="A32" s="29" t="n">
        <v>45108</v>
      </c>
      <c r="B32" t="n">
        <v>0.9224516129032259</v>
      </c>
      <c r="C32" t="n">
        <v>-1.486451612903226</v>
      </c>
      <c r="D32" t="n">
        <v>-0.5640000000000001</v>
      </c>
    </row>
    <row r="33">
      <c r="A33" s="29" t="n">
        <v>45139</v>
      </c>
      <c r="B33" t="n">
        <v>1.958129032258065</v>
      </c>
      <c r="C33" t="n">
        <v>-3.372032258064516</v>
      </c>
      <c r="D33" t="n">
        <v>-1.413903225806451</v>
      </c>
    </row>
    <row r="34">
      <c r="A34" s="29" t="n">
        <v>45170</v>
      </c>
      <c r="B34" t="n">
        <v>3.023566666666667</v>
      </c>
      <c r="C34" t="n">
        <v>-2.7875</v>
      </c>
      <c r="D34" t="n">
        <v>0.2360666666666664</v>
      </c>
    </row>
    <row r="35">
      <c r="A35" s="29" t="n">
        <v>45200</v>
      </c>
      <c r="B35" t="n">
        <v>2.598548387096774</v>
      </c>
      <c r="C35" t="n">
        <v>-1.050774193548387</v>
      </c>
      <c r="D35" t="n">
        <v>1.547774193548387</v>
      </c>
    </row>
    <row r="36">
      <c r="A36" s="29" t="n">
        <v>45231</v>
      </c>
      <c r="B36" t="n">
        <v>1.747533333333333</v>
      </c>
      <c r="C36" t="n">
        <v>-1.378966666666667</v>
      </c>
      <c r="D36" t="n">
        <v>0.3685666666666667</v>
      </c>
    </row>
    <row r="37">
      <c r="A37" s="29" t="n">
        <v>45261</v>
      </c>
      <c r="B37" t="n">
        <v>1.347290322580645</v>
      </c>
      <c r="C37" t="n">
        <v>-1.436451612903226</v>
      </c>
      <c r="D37" t="n">
        <v>-0.08916129032258069</v>
      </c>
    </row>
    <row r="38">
      <c r="A38" s="29" t="n">
        <v>45292</v>
      </c>
      <c r="B38" t="n">
        <v>0.917741935483871</v>
      </c>
      <c r="C38" t="n">
        <v>-3.95441935483871</v>
      </c>
      <c r="D38" t="n">
        <v>-3.036677419354839</v>
      </c>
    </row>
    <row r="39">
      <c r="A39" s="29" t="n">
        <v>45323</v>
      </c>
      <c r="B39" t="n">
        <v>2.00796551724138</v>
      </c>
      <c r="C39" t="n">
        <v>-1.601103448275862</v>
      </c>
      <c r="D39" t="n">
        <v>0.4068620689655174</v>
      </c>
    </row>
    <row r="40">
      <c r="A40" s="29" t="n">
        <v>45352</v>
      </c>
      <c r="B40" t="n">
        <v>2.315548387096774</v>
      </c>
      <c r="C40" t="n">
        <v>-1.130161290322581</v>
      </c>
      <c r="D40" t="n">
        <v>1.185387096774194</v>
      </c>
    </row>
    <row r="41">
      <c r="A41" s="29" t="n">
        <v>45383</v>
      </c>
      <c r="B41" t="n">
        <v>2.3053</v>
      </c>
      <c r="C41" t="n">
        <v>-1.326766666666667</v>
      </c>
      <c r="D41" t="n">
        <v>0.9785333333333337</v>
      </c>
    </row>
    <row r="42">
      <c r="A42" s="29" t="n">
        <v>45413</v>
      </c>
      <c r="B42" t="n">
        <v>1.905258064516129</v>
      </c>
      <c r="C42" t="n">
        <v>-1.243225806451613</v>
      </c>
      <c r="D42" t="n">
        <v>0.6620322580645162</v>
      </c>
    </row>
    <row r="43">
      <c r="A43" s="29" t="n">
        <v>45444</v>
      </c>
      <c r="B43" t="n">
        <v>1.550366666666667</v>
      </c>
      <c r="C43" t="n">
        <v>-1.3302</v>
      </c>
      <c r="D43" t="n">
        <v>0.2201666666666666</v>
      </c>
    </row>
    <row r="44">
      <c r="A44" s="29" t="n">
        <v>45474</v>
      </c>
      <c r="B44" t="n">
        <v>1.135903225806452</v>
      </c>
      <c r="C44" t="n">
        <v>-1.670774193548387</v>
      </c>
      <c r="D44" t="n">
        <v>-0.5348709677419354</v>
      </c>
    </row>
    <row r="45">
      <c r="A45" s="29" t="n">
        <v>45505</v>
      </c>
      <c r="B45" t="n">
        <v>1.875322580645161</v>
      </c>
      <c r="C45" t="n">
        <v>-3.474741935483871</v>
      </c>
      <c r="D45" t="n">
        <v>-1.599419354838709</v>
      </c>
    </row>
    <row r="46">
      <c r="A46" s="29" t="n">
        <v>45536</v>
      </c>
      <c r="B46" t="n">
        <v>2.5233</v>
      </c>
      <c r="C46" t="n">
        <v>-2.227366666666667</v>
      </c>
      <c r="D46" t="n">
        <v>0.2959333333333336</v>
      </c>
    </row>
    <row r="47">
      <c r="A47" s="29" t="n">
        <v>45566</v>
      </c>
      <c r="B47" t="n">
        <v>2.784935483870968</v>
      </c>
      <c r="C47" t="n">
        <v>-0.9893548387096774</v>
      </c>
      <c r="D47" t="n">
        <v>1.79558064516129</v>
      </c>
    </row>
    <row r="48">
      <c r="A48" s="29" t="n">
        <v>45597</v>
      </c>
      <c r="B48" t="n">
        <v>1.816766666666667</v>
      </c>
      <c r="C48" t="n">
        <v>-1.256833333333333</v>
      </c>
      <c r="D48" t="n">
        <v>0.5599333333333334</v>
      </c>
    </row>
    <row r="49">
      <c r="A49" s="29" t="n">
        <v>45627</v>
      </c>
      <c r="B49" t="n">
        <v>1.449032258064516</v>
      </c>
      <c r="C49" t="n">
        <v>-1.874064516129032</v>
      </c>
      <c r="D49" t="n">
        <v>-0.4250322580645161</v>
      </c>
    </row>
    <row r="50">
      <c r="A50" s="29" t="n">
        <v>45658</v>
      </c>
      <c r="B50" t="n">
        <v>1.033096774193548</v>
      </c>
      <c r="C50" t="n">
        <v>-4.680032258064516</v>
      </c>
      <c r="D50" t="n">
        <v>-3.646935483870968</v>
      </c>
    </row>
    <row r="51">
      <c r="A51" s="29" t="n">
        <v>45689</v>
      </c>
      <c r="B51" t="n">
        <v>1.292535714285714</v>
      </c>
      <c r="C51" t="n">
        <v>-4.061928571428572</v>
      </c>
      <c r="D51" t="n">
        <v>-2.769392857142858</v>
      </c>
    </row>
    <row r="52">
      <c r="A52" s="29" t="n">
        <v>45717</v>
      </c>
      <c r="B52" t="n">
        <v>2.661516129032258</v>
      </c>
      <c r="C52" t="n">
        <v>-1.247129032258065</v>
      </c>
      <c r="D52" t="n">
        <v>1.414387096774193</v>
      </c>
    </row>
    <row r="53">
      <c r="A53" s="29" t="n">
        <v>45748</v>
      </c>
      <c r="B53" t="n">
        <v>2.422766666666667</v>
      </c>
      <c r="C53" t="n">
        <v>-1.021366666666667</v>
      </c>
      <c r="D53" t="n">
        <v>1.4014</v>
      </c>
    </row>
    <row r="54">
      <c r="A54" s="29" t="n">
        <v>45778</v>
      </c>
      <c r="B54" t="n">
        <v>2.441677419354839</v>
      </c>
      <c r="C54" t="n">
        <v>-0.8430322580645161</v>
      </c>
      <c r="D54" t="n">
        <v>1.598645161290323</v>
      </c>
    </row>
    <row r="55">
      <c r="A55" s="29" t="n">
        <v>45809</v>
      </c>
      <c r="B55" t="n">
        <v>2.011666666666667</v>
      </c>
      <c r="C55" t="n">
        <v>-0.7972</v>
      </c>
      <c r="D55" t="n">
        <v>1.214466666666667</v>
      </c>
    </row>
    <row r="56">
      <c r="A56" s="29" t="n">
        <v>45839</v>
      </c>
      <c r="B56" t="n">
        <v>1.676290322580645</v>
      </c>
      <c r="C56" t="n">
        <v>-1.450903225806452</v>
      </c>
      <c r="D56" t="n">
        <v>0.2253870967741936</v>
      </c>
    </row>
    <row r="57">
      <c r="A57" s="29" t="n">
        <v>45870</v>
      </c>
      <c r="B57" t="n">
        <v>1.391838709677419</v>
      </c>
      <c r="C57" t="n">
        <v>-1.803870967741935</v>
      </c>
      <c r="D57" t="n">
        <v>-0.4120322580645162</v>
      </c>
    </row>
    <row r="58">
      <c r="A58" s="29" t="n">
        <v>45901</v>
      </c>
      <c r="B58" t="n">
        <v>1.689533333333333</v>
      </c>
      <c r="C58" t="n">
        <v>-1.2997</v>
      </c>
      <c r="D58" t="n">
        <v>0.3898333333333333</v>
      </c>
    </row>
    <row r="59">
      <c r="A59" s="29" t="n">
        <v>45931</v>
      </c>
      <c r="B59" t="n">
        <v>2.187</v>
      </c>
      <c r="C59" t="n">
        <v>-1.130225806451613</v>
      </c>
      <c r="D59" t="n">
        <v>1.056774193548387</v>
      </c>
    </row>
    <row r="60">
      <c r="A60" s="29" t="n">
        <v>45962</v>
      </c>
      <c r="B60" t="n">
        <v>2.081066666666667</v>
      </c>
      <c r="C60" t="n">
        <v>-1.227233333333333</v>
      </c>
      <c r="D60" t="n">
        <v>0.8538333333333332</v>
      </c>
    </row>
    <row r="61">
      <c r="A61" s="29" t="n">
        <v>45992</v>
      </c>
      <c r="B61" t="n">
        <v>1.341290322580645</v>
      </c>
      <c r="C61" t="n">
        <v>-3.165806451612903</v>
      </c>
      <c r="D61" t="n">
        <v>-1.824516129032258</v>
      </c>
    </row>
    <row r="62">
      <c r="A62" s="29" t="n">
        <v>46023</v>
      </c>
      <c r="B62" t="n">
        <v>1.035096774193548</v>
      </c>
      <c r="C62" t="n">
        <v>-4.671580645161291</v>
      </c>
      <c r="D62" t="n">
        <v>-3.636483870967743</v>
      </c>
    </row>
    <row r="63">
      <c r="A63" s="29" t="n">
        <v>46054</v>
      </c>
      <c r="B63" t="n">
        <v>1.613321428571429</v>
      </c>
      <c r="C63" t="n">
        <v>-2.895678571428572</v>
      </c>
      <c r="D63" t="n">
        <v>-1.282357142857143</v>
      </c>
    </row>
    <row r="64">
      <c r="A64" s="29" t="n">
        <v>46082</v>
      </c>
      <c r="B64" t="n">
        <v>2.199451612903226</v>
      </c>
      <c r="C64" t="n">
        <v>-1.184516129032258</v>
      </c>
      <c r="D64" t="n">
        <v>1.014935483870968</v>
      </c>
    </row>
    <row r="65">
      <c r="A65" s="29" t="n">
        <v>46113</v>
      </c>
      <c r="B65" t="n">
        <v>2.0877</v>
      </c>
      <c r="C65" t="n">
        <v>-1.130866666666666</v>
      </c>
      <c r="D65" t="n">
        <v>0.9568333333333334</v>
      </c>
    </row>
    <row r="66">
      <c r="A66" s="29" t="n">
        <v>46143</v>
      </c>
      <c r="B66" t="n">
        <v>2.190806451612903</v>
      </c>
      <c r="C66" t="n">
        <v>-1.282838709677419</v>
      </c>
      <c r="D66" t="n">
        <v>0.9079677419354841</v>
      </c>
    </row>
    <row r="67">
      <c r="A67" s="29" t="n">
        <v>46174</v>
      </c>
      <c r="B67" t="n">
        <v>1.944366666666667</v>
      </c>
      <c r="C67" t="n">
        <v>-1.320233333333333</v>
      </c>
      <c r="D67" t="n">
        <v>0.6241333333333332</v>
      </c>
    </row>
    <row r="68">
      <c r="A68" s="29" t="n">
        <v>46204</v>
      </c>
      <c r="B68" t="n">
        <v>1.523032258064516</v>
      </c>
      <c r="C68" t="n">
        <v>-1.442483870967742</v>
      </c>
      <c r="D68" t="n">
        <v>0.08054838709677425</v>
      </c>
    </row>
    <row r="69">
      <c r="A69" s="29" t="n">
        <v>46235</v>
      </c>
      <c r="B69" t="n">
        <v>1.741763440860215</v>
      </c>
      <c r="C69" t="n">
        <v>-2.883548387096774</v>
      </c>
      <c r="D69" t="n">
        <v>-1.141784946236559</v>
      </c>
    </row>
    <row r="70">
      <c r="A70" s="29" t="n">
        <v>46266</v>
      </c>
      <c r="B70" t="n">
        <v>2.412133333333333</v>
      </c>
      <c r="C70" t="n">
        <v>-2.104855555555555</v>
      </c>
      <c r="D70" t="n">
        <v>0.3072777777777778</v>
      </c>
    </row>
    <row r="71">
      <c r="A71" s="29" t="n">
        <v>46296</v>
      </c>
      <c r="B71" t="n">
        <v>2.523494623655914</v>
      </c>
      <c r="C71" t="n">
        <v>-1.056784946236559</v>
      </c>
      <c r="D71" t="n">
        <v>1.466709677419355</v>
      </c>
    </row>
    <row r="72">
      <c r="A72" s="29" t="n">
        <v>46327</v>
      </c>
      <c r="B72" t="n">
        <v>1.881788888888889</v>
      </c>
      <c r="C72" t="n">
        <v>-1.287677777777778</v>
      </c>
      <c r="D72" t="n">
        <v>0.5941111111111113</v>
      </c>
    </row>
    <row r="73">
      <c r="A73" s="29" t="n">
        <v>46357</v>
      </c>
      <c r="B73" t="n">
        <v>1.379204301075269</v>
      </c>
      <c r="C73" t="n">
        <v>-2.158774193548387</v>
      </c>
      <c r="D73" t="n">
        <v>-0.7795698924731187</v>
      </c>
    </row>
    <row r="74">
      <c r="A74" s="29" t="n">
        <v>46388</v>
      </c>
      <c r="B74" t="n">
        <v>0.9953118279569892</v>
      </c>
      <c r="C74" t="n">
        <v>-4.435344086021505</v>
      </c>
      <c r="D74" t="n">
        <v>-3.440032258064516</v>
      </c>
    </row>
    <row r="75">
      <c r="A75" s="29" t="n">
        <v>46419</v>
      </c>
      <c r="B75" t="n">
        <v>1.637940886699507</v>
      </c>
      <c r="C75" t="n">
        <v>-2.852903530377668</v>
      </c>
      <c r="D75" t="n">
        <v>-1.214962643678161</v>
      </c>
    </row>
    <row r="76">
      <c r="A76" s="29" t="n">
        <v>46447</v>
      </c>
      <c r="B76" t="n">
        <v>2.392172043010753</v>
      </c>
      <c r="C76" t="n">
        <v>-1.187268817204301</v>
      </c>
      <c r="D76" t="n">
        <v>1.204903225806452</v>
      </c>
    </row>
    <row r="77">
      <c r="A77" s="29" t="n">
        <v>46478</v>
      </c>
      <c r="B77" t="n">
        <v>2.271922222222222</v>
      </c>
      <c r="C77" t="n">
        <v>-1.159666666666667</v>
      </c>
      <c r="D77" t="n">
        <v>1.112255555555556</v>
      </c>
    </row>
    <row r="78">
      <c r="A78" s="29" t="n">
        <v>46508</v>
      </c>
      <c r="B78" t="n">
        <v>2.179247311827957</v>
      </c>
      <c r="C78" t="n">
        <v>-1.123032258064516</v>
      </c>
      <c r="D78" t="n">
        <v>1.056215053763441</v>
      </c>
    </row>
    <row r="79">
      <c r="A79" s="29" t="n">
        <v>46539</v>
      </c>
      <c r="B79" t="n">
        <v>1.835466666666667</v>
      </c>
      <c r="C79" t="n">
        <v>-1.149211111111111</v>
      </c>
      <c r="D79" t="n">
        <v>0.6862555555555556</v>
      </c>
    </row>
    <row r="80">
      <c r="A80" s="29" t="n">
        <v>46569</v>
      </c>
      <c r="B80" t="n">
        <v>1.445075268817204</v>
      </c>
      <c r="C80" t="n">
        <v>-1.521387096774194</v>
      </c>
      <c r="D80" t="n">
        <v>-0.07631182795698943</v>
      </c>
    </row>
    <row r="81">
      <c r="A81" s="29" t="n">
        <v>46600</v>
      </c>
      <c r="B81" t="n">
        <v>1.741763440860215</v>
      </c>
      <c r="C81" t="n">
        <v>-2.883548387096774</v>
      </c>
      <c r="D81" t="n">
        <v>-1.141784946236559</v>
      </c>
    </row>
    <row r="82">
      <c r="A82" s="29" t="n">
        <v>46631</v>
      </c>
      <c r="B82" t="n">
        <v>2.412133333333333</v>
      </c>
      <c r="C82" t="n">
        <v>-2.104855555555555</v>
      </c>
      <c r="D82" t="n">
        <v>0.3072777777777778</v>
      </c>
    </row>
    <row r="83">
      <c r="A83" s="29" t="n">
        <v>46661</v>
      </c>
      <c r="B83" t="n">
        <v>2.523494623655914</v>
      </c>
      <c r="C83" t="n">
        <v>-1.056784946236559</v>
      </c>
      <c r="D83" t="n">
        <v>1.466709677419355</v>
      </c>
    </row>
    <row r="84">
      <c r="A84" s="29" t="n">
        <v>46692</v>
      </c>
      <c r="B84" t="n">
        <v>1.881788888888889</v>
      </c>
      <c r="C84" t="n">
        <v>-1.287677777777778</v>
      </c>
      <c r="D84" t="n">
        <v>0.5941111111111113</v>
      </c>
    </row>
    <row r="85">
      <c r="A85" s="29" t="n">
        <v>46722</v>
      </c>
      <c r="B85" t="n">
        <v>1.379204301075269</v>
      </c>
      <c r="C85" t="n">
        <v>-2.158774193548387</v>
      </c>
      <c r="D85" t="n">
        <v>-0.7795698924731187</v>
      </c>
    </row>
    <row r="86">
      <c r="A86" s="29" t="n">
        <v>46753</v>
      </c>
      <c r="B86" t="n">
        <v>0.9953118279569892</v>
      </c>
      <c r="C86" t="n">
        <v>-4.435344086021505</v>
      </c>
      <c r="D86" t="n">
        <v>-3.440032258064516</v>
      </c>
    </row>
    <row r="87">
      <c r="A87" s="29" t="n">
        <v>46784</v>
      </c>
      <c r="B87" t="n">
        <v>1.637940886699507</v>
      </c>
      <c r="C87" t="n">
        <v>-2.852903530377668</v>
      </c>
      <c r="D87" t="n">
        <v>-1.214962643678161</v>
      </c>
    </row>
    <row r="88">
      <c r="A88" s="29" t="n">
        <v>46813</v>
      </c>
      <c r="B88" t="n">
        <v>2.392172043010753</v>
      </c>
      <c r="C88" t="n">
        <v>-1.187268817204301</v>
      </c>
      <c r="D88" t="n">
        <v>1.204903225806452</v>
      </c>
    </row>
    <row r="89">
      <c r="A89" s="29" t="n">
        <v>46844</v>
      </c>
      <c r="B89" t="n">
        <v>2.271922222222222</v>
      </c>
      <c r="C89" t="n">
        <v>-1.159666666666667</v>
      </c>
      <c r="D89" t="n">
        <v>1.112255555555556</v>
      </c>
    </row>
    <row r="90">
      <c r="A90" s="29" t="n">
        <v>46874</v>
      </c>
      <c r="B90" t="n">
        <v>2.179247311827957</v>
      </c>
      <c r="C90" t="n">
        <v>-1.123032258064516</v>
      </c>
      <c r="D90" t="n">
        <v>1.056215053763441</v>
      </c>
    </row>
    <row r="91">
      <c r="A91" s="29" t="n">
        <v>46905</v>
      </c>
      <c r="B91" t="n">
        <v>1.835466666666667</v>
      </c>
      <c r="C91" t="n">
        <v>-1.149211111111111</v>
      </c>
      <c r="D91" t="n">
        <v>0.6862555555555556</v>
      </c>
    </row>
    <row r="92">
      <c r="A92" s="29" t="n">
        <v>46935</v>
      </c>
      <c r="B92" t="n">
        <v>1.445075268817204</v>
      </c>
      <c r="C92" t="n">
        <v>-1.521387096774194</v>
      </c>
      <c r="D92" t="n">
        <v>-0.07631182795698943</v>
      </c>
    </row>
    <row r="93">
      <c r="A93" s="29" t="n">
        <v>46966</v>
      </c>
      <c r="B93" t="n">
        <v>1.741763440860215</v>
      </c>
      <c r="C93" t="n">
        <v>-2.883548387096774</v>
      </c>
      <c r="D93" t="n">
        <v>-1.141784946236559</v>
      </c>
    </row>
    <row r="94">
      <c r="A94" s="29" t="n">
        <v>46997</v>
      </c>
      <c r="B94" t="n">
        <v>2.412133333333333</v>
      </c>
      <c r="C94" t="n">
        <v>-2.104855555555555</v>
      </c>
      <c r="D94" t="n">
        <v>0.3072777777777778</v>
      </c>
    </row>
    <row r="95">
      <c r="A95" s="29" t="n">
        <v>47027</v>
      </c>
      <c r="B95" t="n">
        <v>2.523494623655914</v>
      </c>
      <c r="C95" t="n">
        <v>-1.056784946236559</v>
      </c>
      <c r="D95" t="n">
        <v>1.466709677419355</v>
      </c>
    </row>
    <row r="96">
      <c r="A96" s="29" t="n">
        <v>47058</v>
      </c>
      <c r="B96" t="n">
        <v>1.881788888888889</v>
      </c>
      <c r="C96" t="n">
        <v>-1.287677777777778</v>
      </c>
      <c r="D96" t="n">
        <v>0.5941111111111113</v>
      </c>
    </row>
    <row r="97">
      <c r="A97" s="29" t="n">
        <v>47088</v>
      </c>
      <c r="B97" t="n">
        <v>1.379204301075269</v>
      </c>
      <c r="C97" t="n">
        <v>-2.158774193548387</v>
      </c>
      <c r="D97" t="n">
        <v>-0.7795698924731187</v>
      </c>
    </row>
    <row r="98">
      <c r="A98" s="29" t="n">
        <v>47119</v>
      </c>
      <c r="B98" t="n">
        <v>0.9953118279569892</v>
      </c>
      <c r="C98" t="n">
        <v>-4.435344086021505</v>
      </c>
      <c r="D98" t="n">
        <v>-3.440032258064516</v>
      </c>
    </row>
    <row r="99">
      <c r="A99" s="29" t="n">
        <v>47150</v>
      </c>
      <c r="B99" t="n">
        <v>1.637940886699507</v>
      </c>
      <c r="C99" t="n">
        <v>-2.852903530377668</v>
      </c>
      <c r="D99" t="n">
        <v>-1.214962643678161</v>
      </c>
    </row>
    <row r="100">
      <c r="A100" s="29" t="n">
        <v>47178</v>
      </c>
      <c r="B100" t="n">
        <v>2.392172043010753</v>
      </c>
      <c r="C100" t="n">
        <v>-1.187268817204301</v>
      </c>
      <c r="D100" t="n">
        <v>1.204903225806452</v>
      </c>
    </row>
    <row r="101">
      <c r="A101" s="29" t="n">
        <v>47209</v>
      </c>
      <c r="B101" t="n">
        <v>2.271922222222222</v>
      </c>
      <c r="C101" t="n">
        <v>-1.159666666666667</v>
      </c>
      <c r="D101" t="n">
        <v>1.112255555555556</v>
      </c>
    </row>
    <row r="102">
      <c r="A102" s="29" t="n">
        <v>47239</v>
      </c>
      <c r="B102" t="n">
        <v>2.179247311827957</v>
      </c>
      <c r="C102" t="n">
        <v>-1.123032258064516</v>
      </c>
      <c r="D102" t="n">
        <v>1.056215053763441</v>
      </c>
    </row>
    <row r="103">
      <c r="A103" s="29" t="n">
        <v>47270</v>
      </c>
      <c r="B103" t="n">
        <v>1.835466666666667</v>
      </c>
      <c r="C103" t="n">
        <v>-1.149211111111111</v>
      </c>
      <c r="D103" t="n">
        <v>0.6862555555555556</v>
      </c>
    </row>
    <row r="104">
      <c r="A104" s="29" t="n">
        <v>47300</v>
      </c>
      <c r="B104" t="n">
        <v>1.445075268817204</v>
      </c>
      <c r="C104" t="n">
        <v>-1.521387096774194</v>
      </c>
      <c r="D104" t="n">
        <v>-0.07631182795698943</v>
      </c>
    </row>
    <row r="105">
      <c r="A105" s="29" t="n">
        <v>47331</v>
      </c>
      <c r="B105" t="n">
        <v>1.741763440860215</v>
      </c>
      <c r="C105" t="n">
        <v>-2.883548387096774</v>
      </c>
      <c r="D105" t="n">
        <v>-1.141784946236559</v>
      </c>
    </row>
    <row r="106">
      <c r="A106" s="29" t="n">
        <v>47362</v>
      </c>
      <c r="B106" t="n">
        <v>2.412133333333333</v>
      </c>
      <c r="C106" t="n">
        <v>-2.104855555555555</v>
      </c>
      <c r="D106" t="n">
        <v>0.3072777777777778</v>
      </c>
    </row>
    <row r="107">
      <c r="A107" s="29" t="n">
        <v>47392</v>
      </c>
      <c r="B107" t="n">
        <v>2.523494623655914</v>
      </c>
      <c r="C107" t="n">
        <v>-1.056784946236559</v>
      </c>
      <c r="D107" t="n">
        <v>1.466709677419355</v>
      </c>
    </row>
    <row r="108">
      <c r="A108" s="29" t="n">
        <v>47423</v>
      </c>
      <c r="B108" t="n">
        <v>1.881788888888889</v>
      </c>
      <c r="C108" t="n">
        <v>-1.287677777777778</v>
      </c>
      <c r="D108" t="n">
        <v>0.5941111111111113</v>
      </c>
    </row>
    <row r="109">
      <c r="A109" s="29" t="n">
        <v>47453</v>
      </c>
      <c r="B109" t="n">
        <v>1.379204301075269</v>
      </c>
      <c r="C109" t="n">
        <v>-2.158774193548387</v>
      </c>
      <c r="D109" t="n">
        <v>-0.7795698924731187</v>
      </c>
    </row>
    <row r="110">
      <c r="A110" s="29" t="n">
        <v>47484</v>
      </c>
      <c r="B110" t="n">
        <v>0.9953118279569892</v>
      </c>
      <c r="C110" t="n">
        <v>-4.435344086021505</v>
      </c>
      <c r="D110" t="n">
        <v>-3.440032258064516</v>
      </c>
    </row>
    <row r="111">
      <c r="A111" s="29" t="n">
        <v>47515</v>
      </c>
      <c r="B111" t="n">
        <v>1.637940886699507</v>
      </c>
      <c r="C111" t="n">
        <v>-2.852903530377668</v>
      </c>
      <c r="D111" t="n">
        <v>-1.214962643678161</v>
      </c>
    </row>
    <row r="112">
      <c r="A112" s="29" t="n">
        <v>47543</v>
      </c>
      <c r="B112" t="n">
        <v>2.392172043010753</v>
      </c>
      <c r="C112" t="n">
        <v>-1.187268817204301</v>
      </c>
      <c r="D112" t="n">
        <v>1.204903225806452</v>
      </c>
    </row>
    <row r="113">
      <c r="A113" s="29" t="n">
        <v>47574</v>
      </c>
      <c r="B113" t="n">
        <v>2.271922222222222</v>
      </c>
      <c r="C113" t="n">
        <v>-1.159666666666667</v>
      </c>
      <c r="D113" t="n">
        <v>1.112255555555556</v>
      </c>
    </row>
    <row r="114">
      <c r="A114" s="29" t="n">
        <v>47604</v>
      </c>
      <c r="B114" t="n">
        <v>2.179247311827957</v>
      </c>
      <c r="C114" t="n">
        <v>-1.123032258064516</v>
      </c>
      <c r="D114" t="n">
        <v>1.056215053763441</v>
      </c>
    </row>
    <row r="115">
      <c r="A115" s="29" t="n">
        <v>47635</v>
      </c>
      <c r="B115" t="n">
        <v>1.835466666666667</v>
      </c>
      <c r="C115" t="n">
        <v>-1.149211111111111</v>
      </c>
      <c r="D115" t="n">
        <v>0.6862555555555556</v>
      </c>
    </row>
    <row r="116">
      <c r="A116" s="29" t="n">
        <v>47665</v>
      </c>
      <c r="B116" t="n">
        <v>1.445075268817204</v>
      </c>
      <c r="C116" t="n">
        <v>-1.521387096774194</v>
      </c>
      <c r="D116" t="n">
        <v>-0.07631182795698943</v>
      </c>
    </row>
    <row r="117">
      <c r="A117" s="29" t="n">
        <v>47696</v>
      </c>
      <c r="B117" t="n">
        <v>1.741763440860215</v>
      </c>
      <c r="C117" t="n">
        <v>-2.883548387096774</v>
      </c>
      <c r="D117" t="n">
        <v>-1.141784946236559</v>
      </c>
    </row>
    <row r="118">
      <c r="A118" s="29" t="n">
        <v>47727</v>
      </c>
      <c r="B118" t="n">
        <v>2.412133333333333</v>
      </c>
      <c r="C118" t="n">
        <v>-2.104855555555555</v>
      </c>
      <c r="D118" t="n">
        <v>0.3072777777777778</v>
      </c>
    </row>
    <row r="119">
      <c r="A119" s="29" t="n">
        <v>47757</v>
      </c>
      <c r="B119" t="n">
        <v>2.523494623655914</v>
      </c>
      <c r="C119" t="n">
        <v>-1.056784946236559</v>
      </c>
      <c r="D119" t="n">
        <v>1.466709677419355</v>
      </c>
    </row>
    <row r="120">
      <c r="A120" s="29" t="n">
        <v>47788</v>
      </c>
      <c r="B120" t="n">
        <v>1.881788888888889</v>
      </c>
      <c r="C120" t="n">
        <v>-1.287677777777778</v>
      </c>
      <c r="D120" t="n">
        <v>0.5941111111111113</v>
      </c>
    </row>
    <row r="121">
      <c r="A121" s="29" t="n">
        <v>47818</v>
      </c>
      <c r="B121" t="n">
        <v>1.379204301075269</v>
      </c>
      <c r="C121" t="n">
        <v>-2.158774193548387</v>
      </c>
      <c r="D121" t="n">
        <v>-0.7795698924731187</v>
      </c>
    </row>
    <row r="122">
      <c r="A122" s="29" t="n">
        <v>47849</v>
      </c>
      <c r="B122" t="n">
        <v>0.9953118279569892</v>
      </c>
      <c r="C122" t="n">
        <v>-4.435344086021505</v>
      </c>
      <c r="D122" t="n">
        <v>-3.440032258064516</v>
      </c>
    </row>
    <row r="123">
      <c r="A123" s="29" t="n">
        <v>47880</v>
      </c>
      <c r="B123" t="n">
        <v>1.637940886699507</v>
      </c>
      <c r="C123" t="n">
        <v>-2.852903530377668</v>
      </c>
      <c r="D123" t="n">
        <v>-1.214962643678161</v>
      </c>
    </row>
    <row r="124">
      <c r="A124" s="29" t="n">
        <v>47908</v>
      </c>
      <c r="B124" t="n">
        <v>2.392172043010753</v>
      </c>
      <c r="C124" t="n">
        <v>-1.187268817204301</v>
      </c>
      <c r="D124" t="n">
        <v>1.204903225806452</v>
      </c>
    </row>
    <row r="125">
      <c r="A125" s="29" t="n">
        <v>47939</v>
      </c>
      <c r="B125" t="n">
        <v>2.271922222222222</v>
      </c>
      <c r="C125" t="n">
        <v>-1.159666666666667</v>
      </c>
      <c r="D125" t="n">
        <v>1.112255555555556</v>
      </c>
    </row>
    <row r="126">
      <c r="A126" s="29" t="n">
        <v>47969</v>
      </c>
      <c r="B126" t="n">
        <v>2.179247311827957</v>
      </c>
      <c r="C126" t="n">
        <v>-1.123032258064516</v>
      </c>
      <c r="D126" t="n">
        <v>1.056215053763441</v>
      </c>
    </row>
    <row r="127">
      <c r="A127" s="29" t="n">
        <v>48000</v>
      </c>
      <c r="B127" t="n">
        <v>1.835466666666667</v>
      </c>
      <c r="C127" t="n">
        <v>-1.149211111111111</v>
      </c>
      <c r="D127" t="n">
        <v>0.6862555555555556</v>
      </c>
    </row>
    <row r="128">
      <c r="A128" s="29" t="n">
        <v>48030</v>
      </c>
      <c r="B128" t="n">
        <v>1.445075268817204</v>
      </c>
      <c r="C128" t="n">
        <v>-1.521387096774194</v>
      </c>
      <c r="D128" t="n">
        <v>-0.07631182795698943</v>
      </c>
    </row>
    <row r="129">
      <c r="A129" s="29" t="n">
        <v>48061</v>
      </c>
      <c r="B129" t="n">
        <v>1.741763440860215</v>
      </c>
      <c r="C129" t="n">
        <v>-2.883548387096774</v>
      </c>
      <c r="D129" t="n">
        <v>-1.141784946236559</v>
      </c>
    </row>
    <row r="130">
      <c r="A130" s="29" t="n">
        <v>48092</v>
      </c>
      <c r="B130" t="n">
        <v>2.412133333333333</v>
      </c>
      <c r="C130" t="n">
        <v>-2.104855555555555</v>
      </c>
      <c r="D130" t="n">
        <v>0.3072777777777778</v>
      </c>
    </row>
    <row r="131">
      <c r="A131" s="29" t="n">
        <v>48122</v>
      </c>
      <c r="B131" t="n">
        <v>2.523494623655914</v>
      </c>
      <c r="C131" t="n">
        <v>-1.056784946236559</v>
      </c>
      <c r="D131" t="n">
        <v>1.466709677419355</v>
      </c>
    </row>
    <row r="132">
      <c r="A132" s="29" t="n">
        <v>48153</v>
      </c>
      <c r="B132" t="n">
        <v>1.881788888888889</v>
      </c>
      <c r="C132" t="n">
        <v>-1.287677777777778</v>
      </c>
      <c r="D132" t="n">
        <v>0.5941111111111113</v>
      </c>
    </row>
    <row r="133">
      <c r="A133" s="29" t="n">
        <v>48183</v>
      </c>
      <c r="B133" t="n">
        <v>1.379204301075269</v>
      </c>
      <c r="C133" t="n">
        <v>-2.158774193548387</v>
      </c>
      <c r="D133" t="n">
        <v>-0.7795698924731187</v>
      </c>
    </row>
    <row r="134">
      <c r="A134" s="29" t="n">
        <v>48214</v>
      </c>
      <c r="B134" t="n">
        <v>0.9953118279569892</v>
      </c>
      <c r="C134" t="n">
        <v>-4.435344086021505</v>
      </c>
      <c r="D134" t="n">
        <v>-3.440032258064516</v>
      </c>
    </row>
    <row r="135">
      <c r="A135" s="29" t="n">
        <v>48245</v>
      </c>
      <c r="B135" t="n">
        <v>1.637940886699507</v>
      </c>
      <c r="C135" t="n">
        <v>-2.852903530377668</v>
      </c>
      <c r="D135" t="n">
        <v>-1.214962643678161</v>
      </c>
    </row>
    <row r="136">
      <c r="A136" s="29" t="n">
        <v>48274</v>
      </c>
      <c r="B136" t="n">
        <v>2.392172043010753</v>
      </c>
      <c r="C136" t="n">
        <v>-1.187268817204301</v>
      </c>
      <c r="D136" t="n">
        <v>1.204903225806452</v>
      </c>
    </row>
    <row r="137">
      <c r="A137" s="29" t="n">
        <v>48305</v>
      </c>
      <c r="B137" t="n">
        <v>2.271922222222222</v>
      </c>
      <c r="C137" t="n">
        <v>-1.159666666666667</v>
      </c>
      <c r="D137" t="n">
        <v>1.112255555555556</v>
      </c>
    </row>
    <row r="138">
      <c r="A138" s="29" t="n">
        <v>48335</v>
      </c>
      <c r="B138" t="n">
        <v>2.179247311827957</v>
      </c>
      <c r="C138" t="n">
        <v>-1.123032258064516</v>
      </c>
      <c r="D138" t="n">
        <v>1.056215053763441</v>
      </c>
    </row>
    <row r="139">
      <c r="A139" s="29" t="n">
        <v>48366</v>
      </c>
      <c r="B139" t="n">
        <v>1.835466666666667</v>
      </c>
      <c r="C139" t="n">
        <v>-1.149211111111111</v>
      </c>
      <c r="D139" t="n">
        <v>0.6862555555555556</v>
      </c>
    </row>
    <row r="140">
      <c r="A140" s="29" t="n">
        <v>48396</v>
      </c>
      <c r="B140" t="n">
        <v>1.445075268817204</v>
      </c>
      <c r="C140" t="n">
        <v>-1.521387096774194</v>
      </c>
      <c r="D140" t="n">
        <v>-0.07631182795698943</v>
      </c>
    </row>
    <row r="141">
      <c r="A141" s="29" t="n">
        <v>48427</v>
      </c>
      <c r="B141" t="n">
        <v>1.741763440860215</v>
      </c>
      <c r="C141" t="n">
        <v>-2.883548387096774</v>
      </c>
      <c r="D141" t="n">
        <v>-1.141784946236559</v>
      </c>
    </row>
    <row r="142">
      <c r="A142" s="29" t="n">
        <v>48458</v>
      </c>
      <c r="B142" t="n">
        <v>2.412133333333333</v>
      </c>
      <c r="C142" t="n">
        <v>-2.104855555555555</v>
      </c>
      <c r="D142" t="n">
        <v>0.3072777777777778</v>
      </c>
    </row>
    <row r="143">
      <c r="A143" s="29" t="n">
        <v>48488</v>
      </c>
      <c r="B143" t="n">
        <v>2.523494623655914</v>
      </c>
      <c r="C143" t="n">
        <v>-1.056784946236559</v>
      </c>
      <c r="D143" t="n">
        <v>1.466709677419355</v>
      </c>
    </row>
    <row r="144">
      <c r="A144" s="29" t="n">
        <v>48519</v>
      </c>
      <c r="B144" t="n">
        <v>1.881788888888889</v>
      </c>
      <c r="C144" t="n">
        <v>-1.287677777777778</v>
      </c>
      <c r="D144" t="n">
        <v>0.5941111111111113</v>
      </c>
    </row>
    <row r="145">
      <c r="A145" s="29" t="n">
        <v>48549</v>
      </c>
      <c r="B145" t="n">
        <v>1.379204301075269</v>
      </c>
      <c r="C145" t="n">
        <v>-2.158774193548387</v>
      </c>
      <c r="D145" t="n">
        <v>-0.7795698924731187</v>
      </c>
    </row>
    <row r="146">
      <c r="A146" s="29" t="n">
        <v>48580</v>
      </c>
      <c r="B146" t="n">
        <v>0.9953118279569892</v>
      </c>
      <c r="C146" t="n">
        <v>-4.435344086021505</v>
      </c>
      <c r="D146" t="n">
        <v>-3.440032258064516</v>
      </c>
    </row>
    <row r="147">
      <c r="A147" s="29" t="n">
        <v>48611</v>
      </c>
      <c r="B147" t="n">
        <v>1.637940886699507</v>
      </c>
      <c r="C147" t="n">
        <v>-2.852903530377668</v>
      </c>
      <c r="D147" t="n">
        <v>-1.214962643678161</v>
      </c>
    </row>
    <row r="148">
      <c r="A148" s="29" t="n">
        <v>48639</v>
      </c>
      <c r="B148" t="n">
        <v>2.392172043010753</v>
      </c>
      <c r="C148" t="n">
        <v>-1.187268817204301</v>
      </c>
      <c r="D148" t="n">
        <v>1.204903225806452</v>
      </c>
    </row>
    <row r="149">
      <c r="A149" s="29" t="n">
        <v>48670</v>
      </c>
      <c r="B149" t="n">
        <v>2.271922222222222</v>
      </c>
      <c r="C149" t="n">
        <v>-1.159666666666667</v>
      </c>
      <c r="D149" t="n">
        <v>1.112255555555556</v>
      </c>
    </row>
    <row r="150">
      <c r="A150" s="29" t="n">
        <v>48700</v>
      </c>
      <c r="B150" t="n">
        <v>2.179247311827957</v>
      </c>
      <c r="C150" t="n">
        <v>-1.123032258064516</v>
      </c>
      <c r="D150" t="n">
        <v>1.056215053763441</v>
      </c>
    </row>
    <row r="151">
      <c r="A151" s="29" t="n">
        <v>48731</v>
      </c>
      <c r="B151" t="n">
        <v>1.835466666666667</v>
      </c>
      <c r="C151" t="n">
        <v>-1.149211111111111</v>
      </c>
      <c r="D151" t="n">
        <v>0.6862555555555556</v>
      </c>
    </row>
    <row r="152">
      <c r="A152" s="29" t="n">
        <v>48761</v>
      </c>
      <c r="B152" t="n">
        <v>1.445075268817204</v>
      </c>
      <c r="C152" t="n">
        <v>-1.521387096774194</v>
      </c>
      <c r="D152" t="n">
        <v>-0.07631182795698943</v>
      </c>
    </row>
    <row r="153">
      <c r="A153" s="29" t="n">
        <v>48792</v>
      </c>
      <c r="B153" t="n">
        <v>1.741763440860215</v>
      </c>
      <c r="C153" t="n">
        <v>-2.883548387096774</v>
      </c>
      <c r="D153" t="n">
        <v>-1.141784946236559</v>
      </c>
    </row>
    <row r="154">
      <c r="A154" s="29" t="n">
        <v>48823</v>
      </c>
      <c r="B154" t="n">
        <v>2.412133333333333</v>
      </c>
      <c r="C154" t="n">
        <v>-2.104855555555555</v>
      </c>
      <c r="D154" t="n">
        <v>0.3072777777777778</v>
      </c>
    </row>
    <row r="155">
      <c r="A155" s="29" t="n">
        <v>48853</v>
      </c>
      <c r="B155" t="n">
        <v>2.523494623655914</v>
      </c>
      <c r="C155" t="n">
        <v>-1.056784946236559</v>
      </c>
      <c r="D155" t="n">
        <v>1.466709677419355</v>
      </c>
    </row>
    <row r="156">
      <c r="A156" s="29" t="n">
        <v>48884</v>
      </c>
      <c r="B156" t="n">
        <v>1.881788888888889</v>
      </c>
      <c r="C156" t="n">
        <v>-1.287677777777778</v>
      </c>
      <c r="D156" t="n">
        <v>0.5941111111111113</v>
      </c>
    </row>
    <row r="157">
      <c r="A157" s="29" t="n">
        <v>48914</v>
      </c>
      <c r="B157" t="n">
        <v>1.379204301075269</v>
      </c>
      <c r="C157" t="n">
        <v>-2.158774193548387</v>
      </c>
      <c r="D157" t="n">
        <v>-0.7795698924731187</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11" customWidth="1" min="1" max="1"/>
  </cols>
  <sheetData>
    <row r="1">
      <c r="A1" t="inlineStr">
        <is>
          <t>Date</t>
        </is>
      </c>
      <c r="B1" t="inlineStr">
        <is>
          <t>STEO Permian marketed</t>
        </is>
      </c>
      <c r="C1" t="inlineStr">
        <is>
          <t>Takeaway + local demand, base</t>
        </is>
      </c>
      <c r="D1" t="inlineStr">
        <is>
          <t>Takeaway + local demand, delayed</t>
        </is>
      </c>
    </row>
    <row r="2">
      <c r="A2" s="29" t="n">
        <v>45658</v>
      </c>
      <c r="B2" t="n">
        <v>25.8628571</v>
      </c>
      <c r="C2" t="n">
        <v>29.5</v>
      </c>
      <c r="D2" t="n">
        <v>29.5</v>
      </c>
    </row>
    <row r="3">
      <c r="A3" s="29" t="n">
        <v>45689</v>
      </c>
      <c r="B3" t="n">
        <v>26.24216551</v>
      </c>
      <c r="C3" t="n">
        <v>29.5</v>
      </c>
      <c r="D3" t="n">
        <v>29.5</v>
      </c>
    </row>
    <row r="4">
      <c r="A4" s="29" t="n">
        <v>45717</v>
      </c>
      <c r="B4" t="n">
        <v>26.90011915</v>
      </c>
      <c r="C4" t="n">
        <v>29.5</v>
      </c>
      <c r="D4" t="n">
        <v>29.5</v>
      </c>
    </row>
    <row r="5">
      <c r="A5" s="29" t="n">
        <v>45748</v>
      </c>
      <c r="B5" t="n">
        <v>26.86271651</v>
      </c>
      <c r="C5" t="n">
        <v>29.5</v>
      </c>
      <c r="D5" t="n">
        <v>29.5</v>
      </c>
    </row>
    <row r="6">
      <c r="A6" s="29" t="n">
        <v>45778</v>
      </c>
      <c r="B6" t="n">
        <v>26.87354047</v>
      </c>
      <c r="C6" t="n">
        <v>29.5</v>
      </c>
      <c r="D6" t="n">
        <v>29.5</v>
      </c>
    </row>
    <row r="7">
      <c r="A7" s="29" t="n">
        <v>45809</v>
      </c>
      <c r="B7" t="n">
        <v>27.44288166</v>
      </c>
      <c r="C7" t="n">
        <v>29.5</v>
      </c>
      <c r="D7" t="n">
        <v>29.5</v>
      </c>
    </row>
    <row r="8">
      <c r="A8" s="29" t="n">
        <v>45839</v>
      </c>
      <c r="B8" t="n">
        <v>28.10213521</v>
      </c>
      <c r="C8" t="n">
        <v>29.5</v>
      </c>
      <c r="D8" t="n">
        <v>29.5</v>
      </c>
    </row>
    <row r="9">
      <c r="A9" s="29" t="n">
        <v>45870</v>
      </c>
      <c r="B9" t="n">
        <v>28.369864</v>
      </c>
      <c r="C9" t="n">
        <v>29.5</v>
      </c>
      <c r="D9" t="n">
        <v>29.5</v>
      </c>
    </row>
    <row r="10">
      <c r="A10" s="29" t="n">
        <v>45901</v>
      </c>
      <c r="B10" t="n">
        <v>28.56749256</v>
      </c>
      <c r="C10" t="n">
        <v>29.5</v>
      </c>
      <c r="D10" t="n">
        <v>29.5</v>
      </c>
    </row>
    <row r="11">
      <c r="A11" s="29" t="n">
        <v>45931</v>
      </c>
      <c r="B11" t="n">
        <v>27.71589029</v>
      </c>
      <c r="C11" t="n">
        <v>29.5</v>
      </c>
      <c r="D11" t="n">
        <v>29.5</v>
      </c>
    </row>
    <row r="12">
      <c r="A12" s="29" t="n">
        <v>45962</v>
      </c>
      <c r="B12" t="n">
        <v>28.67203573</v>
      </c>
      <c r="C12" t="n">
        <v>29.5</v>
      </c>
      <c r="D12" t="n">
        <v>29.5</v>
      </c>
    </row>
    <row r="13">
      <c r="A13" s="29" t="n">
        <v>45992</v>
      </c>
      <c r="B13" t="n">
        <v>28.95910602</v>
      </c>
      <c r="C13" t="n">
        <v>29.5</v>
      </c>
      <c r="D13" t="n">
        <v>29.5</v>
      </c>
    </row>
    <row r="14">
      <c r="A14" s="29" t="n">
        <v>46023</v>
      </c>
      <c r="B14" t="n">
        <v>27.5530688</v>
      </c>
      <c r="C14" t="n">
        <v>29.5</v>
      </c>
      <c r="D14" t="n">
        <v>29.5</v>
      </c>
    </row>
    <row r="15">
      <c r="A15" s="29" t="n">
        <v>46054</v>
      </c>
      <c r="B15" t="n">
        <v>28.88916257</v>
      </c>
      <c r="C15" t="n">
        <v>29.5</v>
      </c>
      <c r="D15" t="n">
        <v>29.5</v>
      </c>
    </row>
    <row r="16">
      <c r="A16" s="29" t="n">
        <v>46082</v>
      </c>
      <c r="B16" t="n">
        <v>28.82263279</v>
      </c>
      <c r="C16" t="n">
        <v>29.5</v>
      </c>
      <c r="D16" t="n">
        <v>29.5</v>
      </c>
    </row>
    <row r="17">
      <c r="A17" s="29" t="n">
        <v>46113</v>
      </c>
      <c r="B17" t="n">
        <v>28.8747526</v>
      </c>
      <c r="C17" t="n">
        <v>29.5</v>
      </c>
      <c r="D17" t="n">
        <v>29.5</v>
      </c>
    </row>
    <row r="18">
      <c r="A18" s="29" t="n">
        <v>46143</v>
      </c>
      <c r="B18" t="n">
        <v>28.8487544</v>
      </c>
      <c r="C18" t="n">
        <v>29.5</v>
      </c>
      <c r="D18" t="n">
        <v>29.5</v>
      </c>
    </row>
    <row r="19">
      <c r="A19" s="29" t="n">
        <v>46174</v>
      </c>
      <c r="B19" t="n">
        <v>29.35056375</v>
      </c>
      <c r="C19" t="n">
        <v>29.5</v>
      </c>
      <c r="D19" t="n">
        <v>29.5</v>
      </c>
    </row>
    <row r="20">
      <c r="A20" s="29" t="n">
        <v>46204</v>
      </c>
      <c r="B20" t="n">
        <v>30.38478184</v>
      </c>
      <c r="C20" t="n">
        <v>30.07</v>
      </c>
      <c r="D20" t="n">
        <v>29.5</v>
      </c>
    </row>
    <row r="21">
      <c r="A21" s="29" t="n">
        <v>46235</v>
      </c>
      <c r="B21" t="n">
        <v>30.07051295</v>
      </c>
      <c r="C21" t="n">
        <v>30.07</v>
      </c>
      <c r="D21" t="n">
        <v>29.5</v>
      </c>
    </row>
    <row r="22">
      <c r="A22" s="29" t="n">
        <v>46266</v>
      </c>
      <c r="B22" t="n">
        <v>30.20514606</v>
      </c>
      <c r="C22" t="n">
        <v>30.07</v>
      </c>
      <c r="D22" t="n">
        <v>29.5</v>
      </c>
    </row>
    <row r="23">
      <c r="A23" s="29" t="n">
        <v>46296</v>
      </c>
      <c r="B23" t="n">
        <v>30.3323421</v>
      </c>
      <c r="C23" t="n">
        <v>32.57</v>
      </c>
      <c r="D23" t="n">
        <v>29.5</v>
      </c>
    </row>
    <row r="24">
      <c r="A24" s="29" t="n">
        <v>46327</v>
      </c>
      <c r="B24" t="n">
        <v>30.45355609</v>
      </c>
      <c r="C24" t="n">
        <v>32.57</v>
      </c>
      <c r="D24" t="n">
        <v>29.5</v>
      </c>
    </row>
    <row r="25">
      <c r="A25" s="29" t="n">
        <v>46357</v>
      </c>
      <c r="B25" t="n">
        <v>30.58209654</v>
      </c>
      <c r="C25" t="n">
        <v>34.07</v>
      </c>
      <c r="D25" t="n">
        <v>29.5</v>
      </c>
    </row>
    <row r="26">
      <c r="A26" s="29" t="n">
        <v>46388</v>
      </c>
      <c r="B26" t="n">
        <v>30.15172012</v>
      </c>
      <c r="C26" t="n">
        <v>34.07</v>
      </c>
      <c r="D26" t="n">
        <v>30.07</v>
      </c>
    </row>
    <row r="27">
      <c r="A27" s="29" t="n">
        <v>46419</v>
      </c>
      <c r="B27" t="n">
        <v>30.97206464</v>
      </c>
      <c r="C27" t="n">
        <v>34.07</v>
      </c>
      <c r="D27" t="n">
        <v>30.07</v>
      </c>
    </row>
    <row r="28">
      <c r="A28" s="29" t="n">
        <v>46447</v>
      </c>
      <c r="B28" t="n">
        <v>31.17923163</v>
      </c>
      <c r="C28" t="n">
        <v>34.07</v>
      </c>
      <c r="D28" t="n">
        <v>30.07</v>
      </c>
    </row>
    <row r="29">
      <c r="A29" s="29" t="n">
        <v>46478</v>
      </c>
      <c r="B29" t="n">
        <v>31.40202298</v>
      </c>
      <c r="C29" t="n">
        <v>34.07</v>
      </c>
      <c r="D29" t="n">
        <v>32.57</v>
      </c>
    </row>
    <row r="30">
      <c r="A30" s="29" t="n">
        <v>46508</v>
      </c>
      <c r="B30" t="n">
        <v>31.64563043</v>
      </c>
      <c r="C30" t="n">
        <v>34.07</v>
      </c>
      <c r="D30" t="n">
        <v>32.57</v>
      </c>
    </row>
    <row r="31">
      <c r="A31" s="29" t="n">
        <v>46539</v>
      </c>
      <c r="B31" t="n">
        <v>31.90672896</v>
      </c>
      <c r="C31" t="n">
        <v>34.07</v>
      </c>
      <c r="D31" t="n">
        <v>34.07</v>
      </c>
    </row>
    <row r="32">
      <c r="A32" s="29" t="n">
        <v>46569</v>
      </c>
      <c r="B32" t="n">
        <v>32.17844338</v>
      </c>
      <c r="C32" t="n">
        <v>34.77</v>
      </c>
      <c r="D32" t="n">
        <v>34.07</v>
      </c>
    </row>
    <row r="33">
      <c r="A33" s="29" t="n">
        <v>46600</v>
      </c>
      <c r="B33" t="n">
        <v>32.45100548</v>
      </c>
      <c r="C33" t="n">
        <v>34.77</v>
      </c>
      <c r="D33" t="n">
        <v>34.07</v>
      </c>
    </row>
    <row r="34">
      <c r="A34" s="29" t="n">
        <v>46631</v>
      </c>
      <c r="B34" t="n">
        <v>32.72272298</v>
      </c>
      <c r="C34" t="n">
        <v>34.77</v>
      </c>
      <c r="D34" t="n">
        <v>34.07</v>
      </c>
    </row>
    <row r="35">
      <c r="A35" s="29" t="n">
        <v>46661</v>
      </c>
      <c r="B35" t="n">
        <v>32.98902567</v>
      </c>
      <c r="C35" t="n">
        <v>36.52</v>
      </c>
      <c r="D35" t="n">
        <v>34.07</v>
      </c>
    </row>
    <row r="36">
      <c r="A36" s="29" t="n">
        <v>46692</v>
      </c>
      <c r="B36" t="n">
        <v>33.24473096</v>
      </c>
      <c r="C36" t="n">
        <v>36.52</v>
      </c>
      <c r="D36" t="n">
        <v>34.07</v>
      </c>
    </row>
    <row r="37">
      <c r="A37" s="29" t="n">
        <v>46722</v>
      </c>
      <c r="B37" t="n">
        <v>33.49180042</v>
      </c>
      <c r="C37" t="n">
        <v>36.52</v>
      </c>
      <c r="D37" t="n">
        <v>34.07</v>
      </c>
    </row>
    <row r="38">
      <c r="A38" s="29" t="n">
        <v>46753</v>
      </c>
      <c r="B38" t="n">
        <v>32.70155823083687</v>
      </c>
      <c r="C38" t="n">
        <v>36.52</v>
      </c>
      <c r="D38" t="n">
        <v>34.77</v>
      </c>
    </row>
    <row r="39">
      <c r="A39" s="29" t="n">
        <v>46784</v>
      </c>
      <c r="B39" t="n">
        <v>33.59127676043855</v>
      </c>
      <c r="C39" t="n">
        <v>36.52</v>
      </c>
      <c r="D39" t="n">
        <v>34.77</v>
      </c>
    </row>
    <row r="40">
      <c r="A40" s="29" t="n">
        <v>46813</v>
      </c>
      <c r="B40" t="n">
        <v>33.81596322476064</v>
      </c>
      <c r="C40" t="n">
        <v>36.52</v>
      </c>
      <c r="D40" t="n">
        <v>34.77</v>
      </c>
    </row>
    <row r="41">
      <c r="A41" s="29" t="n">
        <v>46844</v>
      </c>
      <c r="B41" t="n">
        <v>34.05759535308884</v>
      </c>
      <c r="C41" t="n">
        <v>36.52</v>
      </c>
      <c r="D41" t="n">
        <v>36.52</v>
      </c>
    </row>
    <row r="42">
      <c r="A42" s="29" t="n">
        <v>46874</v>
      </c>
      <c r="B42" t="n">
        <v>34.32180393488569</v>
      </c>
      <c r="C42" t="n">
        <v>36.52</v>
      </c>
      <c r="D42" t="n">
        <v>36.52</v>
      </c>
    </row>
    <row r="43">
      <c r="A43" s="29" t="n">
        <v>46905</v>
      </c>
      <c r="B43" t="n">
        <v>34.60498276345001</v>
      </c>
      <c r="C43" t="n">
        <v>36.52</v>
      </c>
      <c r="D43" t="n">
        <v>36.52</v>
      </c>
    </row>
    <row r="44">
      <c r="A44" s="29" t="n">
        <v>46935</v>
      </c>
      <c r="B44" t="n">
        <v>34.89967523513736</v>
      </c>
      <c r="C44" t="n">
        <v>39.02</v>
      </c>
      <c r="D44" t="n">
        <v>36.52</v>
      </c>
    </row>
    <row r="45">
      <c r="A45" s="29" t="n">
        <v>46966</v>
      </c>
      <c r="B45" t="n">
        <v>35.19528707251168</v>
      </c>
      <c r="C45" t="n">
        <v>39.02</v>
      </c>
      <c r="D45" t="n">
        <v>36.52</v>
      </c>
    </row>
    <row r="46">
      <c r="A46" s="29" t="n">
        <v>46997</v>
      </c>
      <c r="B46" t="n">
        <v>35.48998288466514</v>
      </c>
      <c r="C46" t="n">
        <v>39.02</v>
      </c>
      <c r="D46" t="n">
        <v>36.52</v>
      </c>
    </row>
    <row r="47">
      <c r="A47" s="29" t="n">
        <v>47027</v>
      </c>
      <c r="B47" t="n">
        <v>35.77880597301316</v>
      </c>
      <c r="C47" t="n">
        <v>39.02</v>
      </c>
      <c r="D47" t="n">
        <v>36.52</v>
      </c>
    </row>
    <row r="48">
      <c r="A48" s="29" t="n">
        <v>47058</v>
      </c>
      <c r="B48" t="n">
        <v>36.0561354718805</v>
      </c>
      <c r="C48" t="n">
        <v>39.02</v>
      </c>
      <c r="D48" t="n">
        <v>36.52</v>
      </c>
    </row>
    <row r="49">
      <c r="A49" s="29" t="n">
        <v>47088</v>
      </c>
      <c r="B49" t="n">
        <v>36.32409883520093</v>
      </c>
      <c r="C49" t="n">
        <v>39.02</v>
      </c>
      <c r="D49" t="n">
        <v>36.52</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B1" t="inlineStr">
        <is>
          <t>Month</t>
        </is>
      </c>
      <c r="C1" t="inlineStr">
        <is>
          <t>Base Bcf/d</t>
        </is>
      </c>
      <c r="D1" t="inlineStr">
        <is>
          <t>Delayed Bcf/d</t>
        </is>
      </c>
      <c r="E1" t="inlineStr">
        <is>
          <t>Dry production base Bcf/d</t>
        </is>
      </c>
      <c r="F1" t="inlineStr">
        <is>
          <t>Dry production delayed Bcf/d</t>
        </is>
      </c>
      <c r="G1" t="inlineStr">
        <is>
          <t>Demand incl. LNG base Bcf/d</t>
        </is>
      </c>
      <c r="H1" t="inlineStr">
        <is>
          <t>Demand incl. LNG delayed Bcf/d</t>
        </is>
      </c>
      <c r="I1" t="inlineStr">
        <is>
          <t>Base net outflow Bcf/d</t>
        </is>
      </c>
      <c r="J1" t="inlineStr">
        <is>
          <t>Delayed net outflow Bcf/d</t>
        </is>
      </c>
    </row>
    <row r="2">
      <c r="A2" t="n">
        <v>0</v>
      </c>
      <c r="B2" t="inlineStr">
        <is>
          <t>Dec 2026</t>
        </is>
      </c>
      <c r="C2" t="n">
        <v>38.04949500826792</v>
      </c>
      <c r="D2" t="n">
        <v>37.12971294926792</v>
      </c>
      <c r="E2" t="n">
        <v>31.82203171238674</v>
      </c>
      <c r="F2" t="n">
        <v>31.05278802482604</v>
      </c>
      <c r="G2" t="n">
        <v>21.4729864816125</v>
      </c>
      <c r="H2" t="n">
        <v>21.33571480450669</v>
      </c>
      <c r="I2" t="n">
        <v>11.12861512324736</v>
      </c>
      <c r="J2" t="n">
        <v>10.49664311279248</v>
      </c>
    </row>
    <row r="3">
      <c r="A3" t="n">
        <v>1</v>
      </c>
      <c r="B3" t="inlineStr">
        <is>
          <t>Dec 2027</t>
        </is>
      </c>
      <c r="C3" t="n">
        <v>41.02858907126792</v>
      </c>
      <c r="D3" t="n">
        <v>41.02858907126792</v>
      </c>
      <c r="E3" t="n">
        <v>34.31354508796161</v>
      </c>
      <c r="F3" t="n">
        <v>34.31354508796161</v>
      </c>
      <c r="G3" t="n">
        <v>24.94187013076359</v>
      </c>
      <c r="H3" t="n">
        <v>22.83715677015988</v>
      </c>
      <c r="I3" t="n">
        <v>10.15124484967114</v>
      </c>
      <c r="J3" t="n">
        <v>12.25595821027485</v>
      </c>
    </row>
    <row r="4">
      <c r="A4" t="n">
        <v>2</v>
      </c>
      <c r="B4" t="inlineStr">
        <is>
          <t>Dec 2028</t>
        </is>
      </c>
      <c r="C4" t="n">
        <v>44.16179762757255</v>
      </c>
      <c r="D4" t="n">
        <v>44.16179762757255</v>
      </c>
      <c r="E4" t="n">
        <v>36.93394943284404</v>
      </c>
      <c r="F4" t="n">
        <v>36.93394943284404</v>
      </c>
      <c r="G4" t="n">
        <v>27.73950082871613</v>
      </c>
      <c r="H4" t="n">
        <v>26.36267119719755</v>
      </c>
      <c r="I4" t="n">
        <v>9.97401849660103</v>
      </c>
      <c r="J4" t="n">
        <v>11.35084812811961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B1" t="inlineStr">
        <is>
          <t>Assumption</t>
        </is>
      </c>
      <c r="C1" t="inlineStr">
        <is>
          <t>Value</t>
        </is>
      </c>
      <c r="D1" t="inlineStr">
        <is>
          <t>Unit</t>
        </is>
      </c>
      <c r="E1" t="inlineStr">
        <is>
          <t>Note</t>
        </is>
      </c>
    </row>
    <row r="2">
      <c r="A2" t="n">
        <v>0</v>
      </c>
      <c r="B2" t="inlineStr">
        <is>
          <t>Permian Texas share of STEO Permian</t>
        </is>
      </c>
      <c r="C2" t="n">
        <v>0.85</v>
      </c>
      <c r="D2" t="inlineStr">
        <is>
          <t>share</t>
        </is>
      </c>
      <c r="E2" t="inlineStr">
        <is>
          <t>STEO Permian = Texas + southeast New Mexico (NM about 13-15%). Assumption.</t>
        </is>
      </c>
    </row>
    <row r="3">
      <c r="A3" t="n">
        <v>1</v>
      </c>
      <c r="B3" t="inlineStr">
        <is>
          <t>Haynesville Texas share of STEO Haynesville</t>
        </is>
      </c>
      <c r="C3" t="n">
        <v>0.3</v>
      </c>
      <c r="D3" t="inlineStr">
        <is>
          <t>share</t>
        </is>
      </c>
      <c r="E3" t="inlineStr">
        <is>
          <t>STEO Haynesville = East Texas + Louisiana. Assumption (unverified).</t>
        </is>
      </c>
    </row>
    <row r="4">
      <c r="A4" t="n">
        <v>2</v>
      </c>
      <c r="B4" t="inlineStr">
        <is>
          <t>Eagle Ford Texas share</t>
        </is>
      </c>
      <c r="C4" t="n">
        <v>1</v>
      </c>
      <c r="D4" t="inlineStr">
        <is>
          <t>share</t>
        </is>
      </c>
      <c r="E4" t="inlineStr">
        <is>
          <t>Eagle Ford is in Texas.</t>
        </is>
      </c>
    </row>
    <row r="5">
      <c r="A5" t="n">
        <v>3</v>
      </c>
      <c r="B5" t="inlineStr">
        <is>
          <t>Local Permian demand (power, industrial, Mexico-bound not included)</t>
        </is>
      </c>
      <c r="C5" t="n">
        <v>3</v>
      </c>
      <c r="D5" t="inlineStr">
        <is>
          <t>Bcf/d</t>
        </is>
      </c>
      <c r="E5" t="inlineStr">
        <is>
          <t>Gas consumed in the basin, adds to takeaway in the cap. Unverified.</t>
        </is>
      </c>
    </row>
    <row r="6">
      <c r="A6" t="n">
        <v>4</v>
      </c>
      <c r="B6" t="inlineStr">
        <is>
          <t>Takeaway delay in the delayed scenario</t>
        </is>
      </c>
      <c r="C6" t="n">
        <v>6</v>
      </c>
      <c r="D6" t="inlineStr">
        <is>
          <t>months</t>
        </is>
      </c>
      <c r="E6" t="inlineStr">
        <is>
          <t>Every pipeline with status not 'in service' slips by this many months.</t>
        </is>
      </c>
    </row>
    <row r="7">
      <c r="A7" t="n">
        <v>5</v>
      </c>
      <c r="B7" t="inlineStr">
        <is>
          <t>Net storage change override (Bcf/d average, + = net injection; blank = last-3-year mean)</t>
        </is>
      </c>
      <c r="D7" t="inlineStr">
        <is>
          <t>Bcf/d</t>
        </is>
      </c>
      <c r="E7" t="inlineStr">
        <is>
          <t>ASSUMPTION (editable; blank = use the last-3-year mean). Texas working-gas capacity additions are NOT assumed.</t>
        </is>
      </c>
    </row>
    <row r="8">
      <c r="A8" t="n">
        <v>6</v>
      </c>
      <c r="B8" t="inlineStr">
        <is>
          <t>Net storage change used (Bcf/d average, + = net injection)</t>
        </is>
      </c>
      <c r="C8" t="n">
        <v>-0.01874446761834138</v>
      </c>
      <c r="D8" t="inlineStr">
        <is>
          <t>Bcf/d</t>
        </is>
      </c>
      <c r="E8" t="inlineStr">
        <is>
          <t>mean of EIA months Aug/23-Jul/26 (last-3-year mean -0.019); applied to the forecast months by holding the annual mean net injection there.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B1" t="inlineStr">
        <is>
          <t>Unnamed: 0.6</t>
        </is>
      </c>
      <c r="C1" t="inlineStr">
        <is>
          <t>Unnamed: 0.5</t>
        </is>
      </c>
      <c r="D1" t="inlineStr">
        <is>
          <t>Unnamed: 0.4</t>
        </is>
      </c>
      <c r="E1" t="inlineStr">
        <is>
          <t>Unnamed: 0.3</t>
        </is>
      </c>
      <c r="F1" t="inlineStr">
        <is>
          <t>Unnamed: 0.2</t>
        </is>
      </c>
      <c r="G1" t="inlineStr">
        <is>
          <t>Unnamed: 0.1</t>
        </is>
      </c>
      <c r="H1" t="inlineStr">
        <is>
          <t>Unnamed: 0</t>
        </is>
      </c>
      <c r="I1" t="inlineStr">
        <is>
          <t>Pipeline</t>
        </is>
      </c>
      <c r="J1" t="inlineStr">
        <is>
          <t>Capacity Bcf/d</t>
        </is>
      </c>
      <c r="K1" t="inlineStr">
        <is>
          <t>In-service month</t>
        </is>
      </c>
      <c r="L1" t="inlineStr">
        <is>
          <t>Status</t>
        </is>
      </c>
      <c r="M1" t="inlineStr">
        <is>
          <t>Source / verification</t>
        </is>
      </c>
    </row>
    <row r="2">
      <c r="A2" t="n">
        <v>0</v>
      </c>
      <c r="B2" t="n">
        <v>0</v>
      </c>
      <c r="C2" t="n">
        <v>0</v>
      </c>
      <c r="D2" t="n">
        <v>0</v>
      </c>
      <c r="E2" t="n">
        <v>0</v>
      </c>
      <c r="F2" t="n">
        <v>0</v>
      </c>
      <c r="G2" t="n">
        <v>0</v>
      </c>
      <c r="H2" t="n">
        <v>0</v>
      </c>
      <c r="I2" t="inlineStr">
        <is>
          <t>Existing Permian takeaway (aggregate, Waha-bound + Midland/Eagle Ford routes incl. Matterhorn)</t>
        </is>
      </c>
      <c r="J2" t="n">
        <v>26.5</v>
      </c>
      <c r="K2" t="inlineStr">
        <is>
          <t>2025-01</t>
        </is>
      </c>
      <c r="L2" t="inlineStr">
        <is>
          <t>In service</t>
        </is>
      </c>
      <c r="M2" t="inlineStr">
        <is>
          <t>Calibration: with local demand it brackets STEO Permian marketed in 2026. Total is unverified.</t>
        </is>
      </c>
    </row>
    <row r="3">
      <c r="A3" t="n">
        <v>1</v>
      </c>
      <c r="B3" t="n">
        <v>1</v>
      </c>
      <c r="C3" t="n">
        <v>1</v>
      </c>
      <c r="D3" t="n">
        <v>1</v>
      </c>
      <c r="E3" t="n">
        <v>1</v>
      </c>
      <c r="F3" t="n">
        <v>1</v>
      </c>
      <c r="G3" t="n">
        <v>1</v>
      </c>
      <c r="H3" t="n">
        <v>1</v>
      </c>
      <c r="I3" t="inlineStr">
        <is>
          <t>Matterhorn Express (Kinder/WhiteWater/EnLink/Devon, Waha-Katy)</t>
        </is>
      </c>
      <c r="J3" t="n">
        <v>2.5</v>
      </c>
      <c r="K3" t="inlineStr">
        <is>
          <t>2024-10</t>
        </is>
      </c>
      <c r="L3" t="inlineStr">
        <is>
          <t>In service</t>
        </is>
      </c>
      <c r="M3" t="inlineStr">
        <is>
          <t>Already inside the existing aggregate above (shown for reference, not added).</t>
        </is>
      </c>
    </row>
    <row r="4">
      <c r="A4" t="n">
        <v>2</v>
      </c>
      <c r="B4" t="n">
        <v>2</v>
      </c>
      <c r="C4" t="n">
        <v>2</v>
      </c>
      <c r="D4" t="n">
        <v>2</v>
      </c>
      <c r="E4" t="n">
        <v>2</v>
      </c>
      <c r="F4" t="n">
        <v>2</v>
      </c>
      <c r="G4" t="n">
        <v>2</v>
      </c>
      <c r="H4" t="n">
        <v>2</v>
      </c>
      <c r="I4" t="inlineStr">
        <is>
          <t>Gulf Coast Express expansion (Kinder Morgan)</t>
        </is>
      </c>
      <c r="J4" t="n">
        <v>0.57</v>
      </c>
      <c r="K4" t="inlineStr">
        <is>
          <t>2026-07</t>
        </is>
      </c>
      <c r="L4" t="inlineStr">
        <is>
          <t>Under construction</t>
        </is>
      </c>
      <c r="M4" t="inlineStr">
        <is>
          <t>unverified - company announcement, date from memory</t>
        </is>
      </c>
    </row>
    <row r="5">
      <c r="A5" t="n">
        <v>3</v>
      </c>
      <c r="B5" t="n">
        <v>3</v>
      </c>
      <c r="C5" t="n">
        <v>3</v>
      </c>
      <c r="D5" t="n">
        <v>3</v>
      </c>
      <c r="E5" t="n">
        <v>3</v>
      </c>
      <c r="F5" t="n">
        <v>3</v>
      </c>
      <c r="G5" t="n">
        <v>3</v>
      </c>
      <c r="H5" t="n">
        <v>3</v>
      </c>
      <c r="I5" t="inlineStr">
        <is>
          <t>Blackcomb Pipeline (WhiteWater/Targa/MPLX/Enterprise)</t>
        </is>
      </c>
      <c r="J5" t="n">
        <v>2.5</v>
      </c>
      <c r="K5" t="inlineStr">
        <is>
          <t>2026-10</t>
        </is>
      </c>
      <c r="L5" t="inlineStr">
        <is>
          <t>Under construction</t>
        </is>
      </c>
      <c r="M5" t="inlineStr">
        <is>
          <t>unverified - company announcement, date from memory</t>
        </is>
      </c>
    </row>
    <row r="6">
      <c r="A6" t="n">
        <v>4</v>
      </c>
      <c r="B6" t="n">
        <v>4</v>
      </c>
      <c r="C6" t="n">
        <v>4</v>
      </c>
      <c r="D6" t="n">
        <v>4</v>
      </c>
      <c r="E6" t="n">
        <v>4</v>
      </c>
      <c r="F6" t="n">
        <v>4</v>
      </c>
      <c r="G6" t="n">
        <v>4</v>
      </c>
      <c r="H6" t="n">
        <v>4</v>
      </c>
      <c r="I6" t="inlineStr">
        <is>
          <t>Hugh Brinson Pipeline (Energy Transfer, phase 1)</t>
        </is>
      </c>
      <c r="J6" t="n">
        <v>1.5</v>
      </c>
      <c r="K6" t="inlineStr">
        <is>
          <t>2026-12</t>
        </is>
      </c>
      <c r="L6" t="inlineStr">
        <is>
          <t>Under construction</t>
        </is>
      </c>
      <c r="M6" t="inlineStr">
        <is>
          <t>unverified - company announcement, date from memory</t>
        </is>
      </c>
    </row>
    <row r="7">
      <c r="A7" t="n">
        <v>5</v>
      </c>
      <c r="B7" t="n">
        <v>5</v>
      </c>
      <c r="C7" t="n">
        <v>5</v>
      </c>
      <c r="D7" t="n">
        <v>5</v>
      </c>
      <c r="E7" t="n">
        <v>5</v>
      </c>
      <c r="F7" t="n">
        <v>5</v>
      </c>
      <c r="G7" t="n">
        <v>5</v>
      </c>
      <c r="H7" t="n">
        <v>5</v>
      </c>
      <c r="I7" t="inlineStr">
        <is>
          <t>Hugh Brinson Pipeline (Energy Transfer, phase 2 expansion)</t>
        </is>
      </c>
      <c r="J7" t="n">
        <v>0.7</v>
      </c>
      <c r="K7" t="inlineStr">
        <is>
          <t>2027-07</t>
        </is>
      </c>
      <c r="L7" t="inlineStr">
        <is>
          <t>Under construction</t>
        </is>
      </c>
      <c r="M7" t="inlineStr">
        <is>
          <t>unverified - company announcement, date from memory</t>
        </is>
      </c>
    </row>
    <row r="8">
      <c r="A8" t="n">
        <v>6</v>
      </c>
      <c r="B8" t="n">
        <v>6</v>
      </c>
      <c r="C8" t="n">
        <v>6</v>
      </c>
      <c r="D8" t="n">
        <v>6</v>
      </c>
      <c r="E8" t="n">
        <v>6</v>
      </c>
      <c r="F8" t="n">
        <v>6</v>
      </c>
      <c r="G8" t="n">
        <v>6</v>
      </c>
      <c r="H8" t="n">
        <v>6</v>
      </c>
      <c r="I8" t="inlineStr">
        <is>
          <t>Eiger Express (WhiteWater/Targa/MPLX/Enterprise)</t>
        </is>
      </c>
      <c r="J8" t="n">
        <v>2.5</v>
      </c>
      <c r="K8" t="inlineStr">
        <is>
          <t>2028-07</t>
        </is>
      </c>
      <c r="L8" t="inlineStr">
        <is>
          <t>Planned</t>
        </is>
      </c>
      <c r="M8" t="inlineStr">
        <is>
          <t>unverified - company announcement, date from memory</t>
        </is>
      </c>
    </row>
    <row r="9">
      <c r="A9" t="n">
        <v>7</v>
      </c>
      <c r="B9" t="n">
        <v>7</v>
      </c>
      <c r="C9" t="n">
        <v>7</v>
      </c>
      <c r="D9" t="n">
        <v>7</v>
      </c>
      <c r="E9" t="n">
        <v>7</v>
      </c>
      <c r="F9" t="n">
        <v>7</v>
      </c>
      <c r="G9" t="n">
        <v>7</v>
      </c>
      <c r="H9" t="n">
        <v>7</v>
      </c>
      <c r="I9" t="inlineStr">
        <is>
          <t>Traverse Pipeline (WhiteWater, Agua Dulce)</t>
        </is>
      </c>
      <c r="J9" t="n">
        <v>1.75</v>
      </c>
      <c r="K9" t="inlineStr">
        <is>
          <t>2027-10</t>
        </is>
      </c>
      <c r="L9" t="inlineStr">
        <is>
          <t>Planned</t>
        </is>
      </c>
      <c r="M9" t="inlineStr">
        <is>
          <t>unverified - company announcement, date from memory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B169"/>
  <sheetViews>
    <sheetView workbookViewId="0">
      <selection activeCell="A1" sqref="A1"/>
    </sheetView>
  </sheetViews>
  <sheetFormatPr baseColWidth="8" defaultRowHeight="15"/>
  <sheetData>
    <row r="1">
      <c r="B1" t="inlineStr">
        <is>
          <t>Month</t>
        </is>
      </c>
      <c r="C1" t="inlineStr">
        <is>
          <t>Type</t>
        </is>
      </c>
      <c r="D1" t="inlineStr">
        <is>
          <t>Texas marketed production (history)</t>
        </is>
      </c>
      <c r="E1" t="inlineStr">
        <is>
          <t>STEO Permian marketed (Bcf/d)</t>
        </is>
      </c>
      <c r="F1" t="inlineStr">
        <is>
          <t>STEO Eagle Ford marketed (Bcf/d)</t>
        </is>
      </c>
      <c r="G1" t="inlineStr">
        <is>
          <t>STEO Haynesville marketed (Bcf/d)</t>
        </is>
      </c>
      <c r="H1" t="inlineStr">
        <is>
          <t>STEO source</t>
        </is>
      </c>
      <c r="I1" t="inlineStr">
        <is>
          <t>Permian takeaway + local demand, base (Bcf/d)</t>
        </is>
      </c>
      <c r="J1" t="inlineStr">
        <is>
          <t>Permian takeaway + local demand, delayed (Bcf/d)</t>
        </is>
      </c>
      <c r="K1" t="inlineStr">
        <is>
          <t>Permian marketed capped, base</t>
        </is>
      </c>
      <c r="L1" t="inlineStr">
        <is>
          <t>Permian marketed capped, delayed</t>
        </is>
      </c>
      <c r="M1" t="inlineStr">
        <is>
          <t>Permian capped by takeaway (base)</t>
        </is>
      </c>
      <c r="N1" t="inlineStr">
        <is>
          <t>Other Texas / calibration (held flat)</t>
        </is>
      </c>
      <c r="O1" t="inlineStr">
        <is>
          <t>Texas production forecast, base</t>
        </is>
      </c>
      <c r="P1" t="inlineStr">
        <is>
          <t>Texas production forecast, delayed</t>
        </is>
      </c>
      <c r="Q1" t="inlineStr">
        <is>
          <t>Dry production, base</t>
        </is>
      </c>
      <c r="R1" t="inlineStr">
        <is>
          <t>Dry production, takeaway delayed</t>
        </is>
      </c>
      <c r="S1" t="inlineStr">
        <is>
          <t>Demand incl. LNG, base</t>
        </is>
      </c>
      <c r="T1" t="inlineStr">
        <is>
          <t>Demand incl. LNG, LNG delayed</t>
        </is>
      </c>
      <c r="U1" t="inlineStr">
        <is>
          <t>LNG feedgas (base)</t>
        </is>
      </c>
      <c r="V1" t="inlineStr">
        <is>
          <t>LNG feedgas (delayed)</t>
        </is>
      </c>
      <c r="W1" t="inlineStr">
        <is>
          <t>Texas consumption, published sectors (history EIA; forecast = TEXAS_GAS_FORECAST)</t>
        </is>
      </c>
      <c r="X1" t="inlineStr">
        <is>
          <t>Pipeline exports to Mexico (history EIA; forecast = TEXAS_GAS_FORECAST)</t>
        </is>
      </c>
      <c r="Y1" t="inlineStr">
        <is>
          <t>Texas storage injection (demand; EIA, forecast = seasonal pattern)</t>
        </is>
      </c>
      <c r="Z1" t="inlineStr">
        <is>
          <t>Texas storage withdrawal (supply; EIA, forecast = seasonal pattern)</t>
        </is>
      </c>
      <c r="AA1" t="inlineStr">
        <is>
          <t>Implied net interstate outflow, base</t>
        </is>
      </c>
      <c r="AB1" t="inlineStr">
        <is>
          <t>Implied net interstate outflow, delayed</t>
        </is>
      </c>
    </row>
    <row r="2">
      <c r="A2" t="n">
        <v>0</v>
      </c>
      <c r="B2" s="3" t="n">
        <v>42005</v>
      </c>
      <c r="C2" t="inlineStr">
        <is>
          <t>History</t>
        </is>
      </c>
      <c r="D2" t="n">
        <v>21.50941935483871</v>
      </c>
      <c r="H2" t="inlineStr">
        <is>
          <t>STEO</t>
        </is>
      </c>
      <c r="I2" t="n">
        <v>29.5</v>
      </c>
      <c r="J2" t="n">
        <v>29.5</v>
      </c>
      <c r="K2" t="n">
        <v>29.5</v>
      </c>
      <c r="L2" t="n">
        <v>29.5</v>
      </c>
      <c r="M2" t="b">
        <v>0</v>
      </c>
      <c r="N2" t="n">
        <v>-1.394590483732079</v>
      </c>
    </row>
    <row r="3">
      <c r="A3" t="n">
        <v>1</v>
      </c>
      <c r="B3" s="3" t="n">
        <v>42036</v>
      </c>
      <c r="C3" t="inlineStr">
        <is>
          <t>History</t>
        </is>
      </c>
      <c r="D3" t="n">
        <v>21.97328571428571</v>
      </c>
      <c r="H3" t="inlineStr">
        <is>
          <t>STEO</t>
        </is>
      </c>
      <c r="I3" t="n">
        <v>29.5</v>
      </c>
      <c r="J3" t="n">
        <v>29.5</v>
      </c>
      <c r="K3" t="n">
        <v>29.5</v>
      </c>
      <c r="L3" t="n">
        <v>29.5</v>
      </c>
      <c r="M3" t="b">
        <v>0</v>
      </c>
      <c r="N3" t="n">
        <v>-1.394590483732079</v>
      </c>
    </row>
    <row r="4">
      <c r="A4" t="n">
        <v>2</v>
      </c>
      <c r="B4" s="3" t="n">
        <v>42064</v>
      </c>
      <c r="C4" t="inlineStr">
        <is>
          <t>History</t>
        </is>
      </c>
      <c r="H4" t="inlineStr">
        <is>
          <t>STEO</t>
        </is>
      </c>
      <c r="I4" t="n">
        <v>29.5</v>
      </c>
      <c r="J4" t="n">
        <v>29.5</v>
      </c>
      <c r="K4" t="n">
        <v>29.5</v>
      </c>
      <c r="L4" t="n">
        <v>29.5</v>
      </c>
      <c r="M4" t="b">
        <v>0</v>
      </c>
      <c r="N4" t="n">
        <v>-1.394590483732079</v>
      </c>
    </row>
    <row r="5">
      <c r="A5" t="n">
        <v>3</v>
      </c>
      <c r="B5" s="3" t="n">
        <v>42095</v>
      </c>
      <c r="C5" t="inlineStr">
        <is>
          <t>History</t>
        </is>
      </c>
      <c r="H5" t="inlineStr">
        <is>
          <t>STEO</t>
        </is>
      </c>
      <c r="I5" t="n">
        <v>29.5</v>
      </c>
      <c r="J5" t="n">
        <v>29.5</v>
      </c>
      <c r="K5" t="n">
        <v>29.5</v>
      </c>
      <c r="L5" t="n">
        <v>29.5</v>
      </c>
      <c r="M5" t="b">
        <v>0</v>
      </c>
      <c r="N5" t="n">
        <v>-1.394590483732079</v>
      </c>
    </row>
    <row r="6">
      <c r="A6" t="n">
        <v>4</v>
      </c>
      <c r="B6" s="3" t="n">
        <v>42125</v>
      </c>
      <c r="C6" t="inlineStr">
        <is>
          <t>History</t>
        </is>
      </c>
      <c r="H6" t="inlineStr">
        <is>
          <t>STEO</t>
        </is>
      </c>
      <c r="I6" t="n">
        <v>29.5</v>
      </c>
      <c r="J6" t="n">
        <v>29.5</v>
      </c>
      <c r="K6" t="n">
        <v>29.5</v>
      </c>
      <c r="L6" t="n">
        <v>29.5</v>
      </c>
      <c r="M6" t="b">
        <v>0</v>
      </c>
      <c r="N6" t="n">
        <v>-1.394590483732079</v>
      </c>
    </row>
    <row r="7">
      <c r="A7" t="n">
        <v>5</v>
      </c>
      <c r="B7" s="3" t="n">
        <v>42156</v>
      </c>
      <c r="C7" t="inlineStr">
        <is>
          <t>History</t>
        </is>
      </c>
      <c r="H7" t="inlineStr">
        <is>
          <t>STEO</t>
        </is>
      </c>
      <c r="I7" t="n">
        <v>29.5</v>
      </c>
      <c r="J7" t="n">
        <v>29.5</v>
      </c>
      <c r="K7" t="n">
        <v>29.5</v>
      </c>
      <c r="L7" t="n">
        <v>29.5</v>
      </c>
      <c r="M7" t="b">
        <v>0</v>
      </c>
      <c r="N7" t="n">
        <v>-1.394590483732079</v>
      </c>
    </row>
    <row r="8">
      <c r="A8" t="n">
        <v>6</v>
      </c>
      <c r="B8" s="3" t="n">
        <v>42186</v>
      </c>
      <c r="C8" t="inlineStr">
        <is>
          <t>History</t>
        </is>
      </c>
      <c r="H8" t="inlineStr">
        <is>
          <t>STEO</t>
        </is>
      </c>
      <c r="I8" t="n">
        <v>29.5</v>
      </c>
      <c r="J8" t="n">
        <v>29.5</v>
      </c>
      <c r="K8" t="n">
        <v>29.5</v>
      </c>
      <c r="L8" t="n">
        <v>29.5</v>
      </c>
      <c r="M8" t="b">
        <v>0</v>
      </c>
      <c r="N8" t="n">
        <v>-1.394590483732079</v>
      </c>
    </row>
    <row r="9">
      <c r="A9" t="n">
        <v>7</v>
      </c>
      <c r="B9" s="3" t="n">
        <v>42217</v>
      </c>
      <c r="C9" t="inlineStr">
        <is>
          <t>History</t>
        </is>
      </c>
      <c r="H9" t="inlineStr">
        <is>
          <t>STEO</t>
        </is>
      </c>
      <c r="I9" t="n">
        <v>29.5</v>
      </c>
      <c r="J9" t="n">
        <v>29.5</v>
      </c>
      <c r="K9" t="n">
        <v>29.5</v>
      </c>
      <c r="L9" t="n">
        <v>29.5</v>
      </c>
      <c r="M9" t="b">
        <v>0</v>
      </c>
      <c r="N9" t="n">
        <v>-1.394590483732079</v>
      </c>
    </row>
    <row r="10">
      <c r="A10" t="n">
        <v>8</v>
      </c>
      <c r="B10" s="3" t="n">
        <v>42248</v>
      </c>
      <c r="C10" t="inlineStr">
        <is>
          <t>History</t>
        </is>
      </c>
      <c r="H10" t="inlineStr">
        <is>
          <t>STEO</t>
        </is>
      </c>
      <c r="I10" t="n">
        <v>29.5</v>
      </c>
      <c r="J10" t="n">
        <v>29.5</v>
      </c>
      <c r="K10" t="n">
        <v>29.5</v>
      </c>
      <c r="L10" t="n">
        <v>29.5</v>
      </c>
      <c r="M10" t="b">
        <v>0</v>
      </c>
      <c r="N10" t="n">
        <v>-1.394590483732079</v>
      </c>
    </row>
    <row r="11">
      <c r="A11" t="n">
        <v>9</v>
      </c>
      <c r="B11" s="3" t="n">
        <v>42278</v>
      </c>
      <c r="C11" t="inlineStr">
        <is>
          <t>History</t>
        </is>
      </c>
      <c r="D11" t="n">
        <v>21.30312903225806</v>
      </c>
      <c r="H11" t="inlineStr">
        <is>
          <t>STEO</t>
        </is>
      </c>
      <c r="I11" t="n">
        <v>29.5</v>
      </c>
      <c r="J11" t="n">
        <v>29.5</v>
      </c>
      <c r="K11" t="n">
        <v>29.5</v>
      </c>
      <c r="L11" t="n">
        <v>29.5</v>
      </c>
      <c r="M11" t="b">
        <v>0</v>
      </c>
      <c r="N11" t="n">
        <v>-1.394590483732079</v>
      </c>
    </row>
    <row r="12">
      <c r="A12" t="n">
        <v>10</v>
      </c>
      <c r="B12" s="3" t="n">
        <v>42309</v>
      </c>
      <c r="C12" t="inlineStr">
        <is>
          <t>History</t>
        </is>
      </c>
      <c r="D12" t="n">
        <v>21.0325</v>
      </c>
      <c r="H12" t="inlineStr">
        <is>
          <t>STEO</t>
        </is>
      </c>
      <c r="I12" t="n">
        <v>29.5</v>
      </c>
      <c r="J12" t="n">
        <v>29.5</v>
      </c>
      <c r="K12" t="n">
        <v>29.5</v>
      </c>
      <c r="L12" t="n">
        <v>29.5</v>
      </c>
      <c r="M12" t="b">
        <v>0</v>
      </c>
      <c r="N12" t="n">
        <v>-1.394590483732079</v>
      </c>
    </row>
    <row r="13">
      <c r="A13" t="n">
        <v>11</v>
      </c>
      <c r="B13" s="3" t="n">
        <v>42339</v>
      </c>
      <c r="C13" t="inlineStr">
        <is>
          <t>History</t>
        </is>
      </c>
      <c r="D13" t="n">
        <v>20.82961290322581</v>
      </c>
      <c r="H13" t="inlineStr">
        <is>
          <t>STEO</t>
        </is>
      </c>
      <c r="I13" t="n">
        <v>29.5</v>
      </c>
      <c r="J13" t="n">
        <v>29.5</v>
      </c>
      <c r="K13" t="n">
        <v>29.5</v>
      </c>
      <c r="L13" t="n">
        <v>29.5</v>
      </c>
      <c r="M13" t="b">
        <v>0</v>
      </c>
      <c r="N13" t="n">
        <v>-1.394590483732079</v>
      </c>
    </row>
    <row r="14">
      <c r="A14" t="n">
        <v>12</v>
      </c>
      <c r="B14" s="3" t="n">
        <v>42370</v>
      </c>
      <c r="C14" t="inlineStr">
        <is>
          <t>History</t>
        </is>
      </c>
      <c r="H14" t="inlineStr">
        <is>
          <t>STEO</t>
        </is>
      </c>
      <c r="I14" t="n">
        <v>29.5</v>
      </c>
      <c r="J14" t="n">
        <v>29.5</v>
      </c>
      <c r="K14" t="n">
        <v>29.5</v>
      </c>
      <c r="L14" t="n">
        <v>29.5</v>
      </c>
      <c r="M14" t="b">
        <v>0</v>
      </c>
      <c r="N14" t="n">
        <v>-1.394590483732079</v>
      </c>
    </row>
    <row r="15">
      <c r="A15" t="n">
        <v>13</v>
      </c>
      <c r="B15" s="3" t="n">
        <v>42401</v>
      </c>
      <c r="C15" t="inlineStr">
        <is>
          <t>History</t>
        </is>
      </c>
      <c r="D15" t="n">
        <v>20.56272413793103</v>
      </c>
      <c r="H15" t="inlineStr">
        <is>
          <t>STEO</t>
        </is>
      </c>
      <c r="I15" t="n">
        <v>29.5</v>
      </c>
      <c r="J15" t="n">
        <v>29.5</v>
      </c>
      <c r="K15" t="n">
        <v>29.5</v>
      </c>
      <c r="L15" t="n">
        <v>29.5</v>
      </c>
      <c r="M15" t="b">
        <v>0</v>
      </c>
      <c r="N15" t="n">
        <v>-1.394590483732079</v>
      </c>
    </row>
    <row r="16">
      <c r="A16" t="n">
        <v>14</v>
      </c>
      <c r="B16" s="3" t="n">
        <v>42430</v>
      </c>
      <c r="C16" t="inlineStr">
        <is>
          <t>History</t>
        </is>
      </c>
      <c r="D16" t="n">
        <v>20.09061290322581</v>
      </c>
      <c r="H16" t="inlineStr">
        <is>
          <t>STEO</t>
        </is>
      </c>
      <c r="I16" t="n">
        <v>29.5</v>
      </c>
      <c r="J16" t="n">
        <v>29.5</v>
      </c>
      <c r="K16" t="n">
        <v>29.5</v>
      </c>
      <c r="L16" t="n">
        <v>29.5</v>
      </c>
      <c r="M16" t="b">
        <v>0</v>
      </c>
      <c r="N16" t="n">
        <v>-1.394590483732079</v>
      </c>
    </row>
    <row r="17">
      <c r="A17" t="n">
        <v>15</v>
      </c>
      <c r="B17" s="3" t="n">
        <v>42461</v>
      </c>
      <c r="C17" t="inlineStr">
        <is>
          <t>History</t>
        </is>
      </c>
      <c r="D17" t="n">
        <v>20.41996666666667</v>
      </c>
      <c r="H17" t="inlineStr">
        <is>
          <t>STEO</t>
        </is>
      </c>
      <c r="I17" t="n">
        <v>29.5</v>
      </c>
      <c r="J17" t="n">
        <v>29.5</v>
      </c>
      <c r="K17" t="n">
        <v>29.5</v>
      </c>
      <c r="L17" t="n">
        <v>29.5</v>
      </c>
      <c r="M17" t="b">
        <v>0</v>
      </c>
      <c r="N17" t="n">
        <v>-1.394590483732079</v>
      </c>
    </row>
    <row r="18">
      <c r="A18" t="n">
        <v>16</v>
      </c>
      <c r="B18" s="3" t="n">
        <v>42491</v>
      </c>
      <c r="C18" t="inlineStr">
        <is>
          <t>History</t>
        </is>
      </c>
      <c r="D18" t="n">
        <v>19.95093548387097</v>
      </c>
      <c r="H18" t="inlineStr">
        <is>
          <t>STEO</t>
        </is>
      </c>
      <c r="I18" t="n">
        <v>29.5</v>
      </c>
      <c r="J18" t="n">
        <v>29.5</v>
      </c>
      <c r="K18" t="n">
        <v>29.5</v>
      </c>
      <c r="L18" t="n">
        <v>29.5</v>
      </c>
      <c r="M18" t="b">
        <v>0</v>
      </c>
      <c r="N18" t="n">
        <v>-1.394590483732079</v>
      </c>
    </row>
    <row r="19">
      <c r="A19" t="n">
        <v>17</v>
      </c>
      <c r="B19" s="3" t="n">
        <v>42522</v>
      </c>
      <c r="C19" t="inlineStr">
        <is>
          <t>History</t>
        </is>
      </c>
      <c r="D19" t="n">
        <v>20.05293333333334</v>
      </c>
      <c r="H19" t="inlineStr">
        <is>
          <t>STEO</t>
        </is>
      </c>
      <c r="I19" t="n">
        <v>29.5</v>
      </c>
      <c r="J19" t="n">
        <v>29.5</v>
      </c>
      <c r="K19" t="n">
        <v>29.5</v>
      </c>
      <c r="L19" t="n">
        <v>29.5</v>
      </c>
      <c r="M19" t="b">
        <v>0</v>
      </c>
      <c r="N19" t="n">
        <v>-1.394590483732079</v>
      </c>
    </row>
    <row r="20">
      <c r="A20" t="n">
        <v>18</v>
      </c>
      <c r="B20" s="3" t="n">
        <v>42552</v>
      </c>
      <c r="C20" t="inlineStr">
        <is>
          <t>History</t>
        </is>
      </c>
      <c r="D20" t="n">
        <v>20.14732258064516</v>
      </c>
      <c r="H20" t="inlineStr">
        <is>
          <t>STEO</t>
        </is>
      </c>
      <c r="I20" t="n">
        <v>29.5</v>
      </c>
      <c r="J20" t="n">
        <v>29.5</v>
      </c>
      <c r="K20" t="n">
        <v>29.5</v>
      </c>
      <c r="L20" t="n">
        <v>29.5</v>
      </c>
      <c r="M20" t="b">
        <v>0</v>
      </c>
      <c r="N20" t="n">
        <v>-1.394590483732079</v>
      </c>
    </row>
    <row r="21">
      <c r="A21" t="n">
        <v>19</v>
      </c>
      <c r="B21" s="3" t="n">
        <v>42583</v>
      </c>
      <c r="C21" t="inlineStr">
        <is>
          <t>History</t>
        </is>
      </c>
      <c r="D21" t="n">
        <v>19.66632258064516</v>
      </c>
      <c r="H21" t="inlineStr">
        <is>
          <t>STEO</t>
        </is>
      </c>
      <c r="I21" t="n">
        <v>29.5</v>
      </c>
      <c r="J21" t="n">
        <v>29.5</v>
      </c>
      <c r="K21" t="n">
        <v>29.5</v>
      </c>
      <c r="L21" t="n">
        <v>29.5</v>
      </c>
      <c r="M21" t="b">
        <v>0</v>
      </c>
      <c r="N21" t="n">
        <v>-1.394590483732079</v>
      </c>
    </row>
    <row r="22">
      <c r="A22" t="n">
        <v>20</v>
      </c>
      <c r="B22" s="3" t="n">
        <v>42614</v>
      </c>
      <c r="C22" t="inlineStr">
        <is>
          <t>History</t>
        </is>
      </c>
      <c r="D22" t="n">
        <v>19.39056666666666</v>
      </c>
      <c r="H22" t="inlineStr">
        <is>
          <t>STEO</t>
        </is>
      </c>
      <c r="I22" t="n">
        <v>29.5</v>
      </c>
      <c r="J22" t="n">
        <v>29.5</v>
      </c>
      <c r="K22" t="n">
        <v>29.5</v>
      </c>
      <c r="L22" t="n">
        <v>29.5</v>
      </c>
      <c r="M22" t="b">
        <v>0</v>
      </c>
      <c r="N22" t="n">
        <v>-1.394590483732079</v>
      </c>
    </row>
    <row r="23">
      <c r="A23" t="n">
        <v>21</v>
      </c>
      <c r="B23" s="3" t="n">
        <v>42644</v>
      </c>
      <c r="C23" t="inlineStr">
        <is>
          <t>History</t>
        </is>
      </c>
      <c r="D23" t="n">
        <v>19.1861935483871</v>
      </c>
      <c r="H23" t="inlineStr">
        <is>
          <t>STEO</t>
        </is>
      </c>
      <c r="I23" t="n">
        <v>29.5</v>
      </c>
      <c r="J23" t="n">
        <v>29.5</v>
      </c>
      <c r="K23" t="n">
        <v>29.5</v>
      </c>
      <c r="L23" t="n">
        <v>29.5</v>
      </c>
      <c r="M23" t="b">
        <v>0</v>
      </c>
      <c r="N23" t="n">
        <v>-1.394590483732079</v>
      </c>
    </row>
    <row r="24">
      <c r="A24" t="n">
        <v>22</v>
      </c>
      <c r="B24" s="3" t="n">
        <v>42675</v>
      </c>
      <c r="C24" t="inlineStr">
        <is>
          <t>History</t>
        </is>
      </c>
      <c r="D24" t="n">
        <v>18.96256666666667</v>
      </c>
      <c r="H24" t="inlineStr">
        <is>
          <t>STEO</t>
        </is>
      </c>
      <c r="I24" t="n">
        <v>29.5</v>
      </c>
      <c r="J24" t="n">
        <v>29.5</v>
      </c>
      <c r="K24" t="n">
        <v>29.5</v>
      </c>
      <c r="L24" t="n">
        <v>29.5</v>
      </c>
      <c r="M24" t="b">
        <v>0</v>
      </c>
      <c r="N24" t="n">
        <v>-1.394590483732079</v>
      </c>
    </row>
    <row r="25">
      <c r="A25" t="n">
        <v>23</v>
      </c>
      <c r="B25" s="3" t="n">
        <v>42705</v>
      </c>
      <c r="C25" t="inlineStr">
        <is>
          <t>History</t>
        </is>
      </c>
      <c r="D25" t="n">
        <v>18.42467741935484</v>
      </c>
      <c r="H25" t="inlineStr">
        <is>
          <t>STEO</t>
        </is>
      </c>
      <c r="I25" t="n">
        <v>29.5</v>
      </c>
      <c r="J25" t="n">
        <v>29.5</v>
      </c>
      <c r="K25" t="n">
        <v>29.5</v>
      </c>
      <c r="L25" t="n">
        <v>29.5</v>
      </c>
      <c r="M25" t="b">
        <v>0</v>
      </c>
      <c r="N25" t="n">
        <v>-1.394590483732079</v>
      </c>
    </row>
    <row r="26">
      <c r="A26" t="n">
        <v>24</v>
      </c>
      <c r="B26" s="3" t="n">
        <v>42736</v>
      </c>
      <c r="C26" t="inlineStr">
        <is>
          <t>History</t>
        </is>
      </c>
      <c r="D26" t="n">
        <v>18.23812903225807</v>
      </c>
      <c r="H26" t="inlineStr">
        <is>
          <t>STEO</t>
        </is>
      </c>
      <c r="I26" t="n">
        <v>29.5</v>
      </c>
      <c r="J26" t="n">
        <v>29.5</v>
      </c>
      <c r="K26" t="n">
        <v>29.5</v>
      </c>
      <c r="L26" t="n">
        <v>29.5</v>
      </c>
      <c r="M26" t="b">
        <v>0</v>
      </c>
      <c r="N26" t="n">
        <v>-1.394590483732079</v>
      </c>
    </row>
    <row r="27">
      <c r="A27" t="n">
        <v>25</v>
      </c>
      <c r="B27" s="3" t="n">
        <v>42767</v>
      </c>
      <c r="C27" t="inlineStr">
        <is>
          <t>History</t>
        </is>
      </c>
      <c r="D27" t="n">
        <v>18.73007142857143</v>
      </c>
      <c r="H27" t="inlineStr">
        <is>
          <t>STEO</t>
        </is>
      </c>
      <c r="I27" t="n">
        <v>29.5</v>
      </c>
      <c r="J27" t="n">
        <v>29.5</v>
      </c>
      <c r="K27" t="n">
        <v>29.5</v>
      </c>
      <c r="L27" t="n">
        <v>29.5</v>
      </c>
      <c r="M27" t="b">
        <v>0</v>
      </c>
      <c r="N27" t="n">
        <v>-1.394590483732079</v>
      </c>
    </row>
    <row r="28">
      <c r="A28" t="n">
        <v>26</v>
      </c>
      <c r="B28" s="3" t="n">
        <v>42795</v>
      </c>
      <c r="C28" t="inlineStr">
        <is>
          <t>History</t>
        </is>
      </c>
      <c r="D28" t="n">
        <v>19.24690322580645</v>
      </c>
      <c r="H28" t="inlineStr">
        <is>
          <t>STEO</t>
        </is>
      </c>
      <c r="I28" t="n">
        <v>29.5</v>
      </c>
      <c r="J28" t="n">
        <v>29.5</v>
      </c>
      <c r="K28" t="n">
        <v>29.5</v>
      </c>
      <c r="L28" t="n">
        <v>29.5</v>
      </c>
      <c r="M28" t="b">
        <v>0</v>
      </c>
      <c r="N28" t="n">
        <v>-1.394590483732079</v>
      </c>
    </row>
    <row r="29">
      <c r="A29" t="n">
        <v>27</v>
      </c>
      <c r="B29" s="3" t="n">
        <v>42826</v>
      </c>
      <c r="C29" t="inlineStr">
        <is>
          <t>History</t>
        </is>
      </c>
      <c r="D29" t="n">
        <v>19.6151</v>
      </c>
      <c r="H29" t="inlineStr">
        <is>
          <t>STEO</t>
        </is>
      </c>
      <c r="I29" t="n">
        <v>29.5</v>
      </c>
      <c r="J29" t="n">
        <v>29.5</v>
      </c>
      <c r="K29" t="n">
        <v>29.5</v>
      </c>
      <c r="L29" t="n">
        <v>29.5</v>
      </c>
      <c r="M29" t="b">
        <v>0</v>
      </c>
      <c r="N29" t="n">
        <v>-1.394590483732079</v>
      </c>
    </row>
    <row r="30">
      <c r="A30" t="n">
        <v>28</v>
      </c>
      <c r="B30" s="3" t="n">
        <v>42856</v>
      </c>
      <c r="C30" t="inlineStr">
        <is>
          <t>History</t>
        </is>
      </c>
      <c r="D30" t="n">
        <v>19.58841935483871</v>
      </c>
      <c r="H30" t="inlineStr">
        <is>
          <t>STEO</t>
        </is>
      </c>
      <c r="I30" t="n">
        <v>29.5</v>
      </c>
      <c r="J30" t="n">
        <v>29.5</v>
      </c>
      <c r="K30" t="n">
        <v>29.5</v>
      </c>
      <c r="L30" t="n">
        <v>29.5</v>
      </c>
      <c r="M30" t="b">
        <v>0</v>
      </c>
      <c r="N30" t="n">
        <v>-1.394590483732079</v>
      </c>
    </row>
    <row r="31">
      <c r="A31" t="n">
        <v>29</v>
      </c>
      <c r="B31" s="3" t="n">
        <v>42887</v>
      </c>
      <c r="C31" t="inlineStr">
        <is>
          <t>History</t>
        </is>
      </c>
      <c r="D31" t="n">
        <v>19.7962</v>
      </c>
      <c r="H31" t="inlineStr">
        <is>
          <t>STEO</t>
        </is>
      </c>
      <c r="I31" t="n">
        <v>29.5</v>
      </c>
      <c r="J31" t="n">
        <v>29.5</v>
      </c>
      <c r="K31" t="n">
        <v>29.5</v>
      </c>
      <c r="L31" t="n">
        <v>29.5</v>
      </c>
      <c r="M31" t="b">
        <v>0</v>
      </c>
      <c r="N31" t="n">
        <v>-1.394590483732079</v>
      </c>
    </row>
    <row r="32">
      <c r="A32" t="n">
        <v>30</v>
      </c>
      <c r="B32" s="3" t="n">
        <v>42917</v>
      </c>
      <c r="C32" t="inlineStr">
        <is>
          <t>History</t>
        </is>
      </c>
      <c r="D32" t="n">
        <v>20.12025806451613</v>
      </c>
      <c r="H32" t="inlineStr">
        <is>
          <t>STEO</t>
        </is>
      </c>
      <c r="I32" t="n">
        <v>29.5</v>
      </c>
      <c r="J32" t="n">
        <v>29.5</v>
      </c>
      <c r="K32" t="n">
        <v>29.5</v>
      </c>
      <c r="L32" t="n">
        <v>29.5</v>
      </c>
      <c r="M32" t="b">
        <v>0</v>
      </c>
      <c r="N32" t="n">
        <v>-1.394590483732079</v>
      </c>
    </row>
    <row r="33">
      <c r="A33" t="n">
        <v>31</v>
      </c>
      <c r="B33" s="3" t="n">
        <v>42948</v>
      </c>
      <c r="C33" t="inlineStr">
        <is>
          <t>History</t>
        </is>
      </c>
      <c r="D33" t="n">
        <v>19.56261290322581</v>
      </c>
      <c r="H33" t="inlineStr">
        <is>
          <t>STEO</t>
        </is>
      </c>
      <c r="I33" t="n">
        <v>29.5</v>
      </c>
      <c r="J33" t="n">
        <v>29.5</v>
      </c>
      <c r="K33" t="n">
        <v>29.5</v>
      </c>
      <c r="L33" t="n">
        <v>29.5</v>
      </c>
      <c r="M33" t="b">
        <v>0</v>
      </c>
      <c r="N33" t="n">
        <v>-1.394590483732079</v>
      </c>
    </row>
    <row r="34">
      <c r="A34" t="n">
        <v>32</v>
      </c>
      <c r="B34" s="3" t="n">
        <v>42979</v>
      </c>
      <c r="C34" t="inlineStr">
        <is>
          <t>History</t>
        </is>
      </c>
      <c r="D34" t="n">
        <v>19.95146666666667</v>
      </c>
      <c r="H34" t="inlineStr">
        <is>
          <t>STEO</t>
        </is>
      </c>
      <c r="I34" t="n">
        <v>29.5</v>
      </c>
      <c r="J34" t="n">
        <v>29.5</v>
      </c>
      <c r="K34" t="n">
        <v>29.5</v>
      </c>
      <c r="L34" t="n">
        <v>29.5</v>
      </c>
      <c r="M34" t="b">
        <v>0</v>
      </c>
      <c r="N34" t="n">
        <v>-1.394590483732079</v>
      </c>
    </row>
    <row r="35">
      <c r="A35" t="n">
        <v>33</v>
      </c>
      <c r="B35" s="3" t="n">
        <v>43009</v>
      </c>
      <c r="C35" t="inlineStr">
        <is>
          <t>History</t>
        </is>
      </c>
      <c r="D35" t="n">
        <v>20.76596774193548</v>
      </c>
      <c r="H35" t="inlineStr">
        <is>
          <t>STEO</t>
        </is>
      </c>
      <c r="I35" t="n">
        <v>29.5</v>
      </c>
      <c r="J35" t="n">
        <v>29.5</v>
      </c>
      <c r="K35" t="n">
        <v>29.5</v>
      </c>
      <c r="L35" t="n">
        <v>29.5</v>
      </c>
      <c r="M35" t="b">
        <v>0</v>
      </c>
      <c r="N35" t="n">
        <v>-1.394590483732079</v>
      </c>
    </row>
    <row r="36">
      <c r="A36" t="n">
        <v>34</v>
      </c>
      <c r="B36" s="3" t="n">
        <v>43040</v>
      </c>
      <c r="C36" t="inlineStr">
        <is>
          <t>History</t>
        </is>
      </c>
      <c r="D36" t="n">
        <v>21.13343333333333</v>
      </c>
      <c r="H36" t="inlineStr">
        <is>
          <t>STEO</t>
        </is>
      </c>
      <c r="I36" t="n">
        <v>29.5</v>
      </c>
      <c r="J36" t="n">
        <v>29.5</v>
      </c>
      <c r="K36" t="n">
        <v>29.5</v>
      </c>
      <c r="L36" t="n">
        <v>29.5</v>
      </c>
      <c r="M36" t="b">
        <v>0</v>
      </c>
      <c r="N36" t="n">
        <v>-1.394590483732079</v>
      </c>
    </row>
    <row r="37">
      <c r="A37" t="n">
        <v>35</v>
      </c>
      <c r="B37" s="3" t="n">
        <v>43070</v>
      </c>
      <c r="C37" t="inlineStr">
        <is>
          <t>History</t>
        </is>
      </c>
      <c r="D37" t="n">
        <v>20.6878064516129</v>
      </c>
      <c r="H37" t="inlineStr">
        <is>
          <t>STEO</t>
        </is>
      </c>
      <c r="I37" t="n">
        <v>29.5</v>
      </c>
      <c r="J37" t="n">
        <v>29.5</v>
      </c>
      <c r="K37" t="n">
        <v>29.5</v>
      </c>
      <c r="L37" t="n">
        <v>29.5</v>
      </c>
      <c r="M37" t="b">
        <v>0</v>
      </c>
      <c r="N37" t="n">
        <v>-1.394590483732079</v>
      </c>
    </row>
    <row r="38">
      <c r="A38" t="n">
        <v>36</v>
      </c>
      <c r="B38" s="3" t="n">
        <v>43101</v>
      </c>
      <c r="C38" t="inlineStr">
        <is>
          <t>History</t>
        </is>
      </c>
      <c r="D38" t="n">
        <v>19.92074193548387</v>
      </c>
      <c r="H38" t="inlineStr">
        <is>
          <t>STEO</t>
        </is>
      </c>
      <c r="I38" t="n">
        <v>29.5</v>
      </c>
      <c r="J38" t="n">
        <v>29.5</v>
      </c>
      <c r="K38" t="n">
        <v>29.5</v>
      </c>
      <c r="L38" t="n">
        <v>29.5</v>
      </c>
      <c r="M38" t="b">
        <v>0</v>
      </c>
      <c r="N38" t="n">
        <v>-1.394590483732079</v>
      </c>
    </row>
    <row r="39">
      <c r="A39" t="n">
        <v>37</v>
      </c>
      <c r="B39" s="3" t="n">
        <v>43132</v>
      </c>
      <c r="C39" t="inlineStr">
        <is>
          <t>History</t>
        </is>
      </c>
      <c r="D39" t="n">
        <v>20.63878571428571</v>
      </c>
      <c r="H39" t="inlineStr">
        <is>
          <t>STEO</t>
        </is>
      </c>
      <c r="I39" t="n">
        <v>29.5</v>
      </c>
      <c r="J39" t="n">
        <v>29.5</v>
      </c>
      <c r="K39" t="n">
        <v>29.5</v>
      </c>
      <c r="L39" t="n">
        <v>29.5</v>
      </c>
      <c r="M39" t="b">
        <v>0</v>
      </c>
      <c r="N39" t="n">
        <v>-1.394590483732079</v>
      </c>
    </row>
    <row r="40">
      <c r="A40" t="n">
        <v>38</v>
      </c>
      <c r="B40" s="3" t="n">
        <v>43160</v>
      </c>
      <c r="C40" t="inlineStr">
        <is>
          <t>History</t>
        </is>
      </c>
      <c r="D40" t="n">
        <v>21.32409677419355</v>
      </c>
      <c r="H40" t="inlineStr">
        <is>
          <t>STEO</t>
        </is>
      </c>
      <c r="I40" t="n">
        <v>29.5</v>
      </c>
      <c r="J40" t="n">
        <v>29.5</v>
      </c>
      <c r="K40" t="n">
        <v>29.5</v>
      </c>
      <c r="L40" t="n">
        <v>29.5</v>
      </c>
      <c r="M40" t="b">
        <v>0</v>
      </c>
      <c r="N40" t="n">
        <v>-1.394590483732079</v>
      </c>
    </row>
    <row r="41">
      <c r="A41" t="n">
        <v>39</v>
      </c>
      <c r="B41" s="3" t="n">
        <v>43191</v>
      </c>
      <c r="C41" t="inlineStr">
        <is>
          <t>History</t>
        </is>
      </c>
      <c r="D41" t="n">
        <v>21.22153333333333</v>
      </c>
      <c r="H41" t="inlineStr">
        <is>
          <t>STEO</t>
        </is>
      </c>
      <c r="I41" t="n">
        <v>29.5</v>
      </c>
      <c r="J41" t="n">
        <v>29.5</v>
      </c>
      <c r="K41" t="n">
        <v>29.5</v>
      </c>
      <c r="L41" t="n">
        <v>29.5</v>
      </c>
      <c r="M41" t="b">
        <v>0</v>
      </c>
      <c r="N41" t="n">
        <v>-1.394590483732079</v>
      </c>
    </row>
    <row r="42">
      <c r="A42" t="n">
        <v>40</v>
      </c>
      <c r="B42" s="3" t="n">
        <v>43221</v>
      </c>
      <c r="C42" t="inlineStr">
        <is>
          <t>History</t>
        </is>
      </c>
      <c r="D42" t="n">
        <v>21.74293548387097</v>
      </c>
      <c r="H42" t="inlineStr">
        <is>
          <t>STEO</t>
        </is>
      </c>
      <c r="I42" t="n">
        <v>29.5</v>
      </c>
      <c r="J42" t="n">
        <v>29.5</v>
      </c>
      <c r="K42" t="n">
        <v>29.5</v>
      </c>
      <c r="L42" t="n">
        <v>29.5</v>
      </c>
      <c r="M42" t="b">
        <v>0</v>
      </c>
      <c r="N42" t="n">
        <v>-1.394590483732079</v>
      </c>
    </row>
    <row r="43">
      <c r="A43" t="n">
        <v>41</v>
      </c>
      <c r="B43" s="3" t="n">
        <v>43252</v>
      </c>
      <c r="C43" t="inlineStr">
        <is>
          <t>History</t>
        </is>
      </c>
      <c r="D43" t="n">
        <v>21.9635</v>
      </c>
      <c r="H43" t="inlineStr">
        <is>
          <t>STEO</t>
        </is>
      </c>
      <c r="I43" t="n">
        <v>29.5</v>
      </c>
      <c r="J43" t="n">
        <v>29.5</v>
      </c>
      <c r="K43" t="n">
        <v>29.5</v>
      </c>
      <c r="L43" t="n">
        <v>29.5</v>
      </c>
      <c r="M43" t="b">
        <v>0</v>
      </c>
      <c r="N43" t="n">
        <v>-1.394590483732079</v>
      </c>
    </row>
    <row r="44">
      <c r="A44" t="n">
        <v>42</v>
      </c>
      <c r="B44" s="3" t="n">
        <v>43282</v>
      </c>
      <c r="C44" t="inlineStr">
        <is>
          <t>History</t>
        </is>
      </c>
      <c r="D44" t="n">
        <v>21.77238709677419</v>
      </c>
      <c r="H44" t="inlineStr">
        <is>
          <t>STEO</t>
        </is>
      </c>
      <c r="I44" t="n">
        <v>29.5</v>
      </c>
      <c r="J44" t="n">
        <v>29.5</v>
      </c>
      <c r="K44" t="n">
        <v>29.5</v>
      </c>
      <c r="L44" t="n">
        <v>29.5</v>
      </c>
      <c r="M44" t="b">
        <v>0</v>
      </c>
      <c r="N44" t="n">
        <v>-1.394590483732079</v>
      </c>
    </row>
    <row r="45">
      <c r="A45" t="n">
        <v>43</v>
      </c>
      <c r="B45" s="3" t="n">
        <v>43313</v>
      </c>
      <c r="C45" t="inlineStr">
        <is>
          <t>History</t>
        </is>
      </c>
      <c r="D45" t="n">
        <v>22.42848387096774</v>
      </c>
      <c r="H45" t="inlineStr">
        <is>
          <t>STEO</t>
        </is>
      </c>
      <c r="I45" t="n">
        <v>29.5</v>
      </c>
      <c r="J45" t="n">
        <v>29.5</v>
      </c>
      <c r="K45" t="n">
        <v>29.5</v>
      </c>
      <c r="L45" t="n">
        <v>29.5</v>
      </c>
      <c r="M45" t="b">
        <v>0</v>
      </c>
      <c r="N45" t="n">
        <v>-1.394590483732079</v>
      </c>
    </row>
    <row r="46">
      <c r="A46" t="n">
        <v>44</v>
      </c>
      <c r="B46" s="3" t="n">
        <v>43344</v>
      </c>
      <c r="C46" t="inlineStr">
        <is>
          <t>History</t>
        </is>
      </c>
      <c r="D46" t="n">
        <v>23.10946666666667</v>
      </c>
      <c r="H46" t="inlineStr">
        <is>
          <t>STEO</t>
        </is>
      </c>
      <c r="I46" t="n">
        <v>29.5</v>
      </c>
      <c r="J46" t="n">
        <v>29.5</v>
      </c>
      <c r="K46" t="n">
        <v>29.5</v>
      </c>
      <c r="L46" t="n">
        <v>29.5</v>
      </c>
      <c r="M46" t="b">
        <v>0</v>
      </c>
      <c r="N46" t="n">
        <v>-1.394590483732079</v>
      </c>
    </row>
    <row r="47">
      <c r="A47" t="n">
        <v>45</v>
      </c>
      <c r="B47" s="3" t="n">
        <v>43374</v>
      </c>
      <c r="C47" t="inlineStr">
        <is>
          <t>History</t>
        </is>
      </c>
      <c r="D47" t="n">
        <v>22.90358064516129</v>
      </c>
      <c r="H47" t="inlineStr">
        <is>
          <t>STEO</t>
        </is>
      </c>
      <c r="I47" t="n">
        <v>29.5</v>
      </c>
      <c r="J47" t="n">
        <v>29.5</v>
      </c>
      <c r="K47" t="n">
        <v>29.5</v>
      </c>
      <c r="L47" t="n">
        <v>29.5</v>
      </c>
      <c r="M47" t="b">
        <v>0</v>
      </c>
      <c r="N47" t="n">
        <v>-1.394590483732079</v>
      </c>
    </row>
    <row r="48">
      <c r="A48" t="n">
        <v>46</v>
      </c>
      <c r="B48" s="3" t="n">
        <v>43405</v>
      </c>
      <c r="C48" t="inlineStr">
        <is>
          <t>History</t>
        </is>
      </c>
      <c r="D48" t="n">
        <v>23.9449</v>
      </c>
      <c r="H48" t="inlineStr">
        <is>
          <t>STEO</t>
        </is>
      </c>
      <c r="I48" t="n">
        <v>29.5</v>
      </c>
      <c r="J48" t="n">
        <v>29.5</v>
      </c>
      <c r="K48" t="n">
        <v>29.5</v>
      </c>
      <c r="L48" t="n">
        <v>29.5</v>
      </c>
      <c r="M48" t="b">
        <v>0</v>
      </c>
      <c r="N48" t="n">
        <v>-1.394590483732079</v>
      </c>
    </row>
    <row r="49">
      <c r="A49" t="n">
        <v>47</v>
      </c>
      <c r="B49" s="3" t="n">
        <v>43435</v>
      </c>
      <c r="C49" t="inlineStr">
        <is>
          <t>History</t>
        </is>
      </c>
      <c r="D49" t="n">
        <v>23.32525806451613</v>
      </c>
      <c r="H49" t="inlineStr">
        <is>
          <t>STEO</t>
        </is>
      </c>
      <c r="I49" t="n">
        <v>29.5</v>
      </c>
      <c r="J49" t="n">
        <v>29.5</v>
      </c>
      <c r="K49" t="n">
        <v>29.5</v>
      </c>
      <c r="L49" t="n">
        <v>29.5</v>
      </c>
      <c r="M49" t="b">
        <v>0</v>
      </c>
      <c r="N49" t="n">
        <v>-1.394590483732079</v>
      </c>
    </row>
    <row r="50">
      <c r="A50" t="n">
        <v>48</v>
      </c>
      <c r="B50" s="3" t="n">
        <v>43466</v>
      </c>
      <c r="C50" t="inlineStr">
        <is>
          <t>History</t>
        </is>
      </c>
      <c r="D50" t="n">
        <v>23.78629032258064</v>
      </c>
      <c r="H50" t="inlineStr">
        <is>
          <t>STEO</t>
        </is>
      </c>
      <c r="I50" t="n">
        <v>29.5</v>
      </c>
      <c r="J50" t="n">
        <v>29.5</v>
      </c>
      <c r="K50" t="n">
        <v>29.5</v>
      </c>
      <c r="L50" t="n">
        <v>29.5</v>
      </c>
      <c r="M50" t="b">
        <v>0</v>
      </c>
      <c r="N50" t="n">
        <v>-1.394590483732079</v>
      </c>
    </row>
    <row r="51">
      <c r="A51" t="n">
        <v>49</v>
      </c>
      <c r="B51" s="3" t="n">
        <v>43497</v>
      </c>
      <c r="C51" t="inlineStr">
        <is>
          <t>History</t>
        </is>
      </c>
      <c r="D51" t="n">
        <v>24.21664285714286</v>
      </c>
      <c r="H51" t="inlineStr">
        <is>
          <t>STEO</t>
        </is>
      </c>
      <c r="I51" t="n">
        <v>29.5</v>
      </c>
      <c r="J51" t="n">
        <v>29.5</v>
      </c>
      <c r="K51" t="n">
        <v>29.5</v>
      </c>
      <c r="L51" t="n">
        <v>29.5</v>
      </c>
      <c r="M51" t="b">
        <v>0</v>
      </c>
      <c r="N51" t="n">
        <v>-1.394590483732079</v>
      </c>
    </row>
    <row r="52">
      <c r="A52" t="n">
        <v>50</v>
      </c>
      <c r="B52" s="3" t="n">
        <v>43525</v>
      </c>
      <c r="C52" t="inlineStr">
        <is>
          <t>History</t>
        </is>
      </c>
      <c r="D52" t="n">
        <v>24.47245161290323</v>
      </c>
      <c r="H52" t="inlineStr">
        <is>
          <t>STEO</t>
        </is>
      </c>
      <c r="I52" t="n">
        <v>29.5</v>
      </c>
      <c r="J52" t="n">
        <v>29.5</v>
      </c>
      <c r="K52" t="n">
        <v>29.5</v>
      </c>
      <c r="L52" t="n">
        <v>29.5</v>
      </c>
      <c r="M52" t="b">
        <v>0</v>
      </c>
      <c r="N52" t="n">
        <v>-1.394590483732079</v>
      </c>
    </row>
    <row r="53">
      <c r="A53" t="n">
        <v>51</v>
      </c>
      <c r="B53" s="3" t="n">
        <v>43556</v>
      </c>
      <c r="C53" t="inlineStr">
        <is>
          <t>History</t>
        </is>
      </c>
      <c r="D53" t="n">
        <v>24.2509</v>
      </c>
      <c r="H53" t="inlineStr">
        <is>
          <t>STEO</t>
        </is>
      </c>
      <c r="I53" t="n">
        <v>29.5</v>
      </c>
      <c r="J53" t="n">
        <v>29.5</v>
      </c>
      <c r="K53" t="n">
        <v>29.5</v>
      </c>
      <c r="L53" t="n">
        <v>29.5</v>
      </c>
      <c r="M53" t="b">
        <v>0</v>
      </c>
      <c r="N53" t="n">
        <v>-1.394590483732079</v>
      </c>
    </row>
    <row r="54">
      <c r="A54" t="n">
        <v>52</v>
      </c>
      <c r="B54" s="3" t="n">
        <v>43586</v>
      </c>
      <c r="C54" t="inlineStr">
        <is>
          <t>History</t>
        </is>
      </c>
      <c r="D54" t="n">
        <v>25.19361290322581</v>
      </c>
      <c r="H54" t="inlineStr">
        <is>
          <t>STEO</t>
        </is>
      </c>
      <c r="I54" t="n">
        <v>29.5</v>
      </c>
      <c r="J54" t="n">
        <v>29.5</v>
      </c>
      <c r="K54" t="n">
        <v>29.5</v>
      </c>
      <c r="L54" t="n">
        <v>29.5</v>
      </c>
      <c r="M54" t="b">
        <v>0</v>
      </c>
      <c r="N54" t="n">
        <v>-1.394590483732079</v>
      </c>
    </row>
    <row r="55">
      <c r="A55" t="n">
        <v>53</v>
      </c>
      <c r="B55" s="3" t="n">
        <v>43617</v>
      </c>
      <c r="C55" t="inlineStr">
        <is>
          <t>History</t>
        </is>
      </c>
      <c r="D55" t="n">
        <v>25.5587</v>
      </c>
      <c r="H55" t="inlineStr">
        <is>
          <t>STEO</t>
        </is>
      </c>
      <c r="I55" t="n">
        <v>29.5</v>
      </c>
      <c r="J55" t="n">
        <v>29.5</v>
      </c>
      <c r="K55" t="n">
        <v>29.5</v>
      </c>
      <c r="L55" t="n">
        <v>29.5</v>
      </c>
      <c r="M55" t="b">
        <v>0</v>
      </c>
      <c r="N55" t="n">
        <v>-1.394590483732079</v>
      </c>
    </row>
    <row r="56">
      <c r="A56" t="n">
        <v>54</v>
      </c>
      <c r="B56" s="3" t="n">
        <v>43647</v>
      </c>
      <c r="C56" t="inlineStr">
        <is>
          <t>History</t>
        </is>
      </c>
      <c r="D56" t="n">
        <v>25.96448387096774</v>
      </c>
      <c r="H56" t="inlineStr">
        <is>
          <t>STEO</t>
        </is>
      </c>
      <c r="I56" t="n">
        <v>29.5</v>
      </c>
      <c r="J56" t="n">
        <v>29.5</v>
      </c>
      <c r="K56" t="n">
        <v>29.5</v>
      </c>
      <c r="L56" t="n">
        <v>29.5</v>
      </c>
      <c r="M56" t="b">
        <v>0</v>
      </c>
      <c r="N56" t="n">
        <v>-1.394590483732079</v>
      </c>
    </row>
    <row r="57">
      <c r="A57" t="n">
        <v>55</v>
      </c>
      <c r="B57" s="3" t="n">
        <v>43678</v>
      </c>
      <c r="C57" t="inlineStr">
        <is>
          <t>History</t>
        </is>
      </c>
      <c r="D57" t="n">
        <v>27.0148064516129</v>
      </c>
      <c r="H57" t="inlineStr">
        <is>
          <t>STEO</t>
        </is>
      </c>
      <c r="I57" t="n">
        <v>29.5</v>
      </c>
      <c r="J57" t="n">
        <v>29.5</v>
      </c>
      <c r="K57" t="n">
        <v>29.5</v>
      </c>
      <c r="L57" t="n">
        <v>29.5</v>
      </c>
      <c r="M57" t="b">
        <v>0</v>
      </c>
      <c r="N57" t="n">
        <v>-1.394590483732079</v>
      </c>
    </row>
    <row r="58">
      <c r="A58" t="n">
        <v>56</v>
      </c>
      <c r="B58" s="3" t="n">
        <v>43709</v>
      </c>
      <c r="C58" t="inlineStr">
        <is>
          <t>History</t>
        </is>
      </c>
      <c r="D58" t="n">
        <v>26.60636666666667</v>
      </c>
      <c r="H58" t="inlineStr">
        <is>
          <t>STEO</t>
        </is>
      </c>
      <c r="I58" t="n">
        <v>29.5</v>
      </c>
      <c r="J58" t="n">
        <v>29.5</v>
      </c>
      <c r="K58" t="n">
        <v>29.5</v>
      </c>
      <c r="L58" t="n">
        <v>29.5</v>
      </c>
      <c r="M58" t="b">
        <v>0</v>
      </c>
      <c r="N58" t="n">
        <v>-1.394590483732079</v>
      </c>
    </row>
    <row r="59">
      <c r="A59" t="n">
        <v>57</v>
      </c>
      <c r="B59" s="3" t="n">
        <v>43739</v>
      </c>
      <c r="C59" t="inlineStr">
        <is>
          <t>History</t>
        </is>
      </c>
      <c r="D59" t="n">
        <v>26.72225806451613</v>
      </c>
      <c r="H59" t="inlineStr">
        <is>
          <t>STEO</t>
        </is>
      </c>
      <c r="I59" t="n">
        <v>29.5</v>
      </c>
      <c r="J59" t="n">
        <v>29.5</v>
      </c>
      <c r="K59" t="n">
        <v>29.5</v>
      </c>
      <c r="L59" t="n">
        <v>29.5</v>
      </c>
      <c r="M59" t="b">
        <v>0</v>
      </c>
      <c r="N59" t="n">
        <v>-1.394590483732079</v>
      </c>
    </row>
    <row r="60">
      <c r="A60" t="n">
        <v>58</v>
      </c>
      <c r="B60" s="3" t="n">
        <v>43770</v>
      </c>
      <c r="C60" t="inlineStr">
        <is>
          <t>History</t>
        </is>
      </c>
      <c r="D60" t="n">
        <v>27.16963333333333</v>
      </c>
      <c r="H60" t="inlineStr">
        <is>
          <t>STEO</t>
        </is>
      </c>
      <c r="I60" t="n">
        <v>29.5</v>
      </c>
      <c r="J60" t="n">
        <v>29.5</v>
      </c>
      <c r="K60" t="n">
        <v>29.5</v>
      </c>
      <c r="L60" t="n">
        <v>29.5</v>
      </c>
      <c r="M60" t="b">
        <v>0</v>
      </c>
      <c r="N60" t="n">
        <v>-1.394590483732079</v>
      </c>
    </row>
    <row r="61">
      <c r="A61" t="n">
        <v>59</v>
      </c>
      <c r="B61" s="3" t="n">
        <v>43800</v>
      </c>
      <c r="C61" t="inlineStr">
        <is>
          <t>History</t>
        </is>
      </c>
      <c r="D61" t="n">
        <v>27.26077419354839</v>
      </c>
      <c r="H61" t="inlineStr">
        <is>
          <t>STEO</t>
        </is>
      </c>
      <c r="I61" t="n">
        <v>29.5</v>
      </c>
      <c r="J61" t="n">
        <v>29.5</v>
      </c>
      <c r="K61" t="n">
        <v>29.5</v>
      </c>
      <c r="L61" t="n">
        <v>29.5</v>
      </c>
      <c r="M61" t="b">
        <v>0</v>
      </c>
      <c r="N61" t="n">
        <v>-1.394590483732079</v>
      </c>
    </row>
    <row r="62">
      <c r="A62" t="n">
        <v>60</v>
      </c>
      <c r="B62" s="3" t="n">
        <v>43831</v>
      </c>
      <c r="C62" t="inlineStr">
        <is>
          <t>History</t>
        </is>
      </c>
      <c r="D62" t="n">
        <v>29.85877419354838</v>
      </c>
      <c r="H62" t="inlineStr">
        <is>
          <t>STEO</t>
        </is>
      </c>
      <c r="I62" t="n">
        <v>29.5</v>
      </c>
      <c r="J62" t="n">
        <v>29.5</v>
      </c>
      <c r="K62" t="n">
        <v>29.5</v>
      </c>
      <c r="L62" t="n">
        <v>29.5</v>
      </c>
      <c r="M62" t="b">
        <v>0</v>
      </c>
      <c r="N62" t="n">
        <v>-1.394590483732079</v>
      </c>
    </row>
    <row r="63">
      <c r="A63" t="n">
        <v>61</v>
      </c>
      <c r="B63" s="3" t="n">
        <v>43862</v>
      </c>
      <c r="C63" t="inlineStr">
        <is>
          <t>History</t>
        </is>
      </c>
      <c r="D63" t="n">
        <v>27.8101724137931</v>
      </c>
      <c r="H63" t="inlineStr">
        <is>
          <t>STEO</t>
        </is>
      </c>
      <c r="I63" t="n">
        <v>29.5</v>
      </c>
      <c r="J63" t="n">
        <v>29.5</v>
      </c>
      <c r="K63" t="n">
        <v>29.5</v>
      </c>
      <c r="L63" t="n">
        <v>29.5</v>
      </c>
      <c r="M63" t="b">
        <v>0</v>
      </c>
      <c r="N63" t="n">
        <v>-1.394590483732079</v>
      </c>
    </row>
    <row r="64">
      <c r="A64" t="n">
        <v>62</v>
      </c>
      <c r="B64" s="3" t="n">
        <v>43891</v>
      </c>
      <c r="C64" t="inlineStr">
        <is>
          <t>History</t>
        </is>
      </c>
      <c r="D64" t="n">
        <v>27.86754838709677</v>
      </c>
      <c r="H64" t="inlineStr">
        <is>
          <t>STEO</t>
        </is>
      </c>
      <c r="I64" t="n">
        <v>29.5</v>
      </c>
      <c r="J64" t="n">
        <v>29.5</v>
      </c>
      <c r="K64" t="n">
        <v>29.5</v>
      </c>
      <c r="L64" t="n">
        <v>29.5</v>
      </c>
      <c r="M64" t="b">
        <v>0</v>
      </c>
      <c r="N64" t="n">
        <v>-1.394590483732079</v>
      </c>
    </row>
    <row r="65">
      <c r="A65" t="n">
        <v>63</v>
      </c>
      <c r="B65" s="3" t="n">
        <v>43922</v>
      </c>
      <c r="C65" t="inlineStr">
        <is>
          <t>History</t>
        </is>
      </c>
      <c r="D65" t="n">
        <v>28.98423333333333</v>
      </c>
      <c r="H65" t="inlineStr">
        <is>
          <t>STEO</t>
        </is>
      </c>
      <c r="I65" t="n">
        <v>29.5</v>
      </c>
      <c r="J65" t="n">
        <v>29.5</v>
      </c>
      <c r="K65" t="n">
        <v>29.5</v>
      </c>
      <c r="L65" t="n">
        <v>29.5</v>
      </c>
      <c r="M65" t="b">
        <v>0</v>
      </c>
      <c r="N65" t="n">
        <v>-1.394590483732079</v>
      </c>
    </row>
    <row r="66">
      <c r="A66" t="n">
        <v>64</v>
      </c>
      <c r="B66" s="3" t="n">
        <v>43952</v>
      </c>
      <c r="C66" t="inlineStr">
        <is>
          <t>History</t>
        </is>
      </c>
      <c r="D66" t="n">
        <v>24.7841935483871</v>
      </c>
      <c r="H66" t="inlineStr">
        <is>
          <t>STEO</t>
        </is>
      </c>
      <c r="I66" t="n">
        <v>29.5</v>
      </c>
      <c r="J66" t="n">
        <v>29.5</v>
      </c>
      <c r="K66" t="n">
        <v>29.5</v>
      </c>
      <c r="L66" t="n">
        <v>29.5</v>
      </c>
      <c r="M66" t="b">
        <v>0</v>
      </c>
      <c r="N66" t="n">
        <v>-1.394590483732079</v>
      </c>
    </row>
    <row r="67">
      <c r="A67" t="n">
        <v>65</v>
      </c>
      <c r="B67" s="3" t="n">
        <v>43983</v>
      </c>
      <c r="C67" t="inlineStr">
        <is>
          <t>History</t>
        </is>
      </c>
      <c r="D67" t="n">
        <v>27.00793333333333</v>
      </c>
      <c r="H67" t="inlineStr">
        <is>
          <t>STEO</t>
        </is>
      </c>
      <c r="I67" t="n">
        <v>29.5</v>
      </c>
      <c r="J67" t="n">
        <v>29.5</v>
      </c>
      <c r="K67" t="n">
        <v>29.5</v>
      </c>
      <c r="L67" t="n">
        <v>29.5</v>
      </c>
      <c r="M67" t="b">
        <v>0</v>
      </c>
      <c r="N67" t="n">
        <v>-1.394590483732079</v>
      </c>
    </row>
    <row r="68">
      <c r="A68" t="n">
        <v>66</v>
      </c>
      <c r="B68" s="3" t="n">
        <v>44013</v>
      </c>
      <c r="C68" t="inlineStr">
        <is>
          <t>History</t>
        </is>
      </c>
      <c r="D68" t="n">
        <v>25.48325806451613</v>
      </c>
      <c r="H68" t="inlineStr">
        <is>
          <t>STEO</t>
        </is>
      </c>
      <c r="I68" t="n">
        <v>29.5</v>
      </c>
      <c r="J68" t="n">
        <v>29.5</v>
      </c>
      <c r="K68" t="n">
        <v>29.5</v>
      </c>
      <c r="L68" t="n">
        <v>29.5</v>
      </c>
      <c r="M68" t="b">
        <v>0</v>
      </c>
      <c r="N68" t="n">
        <v>-1.394590483732079</v>
      </c>
    </row>
    <row r="69">
      <c r="A69" t="n">
        <v>67</v>
      </c>
      <c r="B69" s="3" t="n">
        <v>44044</v>
      </c>
      <c r="C69" t="inlineStr">
        <is>
          <t>History</t>
        </is>
      </c>
      <c r="D69" t="n">
        <v>25.90293548387097</v>
      </c>
      <c r="H69" t="inlineStr">
        <is>
          <t>STEO</t>
        </is>
      </c>
      <c r="I69" t="n">
        <v>29.5</v>
      </c>
      <c r="J69" t="n">
        <v>29.5</v>
      </c>
      <c r="K69" t="n">
        <v>29.5</v>
      </c>
      <c r="L69" t="n">
        <v>29.5</v>
      </c>
      <c r="M69" t="b">
        <v>0</v>
      </c>
      <c r="N69" t="n">
        <v>-1.394590483732079</v>
      </c>
    </row>
    <row r="70">
      <c r="A70" t="n">
        <v>68</v>
      </c>
      <c r="B70" s="3" t="n">
        <v>44075</v>
      </c>
      <c r="C70" t="inlineStr">
        <is>
          <t>History</t>
        </is>
      </c>
      <c r="D70" t="n">
        <v>26.8679</v>
      </c>
      <c r="H70" t="inlineStr">
        <is>
          <t>STEO</t>
        </is>
      </c>
      <c r="I70" t="n">
        <v>29.5</v>
      </c>
      <c r="J70" t="n">
        <v>29.5</v>
      </c>
      <c r="K70" t="n">
        <v>29.5</v>
      </c>
      <c r="L70" t="n">
        <v>29.5</v>
      </c>
      <c r="M70" t="b">
        <v>0</v>
      </c>
      <c r="N70" t="n">
        <v>-1.394590483732079</v>
      </c>
    </row>
    <row r="71">
      <c r="A71" t="n">
        <v>69</v>
      </c>
      <c r="B71" s="3" t="n">
        <v>44105</v>
      </c>
      <c r="C71" t="inlineStr">
        <is>
          <t>History</t>
        </is>
      </c>
      <c r="D71" t="n">
        <v>25.53925806451613</v>
      </c>
      <c r="H71" t="inlineStr">
        <is>
          <t>STEO</t>
        </is>
      </c>
      <c r="I71" t="n">
        <v>29.5</v>
      </c>
      <c r="J71" t="n">
        <v>29.5</v>
      </c>
      <c r="K71" t="n">
        <v>29.5</v>
      </c>
      <c r="L71" t="n">
        <v>29.5</v>
      </c>
      <c r="M71" t="b">
        <v>0</v>
      </c>
      <c r="N71" t="n">
        <v>-1.394590483732079</v>
      </c>
    </row>
    <row r="72">
      <c r="A72" t="n">
        <v>70</v>
      </c>
      <c r="B72" s="3" t="n">
        <v>44136</v>
      </c>
      <c r="C72" t="inlineStr">
        <is>
          <t>History</t>
        </is>
      </c>
      <c r="D72" t="n">
        <v>25.78056666666667</v>
      </c>
      <c r="H72" t="inlineStr">
        <is>
          <t>STEO</t>
        </is>
      </c>
      <c r="I72" t="n">
        <v>29.5</v>
      </c>
      <c r="J72" t="n">
        <v>29.5</v>
      </c>
      <c r="K72" t="n">
        <v>29.5</v>
      </c>
      <c r="L72" t="n">
        <v>29.5</v>
      </c>
      <c r="M72" t="b">
        <v>0</v>
      </c>
      <c r="N72" t="n">
        <v>-1.394590483732079</v>
      </c>
    </row>
    <row r="73">
      <c r="A73" t="n">
        <v>71</v>
      </c>
      <c r="B73" s="3" t="n">
        <v>44166</v>
      </c>
      <c r="C73" t="inlineStr">
        <is>
          <t>History</t>
        </is>
      </c>
      <c r="D73" t="n">
        <v>25.96151612903226</v>
      </c>
      <c r="H73" t="inlineStr">
        <is>
          <t>STEO</t>
        </is>
      </c>
      <c r="I73" t="n">
        <v>29.5</v>
      </c>
      <c r="J73" t="n">
        <v>29.5</v>
      </c>
      <c r="K73" t="n">
        <v>29.5</v>
      </c>
      <c r="L73" t="n">
        <v>29.5</v>
      </c>
      <c r="M73" t="b">
        <v>0</v>
      </c>
      <c r="N73" t="n">
        <v>-1.394590483732079</v>
      </c>
    </row>
    <row r="74">
      <c r="A74" t="n">
        <v>72</v>
      </c>
      <c r="B74" s="3" t="n">
        <v>44197</v>
      </c>
      <c r="C74" t="inlineStr">
        <is>
          <t>History</t>
        </is>
      </c>
      <c r="D74" t="n">
        <v>25.78658064516129</v>
      </c>
      <c r="H74" t="inlineStr">
        <is>
          <t>STEO</t>
        </is>
      </c>
      <c r="I74" t="n">
        <v>29.5</v>
      </c>
      <c r="J74" t="n">
        <v>29.5</v>
      </c>
      <c r="K74" t="n">
        <v>29.5</v>
      </c>
      <c r="L74" t="n">
        <v>29.5</v>
      </c>
      <c r="M74" t="b">
        <v>0</v>
      </c>
      <c r="N74" t="n">
        <v>-1.394590483732079</v>
      </c>
      <c r="Q74" t="n">
        <v>22.10383870967742</v>
      </c>
      <c r="R74" t="n">
        <v>22.10383870967742</v>
      </c>
      <c r="S74" t="n">
        <v>18.38699064516129</v>
      </c>
      <c r="T74" t="n">
        <v>18.38699064516129</v>
      </c>
      <c r="U74" t="n">
        <v>4.16024870967742</v>
      </c>
      <c r="V74" t="n">
        <v>4.16024870967742</v>
      </c>
      <c r="W74" t="n">
        <v>11.67425806451613</v>
      </c>
      <c r="X74" t="n">
        <v>2.552483870967742</v>
      </c>
      <c r="Y74" t="n">
        <v>0.5196451612903226</v>
      </c>
      <c r="Z74" t="n">
        <v>2.56</v>
      </c>
      <c r="AA74" t="n">
        <v>5.757202903225805</v>
      </c>
      <c r="AB74" t="n">
        <v>5.757202903225805</v>
      </c>
    </row>
    <row r="75">
      <c r="A75" t="n">
        <v>73</v>
      </c>
      <c r="B75" s="3" t="n">
        <v>44228</v>
      </c>
      <c r="C75" t="inlineStr">
        <is>
          <t>History</t>
        </is>
      </c>
      <c r="D75" t="n">
        <v>21.81089285714286</v>
      </c>
      <c r="H75" t="inlineStr">
        <is>
          <t>STEO</t>
        </is>
      </c>
      <c r="I75" t="n">
        <v>29.5</v>
      </c>
      <c r="J75" t="n">
        <v>29.5</v>
      </c>
      <c r="K75" t="n">
        <v>29.5</v>
      </c>
      <c r="L75" t="n">
        <v>29.5</v>
      </c>
      <c r="M75" t="b">
        <v>0</v>
      </c>
      <c r="N75" t="n">
        <v>-1.394590483732079</v>
      </c>
      <c r="Q75" t="n">
        <v>18.401</v>
      </c>
      <c r="R75" t="n">
        <v>18.401</v>
      </c>
      <c r="S75" t="n">
        <v>16.70803892857143</v>
      </c>
      <c r="T75" t="n">
        <v>16.70803892857143</v>
      </c>
      <c r="U75" t="n">
        <v>2.483681785714286</v>
      </c>
      <c r="V75" t="n">
        <v>2.483681785714286</v>
      </c>
      <c r="W75" t="n">
        <v>11.97192857142857</v>
      </c>
      <c r="X75" t="n">
        <v>2.252428571428571</v>
      </c>
      <c r="Y75" t="n">
        <v>1.272107142857143</v>
      </c>
      <c r="Z75" t="n">
        <v>4.41275</v>
      </c>
      <c r="AA75" t="n">
        <v>4.833603928571426</v>
      </c>
      <c r="AB75" t="n">
        <v>4.833603928571426</v>
      </c>
    </row>
    <row r="76">
      <c r="A76" t="n">
        <v>74</v>
      </c>
      <c r="B76" s="3" t="n">
        <v>44256</v>
      </c>
      <c r="C76" t="inlineStr">
        <is>
          <t>History</t>
        </is>
      </c>
      <c r="D76" t="n">
        <v>26.71145161290323</v>
      </c>
      <c r="H76" t="inlineStr">
        <is>
          <t>STEO</t>
        </is>
      </c>
      <c r="I76" t="n">
        <v>29.5</v>
      </c>
      <c r="J76" t="n">
        <v>29.5</v>
      </c>
      <c r="K76" t="n">
        <v>29.5</v>
      </c>
      <c r="L76" t="n">
        <v>29.5</v>
      </c>
      <c r="M76" t="b">
        <v>0</v>
      </c>
      <c r="N76" t="n">
        <v>-1.394590483732079</v>
      </c>
      <c r="Q76" t="n">
        <v>22.99258064516129</v>
      </c>
      <c r="R76" t="n">
        <v>22.99258064516129</v>
      </c>
      <c r="S76" t="n">
        <v>16.20640129032258</v>
      </c>
      <c r="T76" t="n">
        <v>16.20640129032258</v>
      </c>
      <c r="U76" t="n">
        <v>4.437917419354839</v>
      </c>
      <c r="V76" t="n">
        <v>4.437917419354839</v>
      </c>
      <c r="W76" t="n">
        <v>9.124548387096773</v>
      </c>
      <c r="X76" t="n">
        <v>2.643935483870968</v>
      </c>
      <c r="Y76" t="n">
        <v>1.762354838709677</v>
      </c>
      <c r="Z76" t="n">
        <v>1.144354838709677</v>
      </c>
      <c r="AA76" t="n">
        <v>6.168179354838709</v>
      </c>
      <c r="AB76" t="n">
        <v>6.168179354838709</v>
      </c>
    </row>
    <row r="77">
      <c r="A77" t="n">
        <v>75</v>
      </c>
      <c r="B77" s="3" t="n">
        <v>44287</v>
      </c>
      <c r="C77" t="inlineStr">
        <is>
          <t>History</t>
        </is>
      </c>
      <c r="D77" t="n">
        <v>27.46023333333333</v>
      </c>
      <c r="H77" t="inlineStr">
        <is>
          <t>STEO</t>
        </is>
      </c>
      <c r="I77" t="n">
        <v>29.5</v>
      </c>
      <c r="J77" t="n">
        <v>29.5</v>
      </c>
      <c r="K77" t="n">
        <v>29.5</v>
      </c>
      <c r="L77" t="n">
        <v>29.5</v>
      </c>
      <c r="M77" t="b">
        <v>0</v>
      </c>
      <c r="N77" t="n">
        <v>-1.394590483732079</v>
      </c>
      <c r="Q77" t="n">
        <v>23.71223333333333</v>
      </c>
      <c r="R77" t="n">
        <v>23.71223333333333</v>
      </c>
      <c r="S77" t="n">
        <v>16.96932466666667</v>
      </c>
      <c r="T77" t="n">
        <v>16.96932466666667</v>
      </c>
      <c r="U77" t="n">
        <v>4.377658</v>
      </c>
      <c r="V77" t="n">
        <v>4.377658</v>
      </c>
      <c r="W77" t="n">
        <v>9.921433333333335</v>
      </c>
      <c r="X77" t="n">
        <v>2.670233333333333</v>
      </c>
      <c r="Y77" t="n">
        <v>1.559</v>
      </c>
      <c r="Z77" t="n">
        <v>0.7668666666666667</v>
      </c>
      <c r="AA77" t="n">
        <v>5.950775333333326</v>
      </c>
      <c r="AB77" t="n">
        <v>5.950775333333326</v>
      </c>
    </row>
    <row r="78">
      <c r="A78" t="n">
        <v>76</v>
      </c>
      <c r="B78" s="3" t="n">
        <v>44317</v>
      </c>
      <c r="C78" t="inlineStr">
        <is>
          <t>History</t>
        </is>
      </c>
      <c r="D78" t="n">
        <v>27.33270967741936</v>
      </c>
      <c r="H78" t="inlineStr">
        <is>
          <t>STEO</t>
        </is>
      </c>
      <c r="I78" t="n">
        <v>29.5</v>
      </c>
      <c r="J78" t="n">
        <v>29.5</v>
      </c>
      <c r="K78" t="n">
        <v>29.5</v>
      </c>
      <c r="L78" t="n">
        <v>29.5</v>
      </c>
      <c r="M78" t="b">
        <v>0</v>
      </c>
      <c r="N78" t="n">
        <v>-1.394590483732079</v>
      </c>
      <c r="Q78" t="n">
        <v>23.58770967741935</v>
      </c>
      <c r="R78" t="n">
        <v>23.58770967741935</v>
      </c>
      <c r="S78" t="n">
        <v>16.77094774193548</v>
      </c>
      <c r="T78" t="n">
        <v>16.77094774193548</v>
      </c>
      <c r="U78" t="n">
        <v>4.289044516129032</v>
      </c>
      <c r="V78" t="n">
        <v>4.289044516129032</v>
      </c>
      <c r="W78" t="n">
        <v>9.715580645161289</v>
      </c>
      <c r="X78" t="n">
        <v>2.766322580645161</v>
      </c>
      <c r="Y78" t="n">
        <v>2.060290322580645</v>
      </c>
      <c r="Z78" t="n">
        <v>0.3708387096774193</v>
      </c>
      <c r="AA78" t="n">
        <v>5.127310322580644</v>
      </c>
      <c r="AB78" t="n">
        <v>5.127310322580644</v>
      </c>
    </row>
    <row r="79">
      <c r="A79" t="n">
        <v>77</v>
      </c>
      <c r="B79" s="3" t="n">
        <v>44348</v>
      </c>
      <c r="C79" t="inlineStr">
        <is>
          <t>History</t>
        </is>
      </c>
      <c r="D79" t="n">
        <v>27.25273333333334</v>
      </c>
      <c r="H79" t="inlineStr">
        <is>
          <t>STEO</t>
        </is>
      </c>
      <c r="I79" t="n">
        <v>29.5</v>
      </c>
      <c r="J79" t="n">
        <v>29.5</v>
      </c>
      <c r="K79" t="n">
        <v>29.5</v>
      </c>
      <c r="L79" t="n">
        <v>29.5</v>
      </c>
      <c r="M79" t="b">
        <v>0</v>
      </c>
      <c r="N79" t="n">
        <v>-1.394590483732079</v>
      </c>
      <c r="Q79" t="n">
        <v>23.52116666666667</v>
      </c>
      <c r="R79" t="n">
        <v>23.52116666666667</v>
      </c>
      <c r="S79" t="n">
        <v>18.93525833333334</v>
      </c>
      <c r="T79" t="n">
        <v>18.93525833333334</v>
      </c>
      <c r="U79" t="n">
        <v>4.362725</v>
      </c>
      <c r="V79" t="n">
        <v>4.362725</v>
      </c>
      <c r="W79" t="n">
        <v>11.6426</v>
      </c>
      <c r="X79" t="n">
        <v>2.929933333333334</v>
      </c>
      <c r="Y79" t="n">
        <v>1.1406</v>
      </c>
      <c r="Z79" t="n">
        <v>1.339333333333333</v>
      </c>
      <c r="AA79" t="n">
        <v>4.784641666666665</v>
      </c>
      <c r="AB79" t="n">
        <v>4.784641666666665</v>
      </c>
    </row>
    <row r="80">
      <c r="A80" t="n">
        <v>78</v>
      </c>
      <c r="B80" s="3" t="n">
        <v>44378</v>
      </c>
      <c r="C80" t="inlineStr">
        <is>
          <t>History</t>
        </is>
      </c>
      <c r="D80" t="n">
        <v>27.76387096774194</v>
      </c>
      <c r="H80" t="inlineStr">
        <is>
          <t>STEO</t>
        </is>
      </c>
      <c r="I80" t="n">
        <v>29.5</v>
      </c>
      <c r="J80" t="n">
        <v>29.5</v>
      </c>
      <c r="K80" t="n">
        <v>29.5</v>
      </c>
      <c r="L80" t="n">
        <v>29.5</v>
      </c>
      <c r="M80" t="b">
        <v>0</v>
      </c>
      <c r="N80" t="n">
        <v>-1.394590483732079</v>
      </c>
      <c r="Q80" t="n">
        <v>23.99703225806451</v>
      </c>
      <c r="R80" t="n">
        <v>23.99703225806451</v>
      </c>
      <c r="S80" t="n">
        <v>19.39071032258065</v>
      </c>
      <c r="T80" t="n">
        <v>19.39071032258065</v>
      </c>
      <c r="U80" t="n">
        <v>4.267807096774193</v>
      </c>
      <c r="V80" t="n">
        <v>4.267807096774193</v>
      </c>
      <c r="W80" t="n">
        <v>12.24670967741936</v>
      </c>
      <c r="X80" t="n">
        <v>2.876193548387096</v>
      </c>
      <c r="Y80" t="n">
        <v>0.9387096774193548</v>
      </c>
      <c r="Z80" t="n">
        <v>1.255870967741935</v>
      </c>
      <c r="AA80" t="n">
        <v>4.923483225806446</v>
      </c>
      <c r="AB80" t="n">
        <v>4.923483225806446</v>
      </c>
    </row>
    <row r="81">
      <c r="A81" t="n">
        <v>79</v>
      </c>
      <c r="B81" s="3" t="n">
        <v>44409</v>
      </c>
      <c r="C81" t="inlineStr">
        <is>
          <t>History</t>
        </is>
      </c>
      <c r="D81" t="n">
        <v>27.81929032258065</v>
      </c>
      <c r="H81" t="inlineStr">
        <is>
          <t>STEO</t>
        </is>
      </c>
      <c r="I81" t="n">
        <v>29.5</v>
      </c>
      <c r="J81" t="n">
        <v>29.5</v>
      </c>
      <c r="K81" t="n">
        <v>29.5</v>
      </c>
      <c r="L81" t="n">
        <v>29.5</v>
      </c>
      <c r="M81" t="b">
        <v>0</v>
      </c>
      <c r="N81" t="n">
        <v>-1.394590483732079</v>
      </c>
      <c r="Q81" t="n">
        <v>24.04129032258064</v>
      </c>
      <c r="R81" t="n">
        <v>24.04129032258064</v>
      </c>
      <c r="S81" t="n">
        <v>19.63512096774194</v>
      </c>
      <c r="T81" t="n">
        <v>19.63512096774194</v>
      </c>
      <c r="U81" t="n">
        <v>4.47866935483871</v>
      </c>
      <c r="V81" t="n">
        <v>4.47866935483871</v>
      </c>
      <c r="W81" t="n">
        <v>12.35364516129032</v>
      </c>
      <c r="X81" t="n">
        <v>2.802806451612903</v>
      </c>
      <c r="Y81" t="n">
        <v>1.041451612903226</v>
      </c>
      <c r="Z81" t="n">
        <v>1.687774193548387</v>
      </c>
      <c r="AA81" t="n">
        <v>5.052491935483863</v>
      </c>
      <c r="AB81" t="n">
        <v>5.052491935483863</v>
      </c>
    </row>
    <row r="82">
      <c r="A82" t="n">
        <v>80</v>
      </c>
      <c r="B82" s="3" t="n">
        <v>44440</v>
      </c>
      <c r="C82" t="inlineStr">
        <is>
          <t>History</t>
        </is>
      </c>
      <c r="D82" t="n">
        <v>28.62506666666667</v>
      </c>
      <c r="H82" t="inlineStr">
        <is>
          <t>STEO</t>
        </is>
      </c>
      <c r="I82" t="n">
        <v>29.5</v>
      </c>
      <c r="J82" t="n">
        <v>29.5</v>
      </c>
      <c r="K82" t="n">
        <v>29.5</v>
      </c>
      <c r="L82" t="n">
        <v>29.5</v>
      </c>
      <c r="M82" t="b">
        <v>0</v>
      </c>
      <c r="N82" t="n">
        <v>-1.394590483732079</v>
      </c>
      <c r="Q82" t="n">
        <v>24.82143333333334</v>
      </c>
      <c r="R82" t="n">
        <v>24.82143333333334</v>
      </c>
      <c r="S82" t="n">
        <v>18.10756533333333</v>
      </c>
      <c r="T82" t="n">
        <v>18.10756533333333</v>
      </c>
      <c r="U82" t="n">
        <v>4.103632000000001</v>
      </c>
      <c r="V82" t="n">
        <v>4.103632000000001</v>
      </c>
      <c r="W82" t="n">
        <v>11.39013333333333</v>
      </c>
      <c r="X82" t="n">
        <v>2.6138</v>
      </c>
      <c r="Y82" t="n">
        <v>2.160866666666667</v>
      </c>
      <c r="Z82" t="n">
        <v>0.6753333333333333</v>
      </c>
      <c r="AA82" t="n">
        <v>5.228334666666672</v>
      </c>
      <c r="AB82" t="n">
        <v>5.228334666666672</v>
      </c>
    </row>
    <row r="83">
      <c r="A83" t="n">
        <v>81</v>
      </c>
      <c r="B83" s="3" t="n">
        <v>44470</v>
      </c>
      <c r="C83" t="inlineStr">
        <is>
          <t>History</t>
        </is>
      </c>
      <c r="D83" t="n">
        <v>28.61251612903226</v>
      </c>
      <c r="H83" t="inlineStr">
        <is>
          <t>STEO</t>
        </is>
      </c>
      <c r="I83" t="n">
        <v>29.5</v>
      </c>
      <c r="J83" t="n">
        <v>29.5</v>
      </c>
      <c r="K83" t="n">
        <v>29.5</v>
      </c>
      <c r="L83" t="n">
        <v>29.5</v>
      </c>
      <c r="M83" t="b">
        <v>0</v>
      </c>
      <c r="N83" t="n">
        <v>-1.394590483732079</v>
      </c>
      <c r="Q83" t="n">
        <v>24.74848387096774</v>
      </c>
      <c r="R83" t="n">
        <v>24.74848387096774</v>
      </c>
      <c r="S83" t="n">
        <v>17.48072806451613</v>
      </c>
      <c r="T83" t="n">
        <v>17.48072806451613</v>
      </c>
      <c r="U83" t="n">
        <v>4.390695806451613</v>
      </c>
      <c r="V83" t="n">
        <v>4.390695806451613</v>
      </c>
      <c r="W83" t="n">
        <v>10.32216129032258</v>
      </c>
      <c r="X83" t="n">
        <v>2.767870967741935</v>
      </c>
      <c r="Y83" t="n">
        <v>2.154032258064516</v>
      </c>
      <c r="Z83" t="n">
        <v>0.5892903225806452</v>
      </c>
      <c r="AA83" t="n">
        <v>5.703013870967736</v>
      </c>
      <c r="AB83" t="n">
        <v>5.703013870967736</v>
      </c>
    </row>
    <row r="84">
      <c r="A84" t="n">
        <v>82</v>
      </c>
      <c r="B84" s="3" t="n">
        <v>44501</v>
      </c>
      <c r="C84" t="inlineStr">
        <is>
          <t>History</t>
        </is>
      </c>
      <c r="D84" t="n">
        <v>28.5496</v>
      </c>
      <c r="H84" t="inlineStr">
        <is>
          <t>STEO</t>
        </is>
      </c>
      <c r="I84" t="n">
        <v>29.5</v>
      </c>
      <c r="J84" t="n">
        <v>29.5</v>
      </c>
      <c r="K84" t="n">
        <v>29.5</v>
      </c>
      <c r="L84" t="n">
        <v>29.5</v>
      </c>
      <c r="M84" t="b">
        <v>0</v>
      </c>
      <c r="N84" t="n">
        <v>-1.394590483732079</v>
      </c>
      <c r="Q84" t="n">
        <v>24.64196666666667</v>
      </c>
      <c r="R84" t="n">
        <v>24.64196666666667</v>
      </c>
      <c r="S84" t="n">
        <v>16.622308</v>
      </c>
      <c r="T84" t="n">
        <v>16.622308</v>
      </c>
      <c r="U84" t="n">
        <v>3.903508</v>
      </c>
      <c r="V84" t="n">
        <v>3.903508</v>
      </c>
      <c r="W84" t="n">
        <v>10.16123333333333</v>
      </c>
      <c r="X84" t="n">
        <v>2.557566666666667</v>
      </c>
      <c r="Y84" t="n">
        <v>1.294366666666667</v>
      </c>
      <c r="Z84" t="n">
        <v>1.114866666666666</v>
      </c>
      <c r="AA84" t="n">
        <v>7.840158666666669</v>
      </c>
      <c r="AB84" t="n">
        <v>7.840158666666669</v>
      </c>
    </row>
    <row r="85">
      <c r="A85" t="n">
        <v>83</v>
      </c>
      <c r="B85" s="3" t="n">
        <v>44531</v>
      </c>
      <c r="C85" t="inlineStr">
        <is>
          <t>History</t>
        </is>
      </c>
      <c r="D85" t="n">
        <v>28.93558064516129</v>
      </c>
      <c r="H85" t="inlineStr">
        <is>
          <t>STEO</t>
        </is>
      </c>
      <c r="I85" t="n">
        <v>29.5</v>
      </c>
      <c r="J85" t="n">
        <v>29.5</v>
      </c>
      <c r="K85" t="n">
        <v>29.5</v>
      </c>
      <c r="L85" t="n">
        <v>29.5</v>
      </c>
      <c r="M85" t="b">
        <v>0</v>
      </c>
      <c r="N85" t="n">
        <v>-1.394590483732079</v>
      </c>
      <c r="Q85" t="n">
        <v>24.995</v>
      </c>
      <c r="R85" t="n">
        <v>24.995</v>
      </c>
      <c r="S85" t="n">
        <v>17.30569096774193</v>
      </c>
      <c r="T85" t="n">
        <v>17.30569096774193</v>
      </c>
      <c r="U85" t="n">
        <v>4.614497419354839</v>
      </c>
      <c r="V85" t="n">
        <v>4.614497419354839</v>
      </c>
      <c r="W85" t="n">
        <v>10.28545161290323</v>
      </c>
      <c r="X85" t="n">
        <v>2.405741935483871</v>
      </c>
      <c r="Y85" t="n">
        <v>1.387967741935484</v>
      </c>
      <c r="Z85" t="n">
        <v>1.367516129032258</v>
      </c>
      <c r="AA85" t="n">
        <v>7.66885741935484</v>
      </c>
      <c r="AB85" t="n">
        <v>7.66885741935484</v>
      </c>
    </row>
    <row r="86">
      <c r="A86" t="n">
        <v>84</v>
      </c>
      <c r="B86" s="3" t="n">
        <v>44562</v>
      </c>
      <c r="C86" t="inlineStr">
        <is>
          <t>History</t>
        </is>
      </c>
      <c r="D86" t="n">
        <v>27.34338709677419</v>
      </c>
      <c r="H86" t="inlineStr">
        <is>
          <t>STEO</t>
        </is>
      </c>
      <c r="I86" t="n">
        <v>29.5</v>
      </c>
      <c r="J86" t="n">
        <v>29.5</v>
      </c>
      <c r="K86" t="n">
        <v>29.5</v>
      </c>
      <c r="L86" t="n">
        <v>29.5</v>
      </c>
      <c r="M86" t="b">
        <v>0</v>
      </c>
      <c r="N86" t="n">
        <v>-1.394590483732079</v>
      </c>
      <c r="Q86" t="n">
        <v>23.17987096774193</v>
      </c>
      <c r="R86" t="n">
        <v>23.17987096774193</v>
      </c>
      <c r="S86" t="n">
        <v>18.91362774193549</v>
      </c>
      <c r="T86" t="n">
        <v>18.91362774193549</v>
      </c>
      <c r="U86" t="n">
        <v>4.595369677419355</v>
      </c>
      <c r="V86" t="n">
        <v>4.595369677419355</v>
      </c>
      <c r="W86" t="n">
        <v>11.75564516129032</v>
      </c>
      <c r="X86" t="n">
        <v>2.562612903225807</v>
      </c>
      <c r="Y86" t="n">
        <v>0.5149677419354839</v>
      </c>
      <c r="Z86" t="n">
        <v>4.000612903225806</v>
      </c>
      <c r="AA86" t="n">
        <v>7.751888387096768</v>
      </c>
      <c r="AB86" t="n">
        <v>7.751888387096768</v>
      </c>
    </row>
    <row r="87">
      <c r="A87" t="n">
        <v>85</v>
      </c>
      <c r="B87" s="3" t="n">
        <v>44593</v>
      </c>
      <c r="C87" t="inlineStr">
        <is>
          <t>History</t>
        </is>
      </c>
      <c r="D87" t="n">
        <v>28.54342857142857</v>
      </c>
      <c r="H87" t="inlineStr">
        <is>
          <t>STEO</t>
        </is>
      </c>
      <c r="I87" t="n">
        <v>29.5</v>
      </c>
      <c r="J87" t="n">
        <v>29.5</v>
      </c>
      <c r="K87" t="n">
        <v>29.5</v>
      </c>
      <c r="L87" t="n">
        <v>29.5</v>
      </c>
      <c r="M87" t="b">
        <v>0</v>
      </c>
      <c r="N87" t="n">
        <v>-1.394590483732079</v>
      </c>
      <c r="Q87" t="n">
        <v>24.34007142857143</v>
      </c>
      <c r="R87" t="n">
        <v>24.34007142857143</v>
      </c>
      <c r="S87" t="n">
        <v>19.65105321428572</v>
      </c>
      <c r="T87" t="n">
        <v>19.65105321428572</v>
      </c>
      <c r="U87" t="n">
        <v>4.697160357142858</v>
      </c>
      <c r="V87" t="n">
        <v>4.697160357142858</v>
      </c>
      <c r="W87" t="n">
        <v>12.22685714285715</v>
      </c>
      <c r="X87" t="n">
        <v>2.727035714285714</v>
      </c>
      <c r="Y87" t="n">
        <v>0.7398571428571429</v>
      </c>
      <c r="Z87" t="n">
        <v>3.681178571428572</v>
      </c>
      <c r="AA87" t="n">
        <v>7.630339642857142</v>
      </c>
      <c r="AB87" t="n">
        <v>7.630339642857142</v>
      </c>
    </row>
    <row r="88">
      <c r="A88" t="n">
        <v>86</v>
      </c>
      <c r="B88" s="3" t="n">
        <v>44621</v>
      </c>
      <c r="C88" t="inlineStr">
        <is>
          <t>History</t>
        </is>
      </c>
      <c r="D88" t="n">
        <v>29.1521935483871</v>
      </c>
      <c r="H88" t="inlineStr">
        <is>
          <t>STEO</t>
        </is>
      </c>
      <c r="I88" t="n">
        <v>29.5</v>
      </c>
      <c r="J88" t="n">
        <v>29.5</v>
      </c>
      <c r="K88" t="n">
        <v>29.5</v>
      </c>
      <c r="L88" t="n">
        <v>29.5</v>
      </c>
      <c r="M88" t="b">
        <v>0</v>
      </c>
      <c r="N88" t="n">
        <v>-1.394590483732079</v>
      </c>
      <c r="Q88" t="n">
        <v>24.87987096774194</v>
      </c>
      <c r="R88" t="n">
        <v>24.87987096774194</v>
      </c>
      <c r="S88" t="n">
        <v>17.15643870967742</v>
      </c>
      <c r="T88" t="n">
        <v>17.15643870967742</v>
      </c>
      <c r="U88" t="n">
        <v>4.382503225806452</v>
      </c>
      <c r="V88" t="n">
        <v>4.382503225806452</v>
      </c>
      <c r="W88" t="n">
        <v>10.106</v>
      </c>
      <c r="X88" t="n">
        <v>2.667935483870968</v>
      </c>
      <c r="Y88" t="n">
        <v>1.433064516129032</v>
      </c>
      <c r="Z88" t="n">
        <v>1.425935483870968</v>
      </c>
      <c r="AA88" t="n">
        <v>7.71630322580646</v>
      </c>
      <c r="AB88" t="n">
        <v>7.71630322580646</v>
      </c>
    </row>
    <row r="89">
      <c r="A89" t="n">
        <v>87</v>
      </c>
      <c r="B89" s="3" t="n">
        <v>44652</v>
      </c>
      <c r="C89" t="inlineStr">
        <is>
          <t>History</t>
        </is>
      </c>
      <c r="D89" t="n">
        <v>29.6837</v>
      </c>
      <c r="H89" t="inlineStr">
        <is>
          <t>STEO</t>
        </is>
      </c>
      <c r="I89" t="n">
        <v>29.5</v>
      </c>
      <c r="J89" t="n">
        <v>29.5</v>
      </c>
      <c r="K89" t="n">
        <v>29.5</v>
      </c>
      <c r="L89" t="n">
        <v>29.5</v>
      </c>
      <c r="M89" t="b">
        <v>0</v>
      </c>
      <c r="N89" t="n">
        <v>-1.394590483732079</v>
      </c>
      <c r="Q89" t="n">
        <v>25.36933333333333</v>
      </c>
      <c r="R89" t="n">
        <v>25.36933333333333</v>
      </c>
      <c r="S89" t="n">
        <v>15.91972866666666</v>
      </c>
      <c r="T89" t="n">
        <v>15.91972866666666</v>
      </c>
      <c r="U89" t="n">
        <v>3.544462</v>
      </c>
      <c r="V89" t="n">
        <v>3.544462</v>
      </c>
      <c r="W89" t="n">
        <v>9.650866666666666</v>
      </c>
      <c r="X89" t="n">
        <v>2.7244</v>
      </c>
      <c r="Y89" t="n">
        <v>2.011033333333333</v>
      </c>
      <c r="Z89" t="n">
        <v>0.5206000000000001</v>
      </c>
      <c r="AA89" t="n">
        <v>7.959171333333334</v>
      </c>
      <c r="AB89" t="n">
        <v>7.959171333333334</v>
      </c>
    </row>
    <row r="90">
      <c r="A90" t="n">
        <v>88</v>
      </c>
      <c r="B90" s="3" t="n">
        <v>44682</v>
      </c>
      <c r="C90" t="inlineStr">
        <is>
          <t>History</t>
        </is>
      </c>
      <c r="D90" t="n">
        <v>29.06916129032258</v>
      </c>
      <c r="H90" t="inlineStr">
        <is>
          <t>STEO</t>
        </is>
      </c>
      <c r="I90" t="n">
        <v>29.5</v>
      </c>
      <c r="J90" t="n">
        <v>29.5</v>
      </c>
      <c r="K90" t="n">
        <v>29.5</v>
      </c>
      <c r="L90" t="n">
        <v>29.5</v>
      </c>
      <c r="M90" t="b">
        <v>0</v>
      </c>
      <c r="N90" t="n">
        <v>-1.394590483732079</v>
      </c>
      <c r="Q90" t="n">
        <v>24.7518064516129</v>
      </c>
      <c r="R90" t="n">
        <v>24.7518064516129</v>
      </c>
      <c r="S90" t="n">
        <v>17.98093064516129</v>
      </c>
      <c r="T90" t="n">
        <v>17.98093064516129</v>
      </c>
      <c r="U90" t="n">
        <v>4.411511290322581</v>
      </c>
      <c r="V90" t="n">
        <v>4.411511290322581</v>
      </c>
      <c r="W90" t="n">
        <v>10.76425806451613</v>
      </c>
      <c r="X90" t="n">
        <v>2.805161290322581</v>
      </c>
      <c r="Y90" t="n">
        <v>1.664612903225806</v>
      </c>
      <c r="Z90" t="n">
        <v>0.6686129032258065</v>
      </c>
      <c r="AA90" t="n">
        <v>5.77487580645161</v>
      </c>
      <c r="AB90" t="n">
        <v>5.77487580645161</v>
      </c>
    </row>
    <row r="91">
      <c r="A91" t="n">
        <v>89</v>
      </c>
      <c r="B91" s="3" t="n">
        <v>44713</v>
      </c>
      <c r="C91" t="inlineStr">
        <is>
          <t>History</t>
        </is>
      </c>
      <c r="D91" t="n">
        <v>28.8727</v>
      </c>
      <c r="H91" t="inlineStr">
        <is>
          <t>STEO</t>
        </is>
      </c>
      <c r="I91" t="n">
        <v>29.5</v>
      </c>
      <c r="J91" t="n">
        <v>29.5</v>
      </c>
      <c r="K91" t="n">
        <v>29.5</v>
      </c>
      <c r="L91" t="n">
        <v>29.5</v>
      </c>
      <c r="M91" t="b">
        <v>0</v>
      </c>
      <c r="N91" t="n">
        <v>-1.394590483732079</v>
      </c>
      <c r="Q91" t="n">
        <v>24.54246666666667</v>
      </c>
      <c r="R91" t="n">
        <v>24.54246666666667</v>
      </c>
      <c r="S91" t="n">
        <v>17.753532</v>
      </c>
      <c r="T91" t="n">
        <v>17.753532</v>
      </c>
      <c r="U91" t="n">
        <v>2.944598666666666</v>
      </c>
      <c r="V91" t="n">
        <v>2.944598666666666</v>
      </c>
      <c r="W91" t="n">
        <v>12.13486666666667</v>
      </c>
      <c r="X91" t="n">
        <v>2.674066666666667</v>
      </c>
      <c r="Y91" t="n">
        <v>1.453166666666667</v>
      </c>
      <c r="Z91" t="n">
        <v>0.7817999999999999</v>
      </c>
      <c r="AA91" t="n">
        <v>6.117568000000004</v>
      </c>
      <c r="AB91" t="n">
        <v>6.117568000000004</v>
      </c>
    </row>
    <row r="92">
      <c r="A92" t="n">
        <v>90</v>
      </c>
      <c r="B92" s="3" t="n">
        <v>44743</v>
      </c>
      <c r="C92" t="inlineStr">
        <is>
          <t>History</t>
        </is>
      </c>
      <c r="D92" t="n">
        <v>28.84554838709677</v>
      </c>
      <c r="H92" t="inlineStr">
        <is>
          <t>STEO</t>
        </is>
      </c>
      <c r="I92" t="n">
        <v>29.5</v>
      </c>
      <c r="J92" t="n">
        <v>29.5</v>
      </c>
      <c r="K92" t="n">
        <v>29.5</v>
      </c>
      <c r="L92" t="n">
        <v>29.5</v>
      </c>
      <c r="M92" t="b">
        <v>0</v>
      </c>
      <c r="N92" t="n">
        <v>-1.394590483732079</v>
      </c>
      <c r="Q92" t="n">
        <v>24.48077419354838</v>
      </c>
      <c r="R92" t="n">
        <v>24.48077419354838</v>
      </c>
      <c r="S92" t="n">
        <v>18.21513838709678</v>
      </c>
      <c r="T92" t="n">
        <v>18.21513838709678</v>
      </c>
      <c r="U92" t="n">
        <v>2.218009354838709</v>
      </c>
      <c r="V92" t="n">
        <v>2.218009354838709</v>
      </c>
      <c r="W92" t="n">
        <v>13.17945161290323</v>
      </c>
      <c r="X92" t="n">
        <v>2.817677419354839</v>
      </c>
      <c r="Y92" t="n">
        <v>1.202129032258065</v>
      </c>
      <c r="Z92" t="n">
        <v>1.388</v>
      </c>
      <c r="AA92" t="n">
        <v>6.451506774193542</v>
      </c>
      <c r="AB92" t="n">
        <v>6.451506774193542</v>
      </c>
    </row>
    <row r="93">
      <c r="A93" t="n">
        <v>91</v>
      </c>
      <c r="B93" s="3" t="n">
        <v>44774</v>
      </c>
      <c r="C93" t="inlineStr">
        <is>
          <t>History</t>
        </is>
      </c>
      <c r="D93" t="n">
        <v>29.41538709677419</v>
      </c>
      <c r="H93" t="inlineStr">
        <is>
          <t>STEO</t>
        </is>
      </c>
      <c r="I93" t="n">
        <v>29.5</v>
      </c>
      <c r="J93" t="n">
        <v>29.5</v>
      </c>
      <c r="K93" t="n">
        <v>29.5</v>
      </c>
      <c r="L93" t="n">
        <v>29.5</v>
      </c>
      <c r="M93" t="b">
        <v>0</v>
      </c>
      <c r="N93" t="n">
        <v>-1.394590483732079</v>
      </c>
      <c r="Q93" t="n">
        <v>25.02229032258064</v>
      </c>
      <c r="R93" t="n">
        <v>25.02229032258064</v>
      </c>
      <c r="S93" t="n">
        <v>17.9445070967742</v>
      </c>
      <c r="T93" t="n">
        <v>17.9445070967742</v>
      </c>
      <c r="U93" t="n">
        <v>2.229507096774194</v>
      </c>
      <c r="V93" t="n">
        <v>2.229507096774194</v>
      </c>
      <c r="W93" t="n">
        <v>12.92409677419355</v>
      </c>
      <c r="X93" t="n">
        <v>2.790903225806451</v>
      </c>
      <c r="Y93" t="n">
        <v>1.73141935483871</v>
      </c>
      <c r="Z93" t="n">
        <v>1.743612903225806</v>
      </c>
      <c r="AA93" t="n">
        <v>7.089976774193541</v>
      </c>
      <c r="AB93" t="n">
        <v>7.089976774193541</v>
      </c>
    </row>
    <row r="94">
      <c r="A94" t="n">
        <v>92</v>
      </c>
      <c r="B94" s="3" t="n">
        <v>44805</v>
      </c>
      <c r="C94" t="inlineStr">
        <is>
          <t>History</t>
        </is>
      </c>
      <c r="D94" t="n">
        <v>30.11273333333333</v>
      </c>
      <c r="H94" t="inlineStr">
        <is>
          <t>STEO</t>
        </is>
      </c>
      <c r="I94" t="n">
        <v>29.5</v>
      </c>
      <c r="J94" t="n">
        <v>29.5</v>
      </c>
      <c r="K94" t="n">
        <v>29.5</v>
      </c>
      <c r="L94" t="n">
        <v>29.5</v>
      </c>
      <c r="M94" t="b">
        <v>0</v>
      </c>
      <c r="N94" t="n">
        <v>-1.394590483732079</v>
      </c>
      <c r="Q94" t="n">
        <v>25.65153333333333</v>
      </c>
      <c r="R94" t="n">
        <v>25.65153333333333</v>
      </c>
      <c r="S94" t="n">
        <v>16.68776633333334</v>
      </c>
      <c r="T94" t="n">
        <v>16.68776633333334</v>
      </c>
      <c r="U94" t="n">
        <v>2.173133</v>
      </c>
      <c r="V94" t="n">
        <v>2.173133</v>
      </c>
      <c r="W94" t="n">
        <v>11.7547</v>
      </c>
      <c r="X94" t="n">
        <v>2.759933333333333</v>
      </c>
      <c r="Y94" t="n">
        <v>2.6006</v>
      </c>
      <c r="Z94" t="n">
        <v>1.136133333333333</v>
      </c>
      <c r="AA94" t="n">
        <v>7.499300333333327</v>
      </c>
      <c r="AB94" t="n">
        <v>7.499300333333327</v>
      </c>
    </row>
    <row r="95">
      <c r="A95" t="n">
        <v>93</v>
      </c>
      <c r="B95" s="3" t="n">
        <v>44835</v>
      </c>
      <c r="C95" t="inlineStr">
        <is>
          <t>History</t>
        </is>
      </c>
      <c r="D95" t="n">
        <v>29.7851935483871</v>
      </c>
      <c r="H95" t="inlineStr">
        <is>
          <t>STEO</t>
        </is>
      </c>
      <c r="I95" t="n">
        <v>29.5</v>
      </c>
      <c r="J95" t="n">
        <v>29.5</v>
      </c>
      <c r="K95" t="n">
        <v>29.5</v>
      </c>
      <c r="L95" t="n">
        <v>29.5</v>
      </c>
      <c r="M95" t="b">
        <v>0</v>
      </c>
      <c r="N95" t="n">
        <v>-1.394590483732079</v>
      </c>
      <c r="Q95" t="n">
        <v>25.33190322580645</v>
      </c>
      <c r="R95" t="n">
        <v>25.33190322580645</v>
      </c>
      <c r="S95" t="n">
        <v>15.56644322580645</v>
      </c>
      <c r="T95" t="n">
        <v>15.56644322580645</v>
      </c>
      <c r="U95" t="n">
        <v>2.348281935483871</v>
      </c>
      <c r="V95" t="n">
        <v>2.348281935483871</v>
      </c>
      <c r="W95" t="n">
        <v>10.47748387096774</v>
      </c>
      <c r="X95" t="n">
        <v>2.740677419354839</v>
      </c>
      <c r="Y95" t="n">
        <v>2.467064516129032</v>
      </c>
      <c r="Z95" t="n">
        <v>0.4530645161290323</v>
      </c>
      <c r="AA95" t="n">
        <v>7.751459999999998</v>
      </c>
      <c r="AB95" t="n">
        <v>7.751459999999998</v>
      </c>
    </row>
    <row r="96">
      <c r="A96" t="n">
        <v>94</v>
      </c>
      <c r="B96" s="3" t="n">
        <v>44866</v>
      </c>
      <c r="C96" t="inlineStr">
        <is>
          <t>History</t>
        </is>
      </c>
      <c r="D96" t="n">
        <v>29.8353</v>
      </c>
      <c r="H96" t="inlineStr">
        <is>
          <t>STEO</t>
        </is>
      </c>
      <c r="I96" t="n">
        <v>29.5</v>
      </c>
      <c r="J96" t="n">
        <v>29.5</v>
      </c>
      <c r="K96" t="n">
        <v>29.5</v>
      </c>
      <c r="L96" t="n">
        <v>29.5</v>
      </c>
      <c r="M96" t="b">
        <v>0</v>
      </c>
      <c r="N96" t="n">
        <v>-1.394590483732079</v>
      </c>
      <c r="Q96" t="n">
        <v>25.37643333333333</v>
      </c>
      <c r="R96" t="n">
        <v>25.37643333333333</v>
      </c>
      <c r="S96" t="n">
        <v>16.16385066666667</v>
      </c>
      <c r="T96" t="n">
        <v>16.16385066666667</v>
      </c>
      <c r="U96" t="n">
        <v>2.072017333333334</v>
      </c>
      <c r="V96" t="n">
        <v>2.072017333333334</v>
      </c>
      <c r="W96" t="n">
        <v>11.34086666666667</v>
      </c>
      <c r="X96" t="n">
        <v>2.750966666666667</v>
      </c>
      <c r="Y96" t="n">
        <v>1.554566666666667</v>
      </c>
      <c r="Z96" t="n">
        <v>1.4176</v>
      </c>
      <c r="AA96" t="n">
        <v>9.075615999999997</v>
      </c>
      <c r="AB96" t="n">
        <v>9.075615999999997</v>
      </c>
    </row>
    <row r="97">
      <c r="A97" t="n">
        <v>95</v>
      </c>
      <c r="B97" s="3" t="n">
        <v>44896</v>
      </c>
      <c r="C97" t="inlineStr">
        <is>
          <t>History</t>
        </is>
      </c>
      <c r="D97" t="n">
        <v>29.94512903225807</v>
      </c>
      <c r="H97" t="inlineStr">
        <is>
          <t>STEO</t>
        </is>
      </c>
      <c r="I97" t="n">
        <v>29.5</v>
      </c>
      <c r="J97" t="n">
        <v>29.5</v>
      </c>
      <c r="K97" t="n">
        <v>29.5</v>
      </c>
      <c r="L97" t="n">
        <v>29.5</v>
      </c>
      <c r="M97" t="b">
        <v>0</v>
      </c>
      <c r="N97" t="n">
        <v>-1.394590483732079</v>
      </c>
      <c r="Q97" t="n">
        <v>25.55032258064516</v>
      </c>
      <c r="R97" t="n">
        <v>25.55032258064516</v>
      </c>
      <c r="S97" t="n">
        <v>16.54150677419355</v>
      </c>
      <c r="T97" t="n">
        <v>16.54150677419355</v>
      </c>
      <c r="U97" t="n">
        <v>2.254506774193549</v>
      </c>
      <c r="V97" t="n">
        <v>2.254506774193549</v>
      </c>
      <c r="W97" t="n">
        <v>11.76348387096774</v>
      </c>
      <c r="X97" t="n">
        <v>2.523516129032258</v>
      </c>
      <c r="Y97" t="n">
        <v>1.395903225806452</v>
      </c>
      <c r="Z97" t="n">
        <v>2.284096774193548</v>
      </c>
      <c r="AA97" t="n">
        <v>9.897009354838707</v>
      </c>
      <c r="AB97" t="n">
        <v>9.897009354838707</v>
      </c>
    </row>
    <row r="98">
      <c r="A98" t="n">
        <v>96</v>
      </c>
      <c r="B98" s="3" t="n">
        <v>44927</v>
      </c>
      <c r="C98" t="inlineStr">
        <is>
          <t>History</t>
        </is>
      </c>
      <c r="D98" t="n">
        <v>29.99625806451613</v>
      </c>
      <c r="H98" t="inlineStr">
        <is>
          <t>STEO</t>
        </is>
      </c>
      <c r="I98" t="n">
        <v>29.5</v>
      </c>
      <c r="J98" t="n">
        <v>29.5</v>
      </c>
      <c r="K98" t="n">
        <v>29.5</v>
      </c>
      <c r="L98" t="n">
        <v>29.5</v>
      </c>
      <c r="M98" t="b">
        <v>0</v>
      </c>
      <c r="N98" t="n">
        <v>-1.394590483732079</v>
      </c>
      <c r="Q98" t="n">
        <v>25.18170967741936</v>
      </c>
      <c r="R98" t="n">
        <v>25.18170967741936</v>
      </c>
      <c r="S98" t="n">
        <v>16.52735870967742</v>
      </c>
      <c r="T98" t="n">
        <v>16.52735870967742</v>
      </c>
      <c r="U98" t="n">
        <v>2.199971612903226</v>
      </c>
      <c r="V98" t="n">
        <v>2.199971612903226</v>
      </c>
      <c r="W98" t="n">
        <v>11.61964516129032</v>
      </c>
      <c r="X98" t="n">
        <v>2.707741935483871</v>
      </c>
      <c r="Y98" t="n">
        <v>1.189967741935484</v>
      </c>
      <c r="Z98" t="n">
        <v>1.932354838709677</v>
      </c>
      <c r="AA98" t="n">
        <v>9.396738064516132</v>
      </c>
      <c r="AB98" t="n">
        <v>9.396738064516132</v>
      </c>
    </row>
    <row r="99">
      <c r="A99" t="n">
        <v>97</v>
      </c>
      <c r="B99" s="3" t="n">
        <v>44958</v>
      </c>
      <c r="C99" t="inlineStr">
        <is>
          <t>History</t>
        </is>
      </c>
      <c r="D99" t="n">
        <v>30.02260714285714</v>
      </c>
      <c r="H99" t="inlineStr">
        <is>
          <t>STEO</t>
        </is>
      </c>
      <c r="I99" t="n">
        <v>29.5</v>
      </c>
      <c r="J99" t="n">
        <v>29.5</v>
      </c>
      <c r="K99" t="n">
        <v>29.5</v>
      </c>
      <c r="L99" t="n">
        <v>29.5</v>
      </c>
      <c r="M99" t="b">
        <v>0</v>
      </c>
      <c r="N99" t="n">
        <v>-1.394590483732079</v>
      </c>
      <c r="Q99" t="n">
        <v>25.22707142857143</v>
      </c>
      <c r="R99" t="n">
        <v>25.22707142857143</v>
      </c>
      <c r="S99" t="n">
        <v>17.48240357142857</v>
      </c>
      <c r="T99" t="n">
        <v>17.48240357142857</v>
      </c>
      <c r="U99" t="n">
        <v>2.945725</v>
      </c>
      <c r="V99" t="n">
        <v>2.945725</v>
      </c>
      <c r="W99" t="n">
        <v>11.82910714285715</v>
      </c>
      <c r="X99" t="n">
        <v>2.707571428571429</v>
      </c>
      <c r="Y99" t="n">
        <v>1.318821428571429</v>
      </c>
      <c r="Z99" t="n">
        <v>1.893642857142857</v>
      </c>
      <c r="AA99" t="n">
        <v>8.319489285714287</v>
      </c>
      <c r="AB99" t="n">
        <v>8.319489285714287</v>
      </c>
    </row>
    <row r="100">
      <c r="A100" t="n">
        <v>98</v>
      </c>
      <c r="B100" s="3" t="n">
        <v>44986</v>
      </c>
      <c r="C100" t="inlineStr">
        <is>
          <t>History</t>
        </is>
      </c>
      <c r="D100" t="n">
        <v>31.55867741935484</v>
      </c>
      <c r="H100" t="inlineStr">
        <is>
          <t>STEO</t>
        </is>
      </c>
      <c r="I100" t="n">
        <v>29.5</v>
      </c>
      <c r="J100" t="n">
        <v>29.5</v>
      </c>
      <c r="K100" t="n">
        <v>29.5</v>
      </c>
      <c r="L100" t="n">
        <v>29.5</v>
      </c>
      <c r="M100" t="b">
        <v>0</v>
      </c>
      <c r="N100" t="n">
        <v>-1.394590483732079</v>
      </c>
      <c r="Q100" t="n">
        <v>26.69438709677419</v>
      </c>
      <c r="R100" t="n">
        <v>26.69438709677419</v>
      </c>
      <c r="S100" t="n">
        <v>16.84422806451613</v>
      </c>
      <c r="T100" t="n">
        <v>16.84422806451613</v>
      </c>
      <c r="U100" t="n">
        <v>3.37980870967742</v>
      </c>
      <c r="V100" t="n">
        <v>3.37980870967742</v>
      </c>
      <c r="W100" t="n">
        <v>10.60835483870968</v>
      </c>
      <c r="X100" t="n">
        <v>2.856064516129032</v>
      </c>
      <c r="Y100" t="n">
        <v>1.539709677419355</v>
      </c>
      <c r="Z100" t="n">
        <v>1.019161290322581</v>
      </c>
      <c r="AA100" t="n">
        <v>9.329610645161287</v>
      </c>
      <c r="AB100" t="n">
        <v>9.329610645161287</v>
      </c>
    </row>
    <row r="101">
      <c r="A101" t="n">
        <v>99</v>
      </c>
      <c r="B101" s="3" t="n">
        <v>45017</v>
      </c>
      <c r="C101" t="inlineStr">
        <is>
          <t>History</t>
        </is>
      </c>
      <c r="D101" t="n">
        <v>30.91673333333333</v>
      </c>
      <c r="H101" t="inlineStr">
        <is>
          <t>STEO</t>
        </is>
      </c>
      <c r="I101" t="n">
        <v>29.5</v>
      </c>
      <c r="J101" t="n">
        <v>29.5</v>
      </c>
      <c r="K101" t="n">
        <v>29.5</v>
      </c>
      <c r="L101" t="n">
        <v>29.5</v>
      </c>
      <c r="M101" t="b">
        <v>0</v>
      </c>
      <c r="N101" t="n">
        <v>-1.394590483732079</v>
      </c>
      <c r="Q101" t="n">
        <v>26.09276666666667</v>
      </c>
      <c r="R101" t="n">
        <v>26.09276666666667</v>
      </c>
      <c r="S101" t="n">
        <v>17.358707</v>
      </c>
      <c r="T101" t="n">
        <v>17.358707</v>
      </c>
      <c r="U101" t="n">
        <v>4.289840333333334</v>
      </c>
      <c r="V101" t="n">
        <v>4.289840333333334</v>
      </c>
      <c r="W101" t="n">
        <v>10.3161</v>
      </c>
      <c r="X101" t="n">
        <v>2.752766666666667</v>
      </c>
      <c r="Y101" t="n">
        <v>1.441633333333334</v>
      </c>
      <c r="Z101" t="n">
        <v>0.6953333333333334</v>
      </c>
      <c r="AA101" t="n">
        <v>7.987759666666667</v>
      </c>
      <c r="AB101" t="n">
        <v>7.987759666666667</v>
      </c>
    </row>
    <row r="102">
      <c r="A102" t="n">
        <v>100</v>
      </c>
      <c r="B102" s="3" t="n">
        <v>45047</v>
      </c>
      <c r="C102" t="inlineStr">
        <is>
          <t>History</t>
        </is>
      </c>
      <c r="D102" t="n">
        <v>31.16616129032258</v>
      </c>
      <c r="H102" t="inlineStr">
        <is>
          <t>STEO</t>
        </is>
      </c>
      <c r="I102" t="n">
        <v>29.5</v>
      </c>
      <c r="J102" t="n">
        <v>29.5</v>
      </c>
      <c r="K102" t="n">
        <v>29.5</v>
      </c>
      <c r="L102" t="n">
        <v>29.5</v>
      </c>
      <c r="M102" t="b">
        <v>0</v>
      </c>
      <c r="N102" t="n">
        <v>-1.394590483732079</v>
      </c>
      <c r="Q102" t="n">
        <v>26.302</v>
      </c>
      <c r="R102" t="n">
        <v>26.302</v>
      </c>
      <c r="S102" t="n">
        <v>18.93490774193548</v>
      </c>
      <c r="T102" t="n">
        <v>18.93490774193548</v>
      </c>
      <c r="U102" t="n">
        <v>4.435456129032259</v>
      </c>
      <c r="V102" t="n">
        <v>4.435456129032259</v>
      </c>
      <c r="W102" t="n">
        <v>11.55948387096774</v>
      </c>
      <c r="X102" t="n">
        <v>2.939967741935484</v>
      </c>
      <c r="Y102" t="n">
        <v>1.817225806451613</v>
      </c>
      <c r="Z102" t="n">
        <v>0.7054838709677419</v>
      </c>
      <c r="AA102" t="n">
        <v>6.255350322580647</v>
      </c>
      <c r="AB102" t="n">
        <v>6.255350322580647</v>
      </c>
    </row>
    <row r="103">
      <c r="A103" t="n">
        <v>101</v>
      </c>
      <c r="B103" s="3" t="n">
        <v>45078</v>
      </c>
      <c r="C103" t="inlineStr">
        <is>
          <t>History</t>
        </is>
      </c>
      <c r="D103" t="n">
        <v>30.79596666666667</v>
      </c>
      <c r="H103" t="inlineStr">
        <is>
          <t>STEO</t>
        </is>
      </c>
      <c r="I103" t="n">
        <v>29.5</v>
      </c>
      <c r="J103" t="n">
        <v>29.5</v>
      </c>
      <c r="K103" t="n">
        <v>29.5</v>
      </c>
      <c r="L103" t="n">
        <v>29.5</v>
      </c>
      <c r="M103" t="b">
        <v>0</v>
      </c>
      <c r="N103" t="n">
        <v>-1.394590483732079</v>
      </c>
      <c r="Q103" t="n">
        <v>25.9884</v>
      </c>
      <c r="R103" t="n">
        <v>25.9884</v>
      </c>
      <c r="S103" t="n">
        <v>20.92994433333334</v>
      </c>
      <c r="T103" t="n">
        <v>20.92994433333333</v>
      </c>
      <c r="U103" t="n">
        <v>4.568444333333334</v>
      </c>
      <c r="V103" t="n">
        <v>4.568444333333334</v>
      </c>
      <c r="W103" t="n">
        <v>12.9935</v>
      </c>
      <c r="X103" t="n">
        <v>3.368</v>
      </c>
      <c r="Y103" t="n">
        <v>1.372766666666667</v>
      </c>
      <c r="Z103" t="n">
        <v>1.0153</v>
      </c>
      <c r="AA103" t="n">
        <v>4.700988999999996</v>
      </c>
      <c r="AB103" t="n">
        <v>4.700989</v>
      </c>
    </row>
    <row r="104">
      <c r="A104" t="n">
        <v>102</v>
      </c>
      <c r="B104" s="3" t="n">
        <v>45108</v>
      </c>
      <c r="C104" t="inlineStr">
        <is>
          <t>History</t>
        </is>
      </c>
      <c r="D104" t="n">
        <v>31.08687096774193</v>
      </c>
      <c r="H104" t="inlineStr">
        <is>
          <t>STEO</t>
        </is>
      </c>
      <c r="I104" t="n">
        <v>29.5</v>
      </c>
      <c r="J104" t="n">
        <v>29.5</v>
      </c>
      <c r="K104" t="n">
        <v>29.5</v>
      </c>
      <c r="L104" t="n">
        <v>29.5</v>
      </c>
      <c r="M104" t="b">
        <v>0</v>
      </c>
      <c r="N104" t="n">
        <v>-1.394590483732079</v>
      </c>
      <c r="Q104" t="n">
        <v>26.24264516129032</v>
      </c>
      <c r="R104" t="n">
        <v>26.24264516129032</v>
      </c>
      <c r="S104" t="n">
        <v>20.81540290322581</v>
      </c>
      <c r="T104" t="n">
        <v>20.81540290322581</v>
      </c>
      <c r="U104" t="n">
        <v>4.154693225806452</v>
      </c>
      <c r="V104" t="n">
        <v>4.154693225806452</v>
      </c>
      <c r="W104" t="n">
        <v>13.53761290322581</v>
      </c>
      <c r="X104" t="n">
        <v>3.123096774193549</v>
      </c>
      <c r="Y104" t="n">
        <v>0.9224516129032259</v>
      </c>
      <c r="Z104" t="n">
        <v>1.486451612903226</v>
      </c>
      <c r="AA104" t="n">
        <v>5.991242258064512</v>
      </c>
      <c r="AB104" t="n">
        <v>5.991242258064512</v>
      </c>
    </row>
    <row r="105">
      <c r="A105" t="n">
        <v>103</v>
      </c>
      <c r="B105" s="3" t="n">
        <v>45139</v>
      </c>
      <c r="C105" t="inlineStr">
        <is>
          <t>History</t>
        </is>
      </c>
      <c r="D105" t="n">
        <v>31.46732258064516</v>
      </c>
      <c r="H105" t="inlineStr">
        <is>
          <t>STEO</t>
        </is>
      </c>
      <c r="I105" t="n">
        <v>29.5</v>
      </c>
      <c r="J105" t="n">
        <v>29.5</v>
      </c>
      <c r="K105" t="n">
        <v>29.5</v>
      </c>
      <c r="L105" t="n">
        <v>29.5</v>
      </c>
      <c r="M105" t="b">
        <v>0</v>
      </c>
      <c r="N105" t="n">
        <v>-1.394590483732079</v>
      </c>
      <c r="Q105" t="n">
        <v>26.59361290322581</v>
      </c>
      <c r="R105" t="n">
        <v>26.59361290322581</v>
      </c>
      <c r="S105" t="n">
        <v>22.20575161290322</v>
      </c>
      <c r="T105" t="n">
        <v>22.20575161290322</v>
      </c>
      <c r="U105" t="n">
        <v>4.355429032258065</v>
      </c>
      <c r="V105" t="n">
        <v>4.355429032258065</v>
      </c>
      <c r="W105" t="n">
        <v>14.67709677419355</v>
      </c>
      <c r="X105" t="n">
        <v>3.173225806451613</v>
      </c>
      <c r="Y105" t="n">
        <v>1.958129032258065</v>
      </c>
      <c r="Z105" t="n">
        <v>3.372032258064516</v>
      </c>
      <c r="AA105" t="n">
        <v>5.801764516129037</v>
      </c>
      <c r="AB105" t="n">
        <v>5.801764516129037</v>
      </c>
    </row>
    <row r="106">
      <c r="A106" t="n">
        <v>104</v>
      </c>
      <c r="B106" s="3" t="n">
        <v>45170</v>
      </c>
      <c r="C106" t="inlineStr">
        <is>
          <t>History</t>
        </is>
      </c>
      <c r="D106" t="n">
        <v>31.83276666666667</v>
      </c>
      <c r="H106" t="inlineStr">
        <is>
          <t>STEO</t>
        </is>
      </c>
      <c r="I106" t="n">
        <v>29.5</v>
      </c>
      <c r="J106" t="n">
        <v>29.5</v>
      </c>
      <c r="K106" t="n">
        <v>29.5</v>
      </c>
      <c r="L106" t="n">
        <v>29.5</v>
      </c>
      <c r="M106" t="b">
        <v>0</v>
      </c>
      <c r="N106" t="n">
        <v>-1.394590483732079</v>
      </c>
      <c r="Q106" t="n">
        <v>26.9492</v>
      </c>
      <c r="R106" t="n">
        <v>26.9492</v>
      </c>
      <c r="S106" t="n">
        <v>20.40044</v>
      </c>
      <c r="T106" t="n">
        <v>20.40044</v>
      </c>
      <c r="U106" t="n">
        <v>4.119473333333334</v>
      </c>
      <c r="V106" t="n">
        <v>4.119473333333334</v>
      </c>
      <c r="W106" t="n">
        <v>13.15623333333333</v>
      </c>
      <c r="X106" t="n">
        <v>3.124733333333333</v>
      </c>
      <c r="Y106" t="n">
        <v>3.023566666666667</v>
      </c>
      <c r="Z106" t="n">
        <v>2.7875</v>
      </c>
      <c r="AA106" t="n">
        <v>6.312693333333336</v>
      </c>
      <c r="AB106" t="n">
        <v>6.312693333333336</v>
      </c>
    </row>
    <row r="107">
      <c r="A107" t="n">
        <v>105</v>
      </c>
      <c r="B107" s="3" t="n">
        <v>45200</v>
      </c>
      <c r="C107" t="inlineStr">
        <is>
          <t>History</t>
        </is>
      </c>
      <c r="D107" t="n">
        <v>31.85374193548387</v>
      </c>
      <c r="H107" t="inlineStr">
        <is>
          <t>STEO</t>
        </is>
      </c>
      <c r="I107" t="n">
        <v>29.5</v>
      </c>
      <c r="J107" t="n">
        <v>29.5</v>
      </c>
      <c r="K107" t="n">
        <v>29.5</v>
      </c>
      <c r="L107" t="n">
        <v>29.5</v>
      </c>
      <c r="M107" t="b">
        <v>0</v>
      </c>
      <c r="N107" t="n">
        <v>-1.394590483732079</v>
      </c>
      <c r="Q107" t="n">
        <v>26.96512903225807</v>
      </c>
      <c r="R107" t="n">
        <v>26.96512903225807</v>
      </c>
      <c r="S107" t="n">
        <v>18.68688161290323</v>
      </c>
      <c r="T107" t="n">
        <v>18.68688161290323</v>
      </c>
      <c r="U107" t="n">
        <v>4.477333225806452</v>
      </c>
      <c r="V107" t="n">
        <v>4.477333225806452</v>
      </c>
      <c r="W107" t="n">
        <v>11.15516129032258</v>
      </c>
      <c r="X107" t="n">
        <v>3.054387096774194</v>
      </c>
      <c r="Y107" t="n">
        <v>2.598548387096774</v>
      </c>
      <c r="Z107" t="n">
        <v>1.050774193548387</v>
      </c>
      <c r="AA107" t="n">
        <v>6.730473225806455</v>
      </c>
      <c r="AB107" t="n">
        <v>6.730473225806455</v>
      </c>
    </row>
    <row r="108">
      <c r="A108" t="n">
        <v>106</v>
      </c>
      <c r="B108" s="3" t="n">
        <v>45231</v>
      </c>
      <c r="C108" t="inlineStr">
        <is>
          <t>History</t>
        </is>
      </c>
      <c r="D108" t="n">
        <v>32.13006666666666</v>
      </c>
      <c r="H108" t="inlineStr">
        <is>
          <t>STEO</t>
        </is>
      </c>
      <c r="I108" t="n">
        <v>29.5</v>
      </c>
      <c r="J108" t="n">
        <v>29.5</v>
      </c>
      <c r="K108" t="n">
        <v>29.5</v>
      </c>
      <c r="L108" t="n">
        <v>29.5</v>
      </c>
      <c r="M108" t="b">
        <v>0</v>
      </c>
      <c r="N108" t="n">
        <v>-1.394590483732079</v>
      </c>
      <c r="Q108" t="n">
        <v>27.1668</v>
      </c>
      <c r="R108" t="n">
        <v>27.1668</v>
      </c>
      <c r="S108" t="n">
        <v>19.09899533333334</v>
      </c>
      <c r="T108" t="n">
        <v>19.09899533333334</v>
      </c>
      <c r="U108" t="n">
        <v>4.525462</v>
      </c>
      <c r="V108" t="n">
        <v>4.525462</v>
      </c>
      <c r="W108" t="n">
        <v>11.66476666666667</v>
      </c>
      <c r="X108" t="n">
        <v>2.908766666666667</v>
      </c>
      <c r="Y108" t="n">
        <v>1.747533333333333</v>
      </c>
      <c r="Z108" t="n">
        <v>1.378966666666667</v>
      </c>
      <c r="AA108" t="n">
        <v>7.699237999999994</v>
      </c>
      <c r="AB108" t="n">
        <v>7.699237999999994</v>
      </c>
    </row>
    <row r="109">
      <c r="A109" t="n">
        <v>107</v>
      </c>
      <c r="B109" s="3" t="n">
        <v>45261</v>
      </c>
      <c r="C109" t="inlineStr">
        <is>
          <t>History</t>
        </is>
      </c>
      <c r="D109" t="n">
        <v>32.01570967741936</v>
      </c>
      <c r="H109" t="inlineStr">
        <is>
          <t>STEO</t>
        </is>
      </c>
      <c r="I109" t="n">
        <v>29.5</v>
      </c>
      <c r="J109" t="n">
        <v>29.5</v>
      </c>
      <c r="K109" t="n">
        <v>29.5</v>
      </c>
      <c r="L109" t="n">
        <v>29.5</v>
      </c>
      <c r="M109" t="b">
        <v>0</v>
      </c>
      <c r="N109" t="n">
        <v>-1.394590483732079</v>
      </c>
      <c r="Q109" t="n">
        <v>27.04570967741936</v>
      </c>
      <c r="R109" t="n">
        <v>27.04570967741936</v>
      </c>
      <c r="S109" t="n">
        <v>19.47468290322581</v>
      </c>
      <c r="T109" t="n">
        <v>19.47468290322581</v>
      </c>
      <c r="U109" t="n">
        <v>4.761295806451614</v>
      </c>
      <c r="V109" t="n">
        <v>4.761295806451614</v>
      </c>
      <c r="W109" t="n">
        <v>11.97922580645161</v>
      </c>
      <c r="X109" t="n">
        <v>2.73416129032258</v>
      </c>
      <c r="Y109" t="n">
        <v>1.347290322580645</v>
      </c>
      <c r="Z109" t="n">
        <v>1.436451612903226</v>
      </c>
      <c r="AA109" t="n">
        <v>7.660188064516134</v>
      </c>
      <c r="AB109" t="n">
        <v>7.660188064516134</v>
      </c>
    </row>
    <row r="110">
      <c r="A110" t="n">
        <v>108</v>
      </c>
      <c r="B110" s="3" t="n">
        <v>45292</v>
      </c>
      <c r="C110" t="inlineStr">
        <is>
          <t>History</t>
        </is>
      </c>
      <c r="D110" t="n">
        <v>30.42906451612903</v>
      </c>
      <c r="E110" t="n">
        <v>22.60070695</v>
      </c>
      <c r="F110" t="n">
        <v>6.810729191</v>
      </c>
      <c r="G110" t="n">
        <v>15.5129487</v>
      </c>
      <c r="H110" t="inlineStr">
        <is>
          <t>STEO</t>
        </is>
      </c>
      <c r="I110" t="n">
        <v>29.5</v>
      </c>
      <c r="J110" t="n">
        <v>29.5</v>
      </c>
      <c r="K110" t="n">
        <v>22.60070695</v>
      </c>
      <c r="L110" t="n">
        <v>22.60070695</v>
      </c>
      <c r="M110" t="b">
        <v>0</v>
      </c>
      <c r="N110" t="n">
        <v>-1.394590483732079</v>
      </c>
      <c r="Q110" t="n">
        <v>25.127</v>
      </c>
      <c r="R110" t="n">
        <v>25.127</v>
      </c>
      <c r="S110" t="n">
        <v>20.98619225806452</v>
      </c>
      <c r="T110" t="n">
        <v>20.98619225806451</v>
      </c>
      <c r="U110" t="n">
        <v>4.002901935483871</v>
      </c>
      <c r="V110" t="n">
        <v>4.002901935483871</v>
      </c>
      <c r="W110" t="n">
        <v>13.938</v>
      </c>
      <c r="X110" t="n">
        <v>3.045290322580645</v>
      </c>
      <c r="Y110" t="n">
        <v>0.917741935483871</v>
      </c>
      <c r="Z110" t="n">
        <v>3.95441935483871</v>
      </c>
      <c r="AA110" t="n">
        <v>7.177485161290321</v>
      </c>
      <c r="AB110" t="n">
        <v>7.177485161290324</v>
      </c>
    </row>
    <row r="111">
      <c r="A111" t="n">
        <v>109</v>
      </c>
      <c r="B111" s="3" t="n">
        <v>45323</v>
      </c>
      <c r="C111" t="inlineStr">
        <is>
          <t>History</t>
        </is>
      </c>
      <c r="D111" t="n">
        <v>31.91979310344827</v>
      </c>
      <c r="E111" t="n">
        <v>23.6885298</v>
      </c>
      <c r="F111" t="n">
        <v>7.088059058</v>
      </c>
      <c r="G111" t="n">
        <v>15.9884658</v>
      </c>
      <c r="H111" t="inlineStr">
        <is>
          <t>STEO</t>
        </is>
      </c>
      <c r="I111" t="n">
        <v>29.5</v>
      </c>
      <c r="J111" t="n">
        <v>29.5</v>
      </c>
      <c r="K111" t="n">
        <v>23.6885298</v>
      </c>
      <c r="L111" t="n">
        <v>23.6885298</v>
      </c>
      <c r="M111" t="b">
        <v>0</v>
      </c>
      <c r="N111" t="n">
        <v>-1.394590483732079</v>
      </c>
      <c r="Q111" t="n">
        <v>26.47165517241379</v>
      </c>
      <c r="R111" t="n">
        <v>26.47165517241379</v>
      </c>
      <c r="S111" t="n">
        <v>17.94977655172414</v>
      </c>
      <c r="T111" t="n">
        <v>17.94977655172414</v>
      </c>
      <c r="U111" t="n">
        <v>3.654431724137932</v>
      </c>
      <c r="V111" t="n">
        <v>3.654431724137932</v>
      </c>
      <c r="W111" t="n">
        <v>11.41420689655172</v>
      </c>
      <c r="X111" t="n">
        <v>2.881137931034483</v>
      </c>
      <c r="Y111" t="n">
        <v>2.00796551724138</v>
      </c>
      <c r="Z111" t="n">
        <v>1.601103448275862</v>
      </c>
      <c r="AA111" t="n">
        <v>8.115016551724134</v>
      </c>
      <c r="AB111" t="n">
        <v>8.115016551724134</v>
      </c>
    </row>
    <row r="112">
      <c r="A112" t="n">
        <v>110</v>
      </c>
      <c r="B112" s="3" t="n">
        <v>45352</v>
      </c>
      <c r="C112" t="inlineStr">
        <is>
          <t>History</t>
        </is>
      </c>
      <c r="D112" t="n">
        <v>32.04229032258064</v>
      </c>
      <c r="E112" t="n">
        <v>24.05583491</v>
      </c>
      <c r="F112" t="n">
        <v>6.99178739</v>
      </c>
      <c r="G112" t="n">
        <v>15.37384573</v>
      </c>
      <c r="H112" t="inlineStr">
        <is>
          <t>STEO</t>
        </is>
      </c>
      <c r="I112" t="n">
        <v>29.5</v>
      </c>
      <c r="J112" t="n">
        <v>29.5</v>
      </c>
      <c r="K112" t="n">
        <v>24.05583491</v>
      </c>
      <c r="L112" t="n">
        <v>24.05583491</v>
      </c>
      <c r="M112" t="b">
        <v>0</v>
      </c>
      <c r="N112" t="n">
        <v>-1.394590483732079</v>
      </c>
      <c r="Q112" t="n">
        <v>26.71183870967742</v>
      </c>
      <c r="R112" t="n">
        <v>26.71183870967742</v>
      </c>
      <c r="S112" t="n">
        <v>17.25726322580645</v>
      </c>
      <c r="T112" t="n">
        <v>17.25726322580645</v>
      </c>
      <c r="U112" t="n">
        <v>3.077456774193548</v>
      </c>
      <c r="V112" t="n">
        <v>3.077456774193548</v>
      </c>
      <c r="W112" t="n">
        <v>11.21325806451613</v>
      </c>
      <c r="X112" t="n">
        <v>2.966548387096774</v>
      </c>
      <c r="Y112" t="n">
        <v>2.315548387096774</v>
      </c>
      <c r="Z112" t="n">
        <v>1.130161290322581</v>
      </c>
      <c r="AA112" t="n">
        <v>8.269188387096774</v>
      </c>
      <c r="AB112" t="n">
        <v>8.269188387096774</v>
      </c>
    </row>
    <row r="113">
      <c r="A113" t="n">
        <v>111</v>
      </c>
      <c r="B113" s="3" t="n">
        <v>45383</v>
      </c>
      <c r="C113" t="inlineStr">
        <is>
          <t>History</t>
        </is>
      </c>
      <c r="D113" t="n">
        <v>31.96823333333333</v>
      </c>
      <c r="E113" t="n">
        <v>24.10951118</v>
      </c>
      <c r="F113" t="n">
        <v>6.774088774</v>
      </c>
      <c r="G113" t="n">
        <v>14.5398331</v>
      </c>
      <c r="H113" t="inlineStr">
        <is>
          <t>STEO</t>
        </is>
      </c>
      <c r="I113" t="n">
        <v>29.5</v>
      </c>
      <c r="J113" t="n">
        <v>29.5</v>
      </c>
      <c r="K113" t="n">
        <v>24.10951118</v>
      </c>
      <c r="L113" t="n">
        <v>24.10951118</v>
      </c>
      <c r="M113" t="b">
        <v>0</v>
      </c>
      <c r="N113" t="n">
        <v>-1.394590483732079</v>
      </c>
      <c r="Q113" t="n">
        <v>26.68763333333333</v>
      </c>
      <c r="R113" t="n">
        <v>26.68763333333333</v>
      </c>
      <c r="S113" t="n">
        <v>16.14582833333333</v>
      </c>
      <c r="T113" t="n">
        <v>16.14582833333333</v>
      </c>
      <c r="U113" t="n">
        <v>2.211428333333334</v>
      </c>
      <c r="V113" t="n">
        <v>2.211428333333334</v>
      </c>
      <c r="W113" t="n">
        <v>10.7466</v>
      </c>
      <c r="X113" t="n">
        <v>3.1878</v>
      </c>
      <c r="Y113" t="n">
        <v>2.3053</v>
      </c>
      <c r="Z113" t="n">
        <v>1.326766666666667</v>
      </c>
      <c r="AA113" t="n">
        <v>9.563271666666664</v>
      </c>
      <c r="AB113" t="n">
        <v>9.563271666666664</v>
      </c>
    </row>
    <row r="114">
      <c r="A114" t="n">
        <v>112</v>
      </c>
      <c r="B114" s="3" t="n">
        <v>45413</v>
      </c>
      <c r="C114" t="inlineStr">
        <is>
          <t>History</t>
        </is>
      </c>
      <c r="D114" t="n">
        <v>32.86045161290323</v>
      </c>
      <c r="E114" t="n">
        <v>24.29318</v>
      </c>
      <c r="F114" t="n">
        <v>7.263480583</v>
      </c>
      <c r="G114" t="n">
        <v>13.99121042</v>
      </c>
      <c r="H114" t="inlineStr">
        <is>
          <t>STEO</t>
        </is>
      </c>
      <c r="I114" t="n">
        <v>29.5</v>
      </c>
      <c r="J114" t="n">
        <v>29.5</v>
      </c>
      <c r="K114" t="n">
        <v>24.29318</v>
      </c>
      <c r="L114" t="n">
        <v>24.29318</v>
      </c>
      <c r="M114" t="b">
        <v>0</v>
      </c>
      <c r="N114" t="n">
        <v>-1.394590483732079</v>
      </c>
      <c r="Q114" t="n">
        <v>27.57170967741936</v>
      </c>
      <c r="R114" t="n">
        <v>27.57170967741936</v>
      </c>
      <c r="S114" t="n">
        <v>19.27603677419355</v>
      </c>
      <c r="T114" t="n">
        <v>19.27603677419355</v>
      </c>
      <c r="U114" t="n">
        <v>4.10494</v>
      </c>
      <c r="V114" t="n">
        <v>4.10494</v>
      </c>
      <c r="W114" t="n">
        <v>11.91341935483871</v>
      </c>
      <c r="X114" t="n">
        <v>3.257677419354839</v>
      </c>
      <c r="Y114" t="n">
        <v>1.905258064516129</v>
      </c>
      <c r="Z114" t="n">
        <v>1.243225806451613</v>
      </c>
      <c r="AA114" t="n">
        <v>7.633640645161293</v>
      </c>
      <c r="AB114" t="n">
        <v>7.633640645161293</v>
      </c>
    </row>
    <row r="115">
      <c r="A115" t="n">
        <v>113</v>
      </c>
      <c r="B115" s="3" t="n">
        <v>45444</v>
      </c>
      <c r="C115" t="inlineStr">
        <is>
          <t>History</t>
        </is>
      </c>
      <c r="D115" t="n">
        <v>33.14356666666666</v>
      </c>
      <c r="E115" t="n">
        <v>24.97049957</v>
      </c>
      <c r="F115" t="n">
        <v>6.956873196</v>
      </c>
      <c r="G115" t="n">
        <v>13.97312853</v>
      </c>
      <c r="H115" t="inlineStr">
        <is>
          <t>STEO</t>
        </is>
      </c>
      <c r="I115" t="n">
        <v>29.5</v>
      </c>
      <c r="J115" t="n">
        <v>29.5</v>
      </c>
      <c r="K115" t="n">
        <v>24.97049957</v>
      </c>
      <c r="L115" t="n">
        <v>24.97049957</v>
      </c>
      <c r="M115" t="b">
        <v>0</v>
      </c>
      <c r="N115" t="n">
        <v>-1.394590483732079</v>
      </c>
      <c r="Q115" t="n">
        <v>27.7913</v>
      </c>
      <c r="R115" t="n">
        <v>27.7913</v>
      </c>
      <c r="S115" t="n">
        <v>20.87334166666666</v>
      </c>
      <c r="T115" t="n">
        <v>20.87334166666666</v>
      </c>
      <c r="U115" t="n">
        <v>4.706075</v>
      </c>
      <c r="V115" t="n">
        <v>4.706075</v>
      </c>
      <c r="W115" t="n">
        <v>13.05013333333333</v>
      </c>
      <c r="X115" t="n">
        <v>3.117133333333333</v>
      </c>
      <c r="Y115" t="n">
        <v>1.550366666666667</v>
      </c>
      <c r="Z115" t="n">
        <v>1.3302</v>
      </c>
      <c r="AA115" t="n">
        <v>6.697791666666669</v>
      </c>
      <c r="AB115" t="n">
        <v>6.697791666666673</v>
      </c>
    </row>
    <row r="116">
      <c r="A116" t="n">
        <v>114</v>
      </c>
      <c r="B116" s="3" t="n">
        <v>45474</v>
      </c>
      <c r="C116" t="inlineStr">
        <is>
          <t>History</t>
        </is>
      </c>
      <c r="D116" t="n">
        <v>33.14932258064516</v>
      </c>
      <c r="E116" t="n">
        <v>25.29604376</v>
      </c>
      <c r="F116" t="n">
        <v>6.975166216</v>
      </c>
      <c r="G116" t="n">
        <v>14.36683294</v>
      </c>
      <c r="H116" t="inlineStr">
        <is>
          <t>STEO</t>
        </is>
      </c>
      <c r="I116" t="n">
        <v>29.5</v>
      </c>
      <c r="J116" t="n">
        <v>29.5</v>
      </c>
      <c r="K116" t="n">
        <v>25.29604376</v>
      </c>
      <c r="L116" t="n">
        <v>25.29604376</v>
      </c>
      <c r="M116" t="b">
        <v>0</v>
      </c>
      <c r="N116" t="n">
        <v>-1.394590483732079</v>
      </c>
      <c r="Q116" t="n">
        <v>27.72906451612904</v>
      </c>
      <c r="R116" t="n">
        <v>27.72906451612904</v>
      </c>
      <c r="S116" t="n">
        <v>19.46253516129033</v>
      </c>
      <c r="T116" t="n">
        <v>19.46253516129033</v>
      </c>
      <c r="U116" t="n">
        <v>2.888535161290323</v>
      </c>
      <c r="V116" t="n">
        <v>2.888535161290323</v>
      </c>
      <c r="W116" t="n">
        <v>13.42690322580645</v>
      </c>
      <c r="X116" t="n">
        <v>3.147096774193549</v>
      </c>
      <c r="Y116" t="n">
        <v>1.135903225806452</v>
      </c>
      <c r="Z116" t="n">
        <v>1.670774193548387</v>
      </c>
      <c r="AA116" t="n">
        <v>8.801400322580648</v>
      </c>
      <c r="AB116" t="n">
        <v>8.801400322580648</v>
      </c>
    </row>
    <row r="117">
      <c r="A117" t="n">
        <v>115</v>
      </c>
      <c r="B117" s="3" t="n">
        <v>45505</v>
      </c>
      <c r="C117" t="inlineStr">
        <is>
          <t>History</t>
        </is>
      </c>
      <c r="D117" t="n">
        <v>33.2896129032258</v>
      </c>
      <c r="E117" t="n">
        <v>25.74603458</v>
      </c>
      <c r="F117" t="n">
        <v>6.904345081</v>
      </c>
      <c r="G117" t="n">
        <v>14.31622364</v>
      </c>
      <c r="H117" t="inlineStr">
        <is>
          <t>STEO</t>
        </is>
      </c>
      <c r="I117" t="n">
        <v>29.5</v>
      </c>
      <c r="J117" t="n">
        <v>29.5</v>
      </c>
      <c r="K117" t="n">
        <v>25.74603458</v>
      </c>
      <c r="L117" t="n">
        <v>25.74603458</v>
      </c>
      <c r="M117" t="b">
        <v>0</v>
      </c>
      <c r="N117" t="n">
        <v>-1.394590483732079</v>
      </c>
      <c r="Q117" t="n">
        <v>27.9198064516129</v>
      </c>
      <c r="R117" t="n">
        <v>27.9198064516129</v>
      </c>
      <c r="S117" t="n">
        <v>22.24682580645161</v>
      </c>
      <c r="T117" t="n">
        <v>22.24682580645161</v>
      </c>
      <c r="U117" t="n">
        <v>4.445793548387098</v>
      </c>
      <c r="V117" t="n">
        <v>4.445793548387098</v>
      </c>
      <c r="W117" t="n">
        <v>14.60748387096774</v>
      </c>
      <c r="X117" t="n">
        <v>3.193548387096774</v>
      </c>
      <c r="Y117" t="n">
        <v>1.875322580645161</v>
      </c>
      <c r="Z117" t="n">
        <v>3.474741935483871</v>
      </c>
      <c r="AA117" t="n">
        <v>7.272399999999998</v>
      </c>
      <c r="AB117" t="n">
        <v>7.272399999999998</v>
      </c>
    </row>
    <row r="118">
      <c r="A118" t="n">
        <v>116</v>
      </c>
      <c r="B118" s="3" t="n">
        <v>45536</v>
      </c>
      <c r="C118" t="inlineStr">
        <is>
          <t>History</t>
        </is>
      </c>
      <c r="D118" t="n">
        <v>33.5967</v>
      </c>
      <c r="E118" t="n">
        <v>25.70119624</v>
      </c>
      <c r="F118" t="n">
        <v>6.835375797</v>
      </c>
      <c r="G118" t="n">
        <v>13.88182986</v>
      </c>
      <c r="H118" t="inlineStr">
        <is>
          <t>STEO</t>
        </is>
      </c>
      <c r="I118" t="n">
        <v>29.5</v>
      </c>
      <c r="J118" t="n">
        <v>29.5</v>
      </c>
      <c r="K118" t="n">
        <v>25.70119624</v>
      </c>
      <c r="L118" t="n">
        <v>25.70119624</v>
      </c>
      <c r="M118" t="b">
        <v>0</v>
      </c>
      <c r="N118" t="n">
        <v>-1.394590483732079</v>
      </c>
      <c r="Q118" t="n">
        <v>28.2645</v>
      </c>
      <c r="R118" t="n">
        <v>28.2645</v>
      </c>
      <c r="S118" t="n">
        <v>20.78909933333333</v>
      </c>
      <c r="T118" t="n">
        <v>20.78909933333333</v>
      </c>
      <c r="U118" t="n">
        <v>4.636932666666667</v>
      </c>
      <c r="V118" t="n">
        <v>4.636932666666667</v>
      </c>
      <c r="W118" t="n">
        <v>13.06096666666667</v>
      </c>
      <c r="X118" t="n">
        <v>3.0912</v>
      </c>
      <c r="Y118" t="n">
        <v>2.5233</v>
      </c>
      <c r="Z118" t="n">
        <v>2.227366666666667</v>
      </c>
      <c r="AA118" t="n">
        <v>7.179467333333333</v>
      </c>
      <c r="AB118" t="n">
        <v>7.179467333333333</v>
      </c>
    </row>
    <row r="119">
      <c r="A119" t="n">
        <v>117</v>
      </c>
      <c r="B119" s="3" t="n">
        <v>45566</v>
      </c>
      <c r="C119" t="inlineStr">
        <is>
          <t>History</t>
        </is>
      </c>
      <c r="D119" t="n">
        <v>33.96545161290323</v>
      </c>
      <c r="E119" t="n">
        <v>26.28651631</v>
      </c>
      <c r="F119" t="n">
        <v>7.121950961</v>
      </c>
      <c r="G119" t="n">
        <v>13.86200819</v>
      </c>
      <c r="H119" t="inlineStr">
        <is>
          <t>STEO</t>
        </is>
      </c>
      <c r="I119" t="n">
        <v>29.5</v>
      </c>
      <c r="J119" t="n">
        <v>29.5</v>
      </c>
      <c r="K119" t="n">
        <v>26.28651631</v>
      </c>
      <c r="L119" t="n">
        <v>26.28651631</v>
      </c>
      <c r="M119" t="b">
        <v>0</v>
      </c>
      <c r="N119" t="n">
        <v>-1.394590483732079</v>
      </c>
      <c r="Q119" t="n">
        <v>28.559</v>
      </c>
      <c r="R119" t="n">
        <v>28.559</v>
      </c>
      <c r="S119" t="n">
        <v>19.55235451612903</v>
      </c>
      <c r="T119" t="n">
        <v>19.55235451612903</v>
      </c>
      <c r="U119" t="n">
        <v>4.77529</v>
      </c>
      <c r="V119" t="n">
        <v>4.77529</v>
      </c>
      <c r="W119" t="n">
        <v>11.90767741935484</v>
      </c>
      <c r="X119" t="n">
        <v>2.869387096774194</v>
      </c>
      <c r="Y119" t="n">
        <v>2.784935483870968</v>
      </c>
      <c r="Z119" t="n">
        <v>0.9893548387096774</v>
      </c>
      <c r="AA119" t="n">
        <v>7.211064838709678</v>
      </c>
      <c r="AB119" t="n">
        <v>7.211064838709678</v>
      </c>
    </row>
    <row r="120">
      <c r="A120" t="n">
        <v>118</v>
      </c>
      <c r="B120" s="3" t="n">
        <v>45597</v>
      </c>
      <c r="C120" t="inlineStr">
        <is>
          <t>History</t>
        </is>
      </c>
      <c r="D120" t="n">
        <v>33.69269999999999</v>
      </c>
      <c r="E120" t="n">
        <v>26.12051318</v>
      </c>
      <c r="F120" t="n">
        <v>7.036211586</v>
      </c>
      <c r="G120" t="n">
        <v>13.96993097</v>
      </c>
      <c r="H120" t="inlineStr">
        <is>
          <t>STEO</t>
        </is>
      </c>
      <c r="I120" t="n">
        <v>29.5</v>
      </c>
      <c r="J120" t="n">
        <v>29.5</v>
      </c>
      <c r="K120" t="n">
        <v>26.12051318</v>
      </c>
      <c r="L120" t="n">
        <v>26.12051318</v>
      </c>
      <c r="M120" t="b">
        <v>0</v>
      </c>
      <c r="N120" t="n">
        <v>-1.394590483732079</v>
      </c>
      <c r="Q120" t="n">
        <v>28.28536666666666</v>
      </c>
      <c r="R120" t="n">
        <v>28.28536666666666</v>
      </c>
      <c r="S120" t="n">
        <v>18.59199666666667</v>
      </c>
      <c r="T120" t="n">
        <v>18.59199666666667</v>
      </c>
      <c r="U120" t="n">
        <v>4.40033</v>
      </c>
      <c r="V120" t="n">
        <v>4.40033</v>
      </c>
      <c r="W120" t="n">
        <v>11.44886666666667</v>
      </c>
      <c r="X120" t="n">
        <v>2.7428</v>
      </c>
      <c r="Y120" t="n">
        <v>1.816766666666667</v>
      </c>
      <c r="Z120" t="n">
        <v>1.256833333333333</v>
      </c>
      <c r="AA120" t="n">
        <v>9.133436666666661</v>
      </c>
      <c r="AB120" t="n">
        <v>9.133436666666661</v>
      </c>
    </row>
    <row r="121">
      <c r="A121" t="n">
        <v>119</v>
      </c>
      <c r="B121" s="3" t="n">
        <v>45627</v>
      </c>
      <c r="C121" t="inlineStr">
        <is>
          <t>History</t>
        </is>
      </c>
      <c r="D121" t="n">
        <v>34.00558064516129</v>
      </c>
      <c r="E121" t="n">
        <v>26.52891686</v>
      </c>
      <c r="F121" t="n">
        <v>7.015674033</v>
      </c>
      <c r="G121" t="n">
        <v>13.96652865</v>
      </c>
      <c r="H121" t="inlineStr">
        <is>
          <t>STEO</t>
        </is>
      </c>
      <c r="I121" t="n">
        <v>29.5</v>
      </c>
      <c r="J121" t="n">
        <v>29.5</v>
      </c>
      <c r="K121" t="n">
        <v>26.52891686</v>
      </c>
      <c r="L121" t="n">
        <v>26.52891686</v>
      </c>
      <c r="M121" t="b">
        <v>0</v>
      </c>
      <c r="N121" t="n">
        <v>-1.394590483732079</v>
      </c>
      <c r="Q121" t="n">
        <v>28.49945161290323</v>
      </c>
      <c r="R121" t="n">
        <v>28.49945161290323</v>
      </c>
      <c r="S121" t="n">
        <v>19.74180161290323</v>
      </c>
      <c r="T121" t="n">
        <v>19.74180161290323</v>
      </c>
      <c r="U121" t="n">
        <v>4.759608064516129</v>
      </c>
      <c r="V121" t="n">
        <v>4.759608064516129</v>
      </c>
      <c r="W121" t="n">
        <v>12.28454838709678</v>
      </c>
      <c r="X121" t="n">
        <v>2.697645161290323</v>
      </c>
      <c r="Y121" t="n">
        <v>1.449032258064516</v>
      </c>
      <c r="Z121" t="n">
        <v>1.874064516129032</v>
      </c>
      <c r="AA121" t="n">
        <v>9.182682258064514</v>
      </c>
      <c r="AB121" t="n">
        <v>9.182682258064514</v>
      </c>
    </row>
    <row r="122">
      <c r="A122" t="n">
        <v>120</v>
      </c>
      <c r="B122" s="3" t="n">
        <v>45658</v>
      </c>
      <c r="C122" t="inlineStr">
        <is>
          <t>History</t>
        </is>
      </c>
      <c r="D122" t="n">
        <v>33.77132258064516</v>
      </c>
      <c r="E122" t="n">
        <v>25.8628571</v>
      </c>
      <c r="F122" t="n">
        <v>6.869135746</v>
      </c>
      <c r="G122" t="n">
        <v>14.07609478</v>
      </c>
      <c r="H122" t="inlineStr">
        <is>
          <t>STEO</t>
        </is>
      </c>
      <c r="I122" t="n">
        <v>29.5</v>
      </c>
      <c r="J122" t="n">
        <v>29.5</v>
      </c>
      <c r="K122" t="n">
        <v>25.8628571</v>
      </c>
      <c r="L122" t="n">
        <v>25.8628571</v>
      </c>
      <c r="M122" t="b">
        <v>0</v>
      </c>
      <c r="N122" t="n">
        <v>-1.394590483732079</v>
      </c>
      <c r="Q122" t="n">
        <v>28.24405679752158</v>
      </c>
      <c r="R122" t="n">
        <v>28.24405679752158</v>
      </c>
      <c r="S122" t="n">
        <v>22.11652935483871</v>
      </c>
      <c r="T122" t="n">
        <v>22.11652935483871</v>
      </c>
      <c r="U122" t="n">
        <v>4.154271290322582</v>
      </c>
      <c r="V122" t="n">
        <v>4.154271290322582</v>
      </c>
      <c r="W122" t="n">
        <v>14.83267741935484</v>
      </c>
      <c r="X122" t="n">
        <v>3.12958064516129</v>
      </c>
      <c r="Y122" t="n">
        <v>1.033096774193548</v>
      </c>
      <c r="Z122" t="n">
        <v>4.680032258064516</v>
      </c>
      <c r="AA122" t="n">
        <v>9.774462926553834</v>
      </c>
      <c r="AB122" t="n">
        <v>9.774462926553834</v>
      </c>
    </row>
    <row r="123">
      <c r="A123" t="n">
        <v>121</v>
      </c>
      <c r="B123" s="3" t="n">
        <v>45689</v>
      </c>
      <c r="C123" t="inlineStr">
        <is>
          <t>History</t>
        </is>
      </c>
      <c r="D123" t="n">
        <v>33.87828571428572</v>
      </c>
      <c r="E123" t="n">
        <v>26.24216551</v>
      </c>
      <c r="F123" t="n">
        <v>7.125572643</v>
      </c>
      <c r="G123" t="n">
        <v>14.19904244</v>
      </c>
      <c r="H123" t="inlineStr">
        <is>
          <t>STEO</t>
        </is>
      </c>
      <c r="I123" t="n">
        <v>29.5</v>
      </c>
      <c r="J123" t="n">
        <v>29.5</v>
      </c>
      <c r="K123" t="n">
        <v>26.24216551</v>
      </c>
      <c r="L123" t="n">
        <v>26.24216551</v>
      </c>
      <c r="M123" t="b">
        <v>0</v>
      </c>
      <c r="N123" t="n">
        <v>-1.394590483732079</v>
      </c>
      <c r="Q123" t="n">
        <v>28.33351354931359</v>
      </c>
      <c r="R123" t="n">
        <v>28.33351354931359</v>
      </c>
      <c r="S123" t="n">
        <v>21.59271178571429</v>
      </c>
      <c r="T123" t="n">
        <v>21.59271178571429</v>
      </c>
      <c r="U123" t="n">
        <v>4.985854642857143</v>
      </c>
      <c r="V123" t="n">
        <v>4.985854642857143</v>
      </c>
      <c r="W123" t="n">
        <v>13.569</v>
      </c>
      <c r="X123" t="n">
        <v>3.037857142857143</v>
      </c>
      <c r="Y123" t="n">
        <v>1.292535714285714</v>
      </c>
      <c r="Z123" t="n">
        <v>4.061928571428572</v>
      </c>
      <c r="AA123" t="n">
        <v>9.51019462074216</v>
      </c>
      <c r="AB123" t="n">
        <v>9.51019462074216</v>
      </c>
    </row>
    <row r="124">
      <c r="A124" t="n">
        <v>122</v>
      </c>
      <c r="B124" s="3" t="n">
        <v>45717</v>
      </c>
      <c r="C124" t="inlineStr">
        <is>
          <t>History</t>
        </is>
      </c>
      <c r="D124" t="n">
        <v>33.98274193548387</v>
      </c>
      <c r="E124" t="n">
        <v>26.90011915</v>
      </c>
      <c r="F124" t="n">
        <v>7.119731392</v>
      </c>
      <c r="G124" t="n">
        <v>15.64172846</v>
      </c>
      <c r="H124" t="inlineStr">
        <is>
          <t>STEO</t>
        </is>
      </c>
      <c r="I124" t="n">
        <v>29.5</v>
      </c>
      <c r="J124" t="n">
        <v>29.5</v>
      </c>
      <c r="K124" t="n">
        <v>26.90011915</v>
      </c>
      <c r="L124" t="n">
        <v>26.90011915</v>
      </c>
      <c r="M124" t="b">
        <v>0</v>
      </c>
      <c r="N124" t="n">
        <v>-1.394590483732079</v>
      </c>
      <c r="Q124" t="n">
        <v>28.42087368859537</v>
      </c>
      <c r="R124" t="n">
        <v>28.42087368859537</v>
      </c>
      <c r="S124" t="n">
        <v>17.86375419354839</v>
      </c>
      <c r="T124" t="n">
        <v>17.86375419354839</v>
      </c>
      <c r="U124" t="n">
        <v>4.598463870967742</v>
      </c>
      <c r="V124" t="n">
        <v>4.598463870967742</v>
      </c>
      <c r="W124" t="n">
        <v>10.40090322580645</v>
      </c>
      <c r="X124" t="n">
        <v>2.864387096774194</v>
      </c>
      <c r="Y124" t="n">
        <v>2.661516129032258</v>
      </c>
      <c r="Z124" t="n">
        <v>1.247129032258065</v>
      </c>
      <c r="AA124" t="n">
        <v>9.142732398272791</v>
      </c>
      <c r="AB124" t="n">
        <v>9.142732398272791</v>
      </c>
    </row>
    <row r="125">
      <c r="A125" t="n">
        <v>123</v>
      </c>
      <c r="B125" s="3" t="n">
        <v>45748</v>
      </c>
      <c r="C125" t="inlineStr">
        <is>
          <t>History</t>
        </is>
      </c>
      <c r="D125" t="n">
        <v>34.2791</v>
      </c>
      <c r="E125" t="n">
        <v>26.86271651</v>
      </c>
      <c r="F125" t="n">
        <v>7.283700321</v>
      </c>
      <c r="G125" t="n">
        <v>15.25938095</v>
      </c>
      <c r="H125" t="inlineStr">
        <is>
          <t>STEO</t>
        </is>
      </c>
      <c r="I125" t="n">
        <v>29.5</v>
      </c>
      <c r="J125" t="n">
        <v>29.5</v>
      </c>
      <c r="K125" t="n">
        <v>26.86271651</v>
      </c>
      <c r="L125" t="n">
        <v>26.86271651</v>
      </c>
      <c r="M125" t="b">
        <v>0</v>
      </c>
      <c r="N125" t="n">
        <v>-1.394590483732079</v>
      </c>
      <c r="Q125" t="n">
        <v>28.66872758850139</v>
      </c>
      <c r="R125" t="n">
        <v>28.66872758850139</v>
      </c>
      <c r="S125" t="n">
        <v>18.86339</v>
      </c>
      <c r="T125" t="n">
        <v>18.86339</v>
      </c>
      <c r="U125" t="n">
        <v>4.81889</v>
      </c>
      <c r="V125" t="n">
        <v>4.81889</v>
      </c>
      <c r="W125" t="n">
        <v>10.7925</v>
      </c>
      <c r="X125" t="n">
        <v>3.252</v>
      </c>
      <c r="Y125" t="n">
        <v>2.422766666666667</v>
      </c>
      <c r="Z125" t="n">
        <v>1.021366666666667</v>
      </c>
      <c r="AA125" t="n">
        <v>8.403937588501389</v>
      </c>
      <c r="AB125" t="n">
        <v>8.403937588501389</v>
      </c>
    </row>
    <row r="126">
      <c r="A126" t="n">
        <v>124</v>
      </c>
      <c r="B126" s="3" t="n">
        <v>45778</v>
      </c>
      <c r="C126" t="inlineStr">
        <is>
          <t>History</t>
        </is>
      </c>
      <c r="D126" t="n">
        <v>33.95767741935484</v>
      </c>
      <c r="E126" t="n">
        <v>26.87354047</v>
      </c>
      <c r="F126" t="n">
        <v>7.334220824</v>
      </c>
      <c r="G126" t="n">
        <v>15.16893331</v>
      </c>
      <c r="H126" t="inlineStr">
        <is>
          <t>STEO</t>
        </is>
      </c>
      <c r="I126" t="n">
        <v>29.5</v>
      </c>
      <c r="J126" t="n">
        <v>29.5</v>
      </c>
      <c r="K126" t="n">
        <v>26.87354047</v>
      </c>
      <c r="L126" t="n">
        <v>26.87354047</v>
      </c>
      <c r="M126" t="b">
        <v>0</v>
      </c>
      <c r="N126" t="n">
        <v>-1.394590483732079</v>
      </c>
      <c r="Q126" t="n">
        <v>28.39991141756023</v>
      </c>
      <c r="R126" t="n">
        <v>28.39991141756023</v>
      </c>
      <c r="S126" t="n">
        <v>19.97133548387097</v>
      </c>
      <c r="T126" t="n">
        <v>19.97133548387097</v>
      </c>
      <c r="U126" t="n">
        <v>4.495722580645161</v>
      </c>
      <c r="V126" t="n">
        <v>4.495722580645161</v>
      </c>
      <c r="W126" t="n">
        <v>11.95177419354839</v>
      </c>
      <c r="X126" t="n">
        <v>3.523838709677419</v>
      </c>
      <c r="Y126" t="n">
        <v>2.441677419354839</v>
      </c>
      <c r="Z126" t="n">
        <v>0.8430322580645161</v>
      </c>
      <c r="AA126" t="n">
        <v>6.829930772398939</v>
      </c>
      <c r="AB126" t="n">
        <v>6.829930772398939</v>
      </c>
    </row>
    <row r="127">
      <c r="A127" t="n">
        <v>125</v>
      </c>
      <c r="B127" s="3" t="n">
        <v>45809</v>
      </c>
      <c r="C127" t="inlineStr">
        <is>
          <t>History</t>
        </is>
      </c>
      <c r="D127" t="n">
        <v>34.42446666666667</v>
      </c>
      <c r="E127" t="n">
        <v>27.44288166</v>
      </c>
      <c r="F127" t="n">
        <v>7.488568094</v>
      </c>
      <c r="G127" t="n">
        <v>14.30370188</v>
      </c>
      <c r="H127" t="inlineStr">
        <is>
          <t>STEO</t>
        </is>
      </c>
      <c r="I127" t="n">
        <v>29.5</v>
      </c>
      <c r="J127" t="n">
        <v>29.5</v>
      </c>
      <c r="K127" t="n">
        <v>27.44288166</v>
      </c>
      <c r="L127" t="n">
        <v>27.44288166</v>
      </c>
      <c r="M127" t="b">
        <v>0</v>
      </c>
      <c r="N127" t="n">
        <v>-1.394590483732079</v>
      </c>
      <c r="Q127" t="n">
        <v>28.79030246552894</v>
      </c>
      <c r="R127" t="n">
        <v>28.79030246552894</v>
      </c>
      <c r="S127" t="n">
        <v>20.66212833333333</v>
      </c>
      <c r="T127" t="n">
        <v>20.66212833333333</v>
      </c>
      <c r="U127" t="n">
        <v>4.700261666666666</v>
      </c>
      <c r="V127" t="n">
        <v>4.700261666666666</v>
      </c>
      <c r="W127" t="n">
        <v>12.51573333333333</v>
      </c>
      <c r="X127" t="n">
        <v>3.446133333333333</v>
      </c>
      <c r="Y127" t="n">
        <v>2.011666666666667</v>
      </c>
      <c r="Z127" t="n">
        <v>0.7972</v>
      </c>
      <c r="AA127" t="n">
        <v>6.91370746552894</v>
      </c>
      <c r="AB127" t="n">
        <v>6.91370746552894</v>
      </c>
    </row>
    <row r="128">
      <c r="A128" t="n">
        <v>126</v>
      </c>
      <c r="B128" s="3" t="n">
        <v>45839</v>
      </c>
      <c r="C128" t="inlineStr">
        <is>
          <t>History</t>
        </is>
      </c>
      <c r="D128" t="n">
        <v>34.88470967741936</v>
      </c>
      <c r="E128" t="n">
        <v>28.10213521</v>
      </c>
      <c r="F128" t="n">
        <v>7.505588408</v>
      </c>
      <c r="G128" t="n">
        <v>14.86413226</v>
      </c>
      <c r="H128" t="inlineStr">
        <is>
          <t>STEO</t>
        </is>
      </c>
      <c r="I128" t="n">
        <v>29.5</v>
      </c>
      <c r="J128" t="n">
        <v>29.5</v>
      </c>
      <c r="K128" t="n">
        <v>28.10213521</v>
      </c>
      <c r="L128" t="n">
        <v>28.10213521</v>
      </c>
      <c r="M128" t="b">
        <v>0</v>
      </c>
      <c r="N128" t="n">
        <v>-1.394590483732079</v>
      </c>
      <c r="Q128" t="n">
        <v>29.17521868269277</v>
      </c>
      <c r="R128" t="n">
        <v>29.17521868269277</v>
      </c>
      <c r="S128" t="n">
        <v>20.76968322580645</v>
      </c>
      <c r="T128" t="n">
        <v>20.76968322580645</v>
      </c>
      <c r="U128" t="n">
        <v>4.497199354838711</v>
      </c>
      <c r="V128" t="n">
        <v>4.497199354838711</v>
      </c>
      <c r="W128" t="n">
        <v>13.17790322580645</v>
      </c>
      <c r="X128" t="n">
        <v>3.09458064516129</v>
      </c>
      <c r="Y128" t="n">
        <v>1.676290322580645</v>
      </c>
      <c r="Z128" t="n">
        <v>1.450903225806452</v>
      </c>
      <c r="AA128" t="n">
        <v>8.180148360112124</v>
      </c>
      <c r="AB128" t="n">
        <v>8.180148360112124</v>
      </c>
    </row>
    <row r="129">
      <c r="A129" t="n">
        <v>127</v>
      </c>
      <c r="B129" s="3" t="n">
        <v>45870</v>
      </c>
      <c r="C129" t="inlineStr">
        <is>
          <t>History</t>
        </is>
      </c>
      <c r="D129" t="n">
        <v>35.25983870967742</v>
      </c>
      <c r="E129" t="n">
        <v>28.369864</v>
      </c>
      <c r="F129" t="n">
        <v>7.609295584</v>
      </c>
      <c r="G129" t="n">
        <v>15.26826744</v>
      </c>
      <c r="H129" t="inlineStr">
        <is>
          <t>STEO</t>
        </is>
      </c>
      <c r="I129" t="n">
        <v>29.5</v>
      </c>
      <c r="J129" t="n">
        <v>29.5</v>
      </c>
      <c r="K129" t="n">
        <v>28.369864</v>
      </c>
      <c r="L129" t="n">
        <v>28.369864</v>
      </c>
      <c r="M129" t="b">
        <v>0</v>
      </c>
      <c r="N129" t="n">
        <v>-1.394590483732079</v>
      </c>
      <c r="Q129" t="n">
        <v>29.48895130800512</v>
      </c>
      <c r="R129" t="n">
        <v>29.48895130800512</v>
      </c>
      <c r="S129" t="n">
        <v>21.65480129032258</v>
      </c>
      <c r="T129" t="n">
        <v>21.65480129032258</v>
      </c>
      <c r="U129" t="n">
        <v>4.468156129032257</v>
      </c>
      <c r="V129" t="n">
        <v>4.468156129032257</v>
      </c>
      <c r="W129" t="n">
        <v>13.83635483870968</v>
      </c>
      <c r="X129" t="n">
        <v>3.350290322580645</v>
      </c>
      <c r="Y129" t="n">
        <v>1.391838709677419</v>
      </c>
      <c r="Z129" t="n">
        <v>1.803870967741935</v>
      </c>
      <c r="AA129" t="n">
        <v>8.246182275747056</v>
      </c>
      <c r="AB129" t="n">
        <v>8.246182275747056</v>
      </c>
    </row>
    <row r="130">
      <c r="A130" t="n">
        <v>128</v>
      </c>
      <c r="B130" s="3" t="n">
        <v>45901</v>
      </c>
      <c r="C130" t="inlineStr">
        <is>
          <t>History</t>
        </is>
      </c>
      <c r="D130" t="n">
        <v>35.21926666666667</v>
      </c>
      <c r="E130" t="n">
        <v>28.56749256</v>
      </c>
      <c r="F130" t="n">
        <v>7.623852551</v>
      </c>
      <c r="G130" t="n">
        <v>14.88950594</v>
      </c>
      <c r="H130" t="inlineStr">
        <is>
          <t>STEO</t>
        </is>
      </c>
      <c r="I130" t="n">
        <v>29.5</v>
      </c>
      <c r="J130" t="n">
        <v>29.5</v>
      </c>
      <c r="K130" t="n">
        <v>28.56749256</v>
      </c>
      <c r="L130" t="n">
        <v>28.56749256</v>
      </c>
      <c r="M130" t="b">
        <v>0</v>
      </c>
      <c r="N130" t="n">
        <v>-1.394590483732079</v>
      </c>
      <c r="Q130" t="n">
        <v>29.45501958725445</v>
      </c>
      <c r="R130" t="n">
        <v>29.45501958725445</v>
      </c>
      <c r="S130" t="n">
        <v>20.75478366666667</v>
      </c>
      <c r="T130" t="n">
        <v>20.75478366666667</v>
      </c>
      <c r="U130" t="n">
        <v>4.724750333333334</v>
      </c>
      <c r="V130" t="n">
        <v>4.724750333333334</v>
      </c>
      <c r="W130" t="n">
        <v>13.0801</v>
      </c>
      <c r="X130" t="n">
        <v>2.949933333333334</v>
      </c>
      <c r="Y130" t="n">
        <v>1.689533333333333</v>
      </c>
      <c r="Z130" t="n">
        <v>1.2997</v>
      </c>
      <c r="AA130" t="n">
        <v>8.310402587254451</v>
      </c>
      <c r="AB130" t="n">
        <v>8.310402587254451</v>
      </c>
    </row>
    <row r="131">
      <c r="A131" t="n">
        <v>129</v>
      </c>
      <c r="B131" s="3" t="n">
        <v>45931</v>
      </c>
      <c r="C131" t="inlineStr">
        <is>
          <t>History</t>
        </is>
      </c>
      <c r="D131" t="n">
        <v>34.84435483870968</v>
      </c>
      <c r="E131" t="n">
        <v>27.71589029</v>
      </c>
      <c r="F131" t="n">
        <v>7.688862829</v>
      </c>
      <c r="G131" t="n">
        <v>15.03678872</v>
      </c>
      <c r="H131" t="inlineStr">
        <is>
          <t>STEO</t>
        </is>
      </c>
      <c r="I131" t="n">
        <v>29.5</v>
      </c>
      <c r="J131" t="n">
        <v>29.5</v>
      </c>
      <c r="K131" t="n">
        <v>27.71589029</v>
      </c>
      <c r="L131" t="n">
        <v>27.71589029</v>
      </c>
      <c r="M131" t="b">
        <v>0</v>
      </c>
      <c r="N131" t="n">
        <v>-1.394590483732079</v>
      </c>
      <c r="Q131" t="n">
        <v>29.14146861697209</v>
      </c>
      <c r="R131" t="n">
        <v>29.14146861697209</v>
      </c>
      <c r="S131" t="n">
        <v>19.62839903225807</v>
      </c>
      <c r="T131" t="n">
        <v>19.62839903225807</v>
      </c>
      <c r="U131" t="n">
        <v>5.143850645161292</v>
      </c>
      <c r="V131" t="n">
        <v>5.143850645161292</v>
      </c>
      <c r="W131" t="n">
        <v>11.65106451612903</v>
      </c>
      <c r="X131" t="n">
        <v>2.833483870967742</v>
      </c>
      <c r="Y131" t="n">
        <v>2.187</v>
      </c>
      <c r="Z131" t="n">
        <v>1.130225806451613</v>
      </c>
      <c r="AA131" t="n">
        <v>8.456295391165634</v>
      </c>
      <c r="AB131" t="n">
        <v>8.456295391165634</v>
      </c>
    </row>
    <row r="132">
      <c r="A132" t="n">
        <v>130</v>
      </c>
      <c r="B132" s="3" t="n">
        <v>45962</v>
      </c>
      <c r="C132" t="inlineStr">
        <is>
          <t>History</t>
        </is>
      </c>
      <c r="D132" t="n">
        <v>35.58796666666667</v>
      </c>
      <c r="E132" t="n">
        <v>28.67203573</v>
      </c>
      <c r="F132" t="n">
        <v>7.809604348</v>
      </c>
      <c r="G132" t="n">
        <v>15.72971333</v>
      </c>
      <c r="H132" t="inlineStr">
        <is>
          <t>STEO</t>
        </is>
      </c>
      <c r="I132" t="n">
        <v>29.5</v>
      </c>
      <c r="J132" t="n">
        <v>29.5</v>
      </c>
      <c r="K132" t="n">
        <v>28.67203573</v>
      </c>
      <c r="L132" t="n">
        <v>28.67203573</v>
      </c>
      <c r="M132" t="b">
        <v>0</v>
      </c>
      <c r="N132" t="n">
        <v>-1.394590483732079</v>
      </c>
      <c r="Q132" t="n">
        <v>29.76337540353552</v>
      </c>
      <c r="R132" t="n">
        <v>29.76337540353552</v>
      </c>
      <c r="S132" t="n">
        <v>19.76300033333333</v>
      </c>
      <c r="T132" t="n">
        <v>19.76300033333333</v>
      </c>
      <c r="U132" t="n">
        <v>5.420533666666667</v>
      </c>
      <c r="V132" t="n">
        <v>5.420533666666667</v>
      </c>
      <c r="W132" t="n">
        <v>11.42236666666667</v>
      </c>
      <c r="X132" t="n">
        <v>2.9201</v>
      </c>
      <c r="Y132" t="n">
        <v>2.081066666666667</v>
      </c>
      <c r="Z132" t="n">
        <v>1.227233333333333</v>
      </c>
      <c r="AA132" t="n">
        <v>9.146541736868853</v>
      </c>
      <c r="AB132" t="n">
        <v>9.146541736868853</v>
      </c>
    </row>
    <row r="133">
      <c r="A133" t="n">
        <v>131</v>
      </c>
      <c r="B133" s="3" t="n">
        <v>45992</v>
      </c>
      <c r="C133" t="inlineStr">
        <is>
          <t>History</t>
        </is>
      </c>
      <c r="D133" t="n">
        <v>35.96516129032258</v>
      </c>
      <c r="E133" t="n">
        <v>28.95910602</v>
      </c>
      <c r="F133" t="n">
        <v>7.805966912</v>
      </c>
      <c r="G133" t="n">
        <v>15.89689881</v>
      </c>
      <c r="H133" t="inlineStr">
        <is>
          <t>STEO</t>
        </is>
      </c>
      <c r="I133" t="n">
        <v>29.5</v>
      </c>
      <c r="J133" t="n">
        <v>29.5</v>
      </c>
      <c r="K133" t="n">
        <v>28.95910602</v>
      </c>
      <c r="L133" t="n">
        <v>28.95910602</v>
      </c>
      <c r="M133" t="b">
        <v>0</v>
      </c>
      <c r="N133" t="n">
        <v>-1.394590483732079</v>
      </c>
      <c r="Q133" t="n">
        <v>30.07883555019745</v>
      </c>
      <c r="R133" t="n">
        <v>30.07883555019745</v>
      </c>
      <c r="S133" t="n">
        <v>20.85061225806452</v>
      </c>
      <c r="T133" t="n">
        <v>20.85061225806452</v>
      </c>
      <c r="U133" t="n">
        <v>5.626580000000001</v>
      </c>
      <c r="V133" t="n">
        <v>5.626580000000001</v>
      </c>
      <c r="W133" t="n">
        <v>12.45958064516129</v>
      </c>
      <c r="X133" t="n">
        <v>2.764451612903226</v>
      </c>
      <c r="Y133" t="n">
        <v>1.341290322580645</v>
      </c>
      <c r="Z133" t="n">
        <v>3.165806451612903</v>
      </c>
      <c r="AA133" t="n">
        <v>11.05273942116519</v>
      </c>
      <c r="AB133" t="n">
        <v>11.05273942116519</v>
      </c>
    </row>
    <row r="134">
      <c r="A134" t="n">
        <v>132</v>
      </c>
      <c r="B134" s="3" t="n">
        <v>46023</v>
      </c>
      <c r="C134" t="inlineStr">
        <is>
          <t>History</t>
        </is>
      </c>
      <c r="D134" t="n">
        <v>34.71883870967741</v>
      </c>
      <c r="E134" t="n">
        <v>27.5530688</v>
      </c>
      <c r="F134" t="n">
        <v>7.681563919</v>
      </c>
      <c r="G134" t="n">
        <v>15.44565525</v>
      </c>
      <c r="H134" t="inlineStr">
        <is>
          <t>STEO</t>
        </is>
      </c>
      <c r="I134" t="n">
        <v>29.5</v>
      </c>
      <c r="J134" t="n">
        <v>29.5</v>
      </c>
      <c r="K134" t="n">
        <v>27.5530688</v>
      </c>
      <c r="L134" t="n">
        <v>27.5530688</v>
      </c>
      <c r="M134" t="b">
        <v>0</v>
      </c>
      <c r="N134" t="n">
        <v>-1.394590483732079</v>
      </c>
      <c r="Q134" t="n">
        <v>29.03649539097756</v>
      </c>
      <c r="R134" t="n">
        <v>29.03649539097756</v>
      </c>
      <c r="S134" t="n">
        <v>21.70120967741935</v>
      </c>
      <c r="T134" t="n">
        <v>21.70120967741936</v>
      </c>
      <c r="U134" t="n">
        <v>5.1775</v>
      </c>
      <c r="V134" t="n">
        <v>5.1775</v>
      </c>
      <c r="W134" t="n">
        <v>13.65035483870968</v>
      </c>
      <c r="X134" t="n">
        <v>2.873354838709677</v>
      </c>
      <c r="Y134" t="n">
        <v>1.035096774193548</v>
      </c>
      <c r="Z134" t="n">
        <v>4.671580645161291</v>
      </c>
      <c r="AA134" t="n">
        <v>10.97176958452595</v>
      </c>
      <c r="AB134" t="n">
        <v>10.97176958452594</v>
      </c>
    </row>
    <row r="135">
      <c r="A135" t="n">
        <v>133</v>
      </c>
      <c r="B135" s="3" t="n">
        <v>46054</v>
      </c>
      <c r="C135" t="inlineStr">
        <is>
          <t>History</t>
        </is>
      </c>
      <c r="D135" t="n">
        <v>35.748</v>
      </c>
      <c r="E135" t="n">
        <v>28.88916257</v>
      </c>
      <c r="F135" t="n">
        <v>7.666659921</v>
      </c>
      <c r="G135" t="n">
        <v>16.2069536</v>
      </c>
      <c r="H135" t="inlineStr">
        <is>
          <t>STEO</t>
        </is>
      </c>
      <c r="I135" t="n">
        <v>29.5</v>
      </c>
      <c r="J135" t="n">
        <v>29.5</v>
      </c>
      <c r="K135" t="n">
        <v>28.88916257</v>
      </c>
      <c r="L135" t="n">
        <v>28.88916257</v>
      </c>
      <c r="M135" t="b">
        <v>0</v>
      </c>
      <c r="N135" t="n">
        <v>-1.394590483732079</v>
      </c>
      <c r="Q135" t="n">
        <v>29.89721649149912</v>
      </c>
      <c r="R135" t="n">
        <v>29.89721649149912</v>
      </c>
      <c r="S135" t="n">
        <v>20.62105821428572</v>
      </c>
      <c r="T135" t="n">
        <v>20.62105821428572</v>
      </c>
      <c r="U135" t="n">
        <v>5.757808214285715</v>
      </c>
      <c r="V135" t="n">
        <v>5.757808214285715</v>
      </c>
      <c r="W135" t="n">
        <v>11.87414285714286</v>
      </c>
      <c r="X135" t="n">
        <v>2.989107142857143</v>
      </c>
      <c r="Y135" t="n">
        <v>1.613321428571429</v>
      </c>
      <c r="Z135" t="n">
        <v>2.895678571428572</v>
      </c>
      <c r="AA135" t="n">
        <v>10.55851542007055</v>
      </c>
      <c r="AB135" t="n">
        <v>10.55851542007055</v>
      </c>
    </row>
    <row r="136">
      <c r="A136" t="n">
        <v>134</v>
      </c>
      <c r="B136" s="3" t="n">
        <v>46082</v>
      </c>
      <c r="C136" t="inlineStr">
        <is>
          <t>History</t>
        </is>
      </c>
      <c r="D136" t="n">
        <v>35.92364516129032</v>
      </c>
      <c r="E136" t="n">
        <v>28.82263279</v>
      </c>
      <c r="F136" t="n">
        <v>7.816471617</v>
      </c>
      <c r="G136" t="n">
        <v>16.36455215</v>
      </c>
      <c r="H136" t="inlineStr">
        <is>
          <t>STEO</t>
        </is>
      </c>
      <c r="I136" t="n">
        <v>29.5</v>
      </c>
      <c r="J136" t="n">
        <v>29.5</v>
      </c>
      <c r="K136" t="n">
        <v>28.82263279</v>
      </c>
      <c r="L136" t="n">
        <v>28.82263279</v>
      </c>
      <c r="M136" t="b">
        <v>0</v>
      </c>
      <c r="N136" t="n">
        <v>-1.394590483732079</v>
      </c>
      <c r="Q136" t="n">
        <v>30.04411425956394</v>
      </c>
      <c r="R136" t="n">
        <v>30.04411425956394</v>
      </c>
      <c r="S136" t="n">
        <v>19.46357774193548</v>
      </c>
      <c r="T136" t="n">
        <v>19.46357774193548</v>
      </c>
      <c r="U136" t="n">
        <v>5.815642258064516</v>
      </c>
      <c r="V136" t="n">
        <v>5.815642258064516</v>
      </c>
      <c r="W136" t="n">
        <v>10.87935483870968</v>
      </c>
      <c r="X136" t="n">
        <v>2.768580645161291</v>
      </c>
      <c r="Y136" t="n">
        <v>2.199451612903226</v>
      </c>
      <c r="Z136" t="n">
        <v>1.184516129032258</v>
      </c>
      <c r="AA136" t="n">
        <v>9.565601033757488</v>
      </c>
      <c r="AB136" t="n">
        <v>9.565601033757488</v>
      </c>
    </row>
    <row r="137">
      <c r="A137" t="n">
        <v>135</v>
      </c>
      <c r="B137" s="3" t="n">
        <v>46113</v>
      </c>
      <c r="C137" t="inlineStr">
        <is>
          <t>History</t>
        </is>
      </c>
      <c r="D137" t="n">
        <v>36.20336666666667</v>
      </c>
      <c r="E137" t="n">
        <v>28.8747526</v>
      </c>
      <c r="F137" t="n">
        <v>7.87733337</v>
      </c>
      <c r="G137" t="n">
        <v>16.66743313</v>
      </c>
      <c r="H137" t="inlineStr">
        <is>
          <t>STEO</t>
        </is>
      </c>
      <c r="I137" t="n">
        <v>29.5</v>
      </c>
      <c r="J137" t="n">
        <v>29.5</v>
      </c>
      <c r="K137" t="n">
        <v>28.8747526</v>
      </c>
      <c r="L137" t="n">
        <v>28.8747526</v>
      </c>
      <c r="M137" t="b">
        <v>0</v>
      </c>
      <c r="N137" t="n">
        <v>-1.394590483732079</v>
      </c>
      <c r="Q137" t="n">
        <v>30.27805446331141</v>
      </c>
      <c r="R137" t="n">
        <v>30.27805446331141</v>
      </c>
      <c r="S137" t="n">
        <v>19.97750533333334</v>
      </c>
      <c r="T137" t="n">
        <v>19.97750533333334</v>
      </c>
      <c r="U137" t="n">
        <v>5.796038666666668</v>
      </c>
      <c r="V137" t="n">
        <v>5.796038666666668</v>
      </c>
      <c r="W137" t="n">
        <v>11.3438</v>
      </c>
      <c r="X137" t="n">
        <v>2.837666666666667</v>
      </c>
      <c r="Y137" t="n">
        <v>2.0877</v>
      </c>
      <c r="Z137" t="n">
        <v>1.130866666666666</v>
      </c>
      <c r="AA137" t="n">
        <v>9.343715796644739</v>
      </c>
      <c r="AB137" t="n">
        <v>9.343715796644739</v>
      </c>
    </row>
    <row r="138">
      <c r="A138" t="n">
        <v>136</v>
      </c>
      <c r="B138" s="3" t="n">
        <v>46143</v>
      </c>
      <c r="C138" t="inlineStr">
        <is>
          <t>History</t>
        </is>
      </c>
      <c r="D138" t="n">
        <v>35.91348387096775</v>
      </c>
      <c r="E138" t="n">
        <v>28.8487544</v>
      </c>
      <c r="F138" t="n">
        <v>7.814257683</v>
      </c>
      <c r="G138" t="n">
        <v>16.27373471</v>
      </c>
      <c r="H138" t="inlineStr">
        <is>
          <t>STEO</t>
        </is>
      </c>
      <c r="I138" t="n">
        <v>29.5</v>
      </c>
      <c r="J138" t="n">
        <v>29.5</v>
      </c>
      <c r="K138" t="n">
        <v>28.8487544</v>
      </c>
      <c r="L138" t="n">
        <v>28.8487544</v>
      </c>
      <c r="M138" t="b">
        <v>0</v>
      </c>
      <c r="N138" t="n">
        <v>-1.394590483732079</v>
      </c>
      <c r="Q138" t="n">
        <v>30.03561604157672</v>
      </c>
      <c r="R138" t="n">
        <v>30.03561604157672</v>
      </c>
      <c r="S138" t="n">
        <v>20.55421580645161</v>
      </c>
      <c r="T138" t="n">
        <v>20.55421580645161</v>
      </c>
      <c r="U138" t="n">
        <v>5.236957741935484</v>
      </c>
      <c r="V138" t="n">
        <v>5.236957741935484</v>
      </c>
      <c r="W138" t="n">
        <v>12.0008064516129</v>
      </c>
      <c r="X138" t="n">
        <v>3.316451612903226</v>
      </c>
      <c r="Y138" t="n">
        <v>2.190806451612903</v>
      </c>
      <c r="Z138" t="n">
        <v>1.282838709677419</v>
      </c>
      <c r="AA138" t="n">
        <v>8.573432493189625</v>
      </c>
      <c r="AB138" t="n">
        <v>8.573432493189625</v>
      </c>
    </row>
    <row r="139">
      <c r="A139" t="n">
        <v>137</v>
      </c>
      <c r="B139" s="3" t="n">
        <v>46174</v>
      </c>
      <c r="C139" t="inlineStr">
        <is>
          <t>History</t>
        </is>
      </c>
      <c r="D139" t="n">
        <v>36.40676666666667</v>
      </c>
      <c r="E139" t="n">
        <v>29.35056375</v>
      </c>
      <c r="F139" t="n">
        <v>7.921592685</v>
      </c>
      <c r="G139" t="n">
        <v>16.75236932</v>
      </c>
      <c r="H139" t="inlineStr">
        <is>
          <t>STEO</t>
        </is>
      </c>
      <c r="I139" t="n">
        <v>29.5</v>
      </c>
      <c r="J139" t="n">
        <v>29.5</v>
      </c>
      <c r="K139" t="n">
        <v>29.35056375</v>
      </c>
      <c r="L139" t="n">
        <v>29.35056375</v>
      </c>
      <c r="M139" t="b">
        <v>0</v>
      </c>
      <c r="N139" t="n">
        <v>-1.394590483732079</v>
      </c>
      <c r="Q139" t="n">
        <v>30.44816450679276</v>
      </c>
      <c r="R139" t="n">
        <v>30.44816450679276</v>
      </c>
      <c r="S139" t="n">
        <v>22.042042</v>
      </c>
      <c r="T139" t="n">
        <v>22.042042</v>
      </c>
      <c r="U139" t="n">
        <v>5.555875333333335</v>
      </c>
      <c r="V139" t="n">
        <v>5.555875333333335</v>
      </c>
      <c r="W139" t="n">
        <v>13.13166666666667</v>
      </c>
      <c r="X139" t="n">
        <v>3.3545</v>
      </c>
      <c r="Y139" t="n">
        <v>1.944366666666667</v>
      </c>
      <c r="Z139" t="n">
        <v>1.320233333333333</v>
      </c>
      <c r="AA139" t="n">
        <v>7.781989173459427</v>
      </c>
      <c r="AB139" t="n">
        <v>7.781989173459427</v>
      </c>
    </row>
    <row r="140">
      <c r="A140" t="n">
        <v>138</v>
      </c>
      <c r="B140" s="3" t="n">
        <v>46204</v>
      </c>
      <c r="C140" t="inlineStr">
        <is>
          <t>History</t>
        </is>
      </c>
      <c r="D140" t="n">
        <v>37.34825806451613</v>
      </c>
      <c r="E140" t="n">
        <v>30.38478184</v>
      </c>
      <c r="F140" t="n">
        <v>8.12644457</v>
      </c>
      <c r="G140" t="n">
        <v>17.04579952</v>
      </c>
      <c r="H140" t="inlineStr">
        <is>
          <t>STEO</t>
        </is>
      </c>
      <c r="I140" t="n">
        <v>30.07</v>
      </c>
      <c r="J140" t="n">
        <v>29.5</v>
      </c>
      <c r="K140" t="n">
        <v>30.07</v>
      </c>
      <c r="L140" t="n">
        <v>29.5</v>
      </c>
      <c r="M140" t="b">
        <v>1</v>
      </c>
      <c r="N140" t="n">
        <v>-1.394590483732079</v>
      </c>
      <c r="Q140" t="n">
        <v>31.2355644213723</v>
      </c>
      <c r="R140" t="n">
        <v>31.2355644213723</v>
      </c>
      <c r="S140" t="n">
        <v>22.45839225806452</v>
      </c>
      <c r="T140" t="n">
        <v>22.45839225806452</v>
      </c>
      <c r="U140" t="n">
        <v>5.482489032258065</v>
      </c>
      <c r="V140" t="n">
        <v>5.482489032258065</v>
      </c>
      <c r="W140" t="n">
        <v>13.73912903225806</v>
      </c>
      <c r="X140" t="n">
        <v>3.236774193548387</v>
      </c>
      <c r="Y140" t="n">
        <v>1.523032258064516</v>
      </c>
      <c r="Z140" t="n">
        <v>1.442483870967742</v>
      </c>
      <c r="AA140" t="n">
        <v>8.696623776211011</v>
      </c>
      <c r="AB140" t="n">
        <v>8.696623776211011</v>
      </c>
    </row>
    <row r="141">
      <c r="A141" t="n">
        <v>139</v>
      </c>
      <c r="B141" s="3" t="n">
        <v>46235</v>
      </c>
      <c r="C141" t="inlineStr">
        <is>
          <t>Forecast</t>
        </is>
      </c>
      <c r="E141" t="n">
        <v>30.07051295</v>
      </c>
      <c r="F141" t="n">
        <v>8.059723625</v>
      </c>
      <c r="G141" t="n">
        <v>17.26022921</v>
      </c>
      <c r="H141" t="inlineStr">
        <is>
          <t>STEO</t>
        </is>
      </c>
      <c r="I141" t="n">
        <v>30.07</v>
      </c>
      <c r="J141" t="n">
        <v>29.5</v>
      </c>
      <c r="K141" t="n">
        <v>30.07</v>
      </c>
      <c r="L141" t="n">
        <v>29.5</v>
      </c>
      <c r="M141" t="b">
        <v>1</v>
      </c>
      <c r="N141" t="n">
        <v>-1.394590483732079</v>
      </c>
      <c r="O141" t="n">
        <v>37.40270190426792</v>
      </c>
      <c r="P141" t="n">
        <v>36.91820190426792</v>
      </c>
      <c r="Q141" t="n">
        <v>31.28109757745621</v>
      </c>
      <c r="R141" t="n">
        <v>30.87589445028458</v>
      </c>
      <c r="S141" t="n">
        <v>23.45303925479345</v>
      </c>
      <c r="T141" t="n">
        <v>23.45303925479345</v>
      </c>
      <c r="U141" t="n">
        <v>5.887831766063428</v>
      </c>
      <c r="V141" t="n">
        <v>5.887831766063428</v>
      </c>
      <c r="W141" t="n">
        <v>14.3920345078997</v>
      </c>
      <c r="X141" t="n">
        <v>3.173172980830325</v>
      </c>
      <c r="Y141" t="n">
        <v>1.741763440860215</v>
      </c>
      <c r="Z141" t="n">
        <v>2.883548387096774</v>
      </c>
      <c r="AA141" t="n">
        <v>8.969843268899318</v>
      </c>
      <c r="AB141" t="n">
        <v>8.564640141727686</v>
      </c>
    </row>
    <row r="142">
      <c r="A142" t="n">
        <v>140</v>
      </c>
      <c r="B142" s="3" t="n">
        <v>46266</v>
      </c>
      <c r="C142" t="inlineStr">
        <is>
          <t>Forecast</t>
        </is>
      </c>
      <c r="E142" t="n">
        <v>30.20514606</v>
      </c>
      <c r="F142" t="n">
        <v>8.069557972</v>
      </c>
      <c r="G142" t="n">
        <v>17.37152715</v>
      </c>
      <c r="H142" t="inlineStr">
        <is>
          <t>STEO</t>
        </is>
      </c>
      <c r="I142" t="n">
        <v>30.07</v>
      </c>
      <c r="J142" t="n">
        <v>29.5</v>
      </c>
      <c r="K142" t="n">
        <v>30.07</v>
      </c>
      <c r="L142" t="n">
        <v>29.5</v>
      </c>
      <c r="M142" t="b">
        <v>1</v>
      </c>
      <c r="N142" t="n">
        <v>-1.394590483732079</v>
      </c>
      <c r="O142" t="n">
        <v>37.44592563326792</v>
      </c>
      <c r="P142" t="n">
        <v>36.96142563326792</v>
      </c>
      <c r="Q142" t="n">
        <v>31.31724698954871</v>
      </c>
      <c r="R142" t="n">
        <v>30.91204386237709</v>
      </c>
      <c r="S142" t="n">
        <v>22.30259448786921</v>
      </c>
      <c r="T142" t="n">
        <v>22.30259448786921</v>
      </c>
      <c r="U142" t="n">
        <v>6.196107924570369</v>
      </c>
      <c r="V142" t="n">
        <v>6.196107924570369</v>
      </c>
      <c r="W142" t="n">
        <v>13.11941362745639</v>
      </c>
      <c r="X142" t="n">
        <v>2.987072935842459</v>
      </c>
      <c r="Y142" t="n">
        <v>2.412133333333333</v>
      </c>
      <c r="Z142" t="n">
        <v>2.104855555555555</v>
      </c>
      <c r="AA142" t="n">
        <v>8.707374723901719</v>
      </c>
      <c r="AB142" t="n">
        <v>8.302171596730094</v>
      </c>
    </row>
    <row r="143">
      <c r="A143" t="n">
        <v>141</v>
      </c>
      <c r="B143" s="3" t="n">
        <v>46296</v>
      </c>
      <c r="C143" t="inlineStr">
        <is>
          <t>Forecast</t>
        </is>
      </c>
      <c r="E143" t="n">
        <v>30.3323421</v>
      </c>
      <c r="F143" t="n">
        <v>8.088273467</v>
      </c>
      <c r="G143" t="n">
        <v>17.4393753</v>
      </c>
      <c r="H143" t="inlineStr">
        <is>
          <t>STEO</t>
        </is>
      </c>
      <c r="I143" t="n">
        <v>32.57</v>
      </c>
      <c r="J143" t="n">
        <v>29.5</v>
      </c>
      <c r="K143" t="n">
        <v>30.3323421</v>
      </c>
      <c r="L143" t="n">
        <v>29.5</v>
      </c>
      <c r="M143" t="b">
        <v>0</v>
      </c>
      <c r="N143" t="n">
        <v>-1.394590483732079</v>
      </c>
      <c r="O143" t="n">
        <v>37.70798635826792</v>
      </c>
      <c r="P143" t="n">
        <v>37.00049557326791</v>
      </c>
      <c r="Q143" t="n">
        <v>31.53641690756494</v>
      </c>
      <c r="R143" t="n">
        <v>30.94471932546564</v>
      </c>
      <c r="S143" t="n">
        <v>20.82763884371415</v>
      </c>
      <c r="T143" t="n">
        <v>20.82763884371415</v>
      </c>
      <c r="U143" t="n">
        <v>6.396777187440787</v>
      </c>
      <c r="V143" t="n">
        <v>6.396777187440787</v>
      </c>
      <c r="W143" t="n">
        <v>11.58150325290887</v>
      </c>
      <c r="X143" t="n">
        <v>2.849358403364498</v>
      </c>
      <c r="Y143" t="n">
        <v>2.523494623655914</v>
      </c>
      <c r="Z143" t="n">
        <v>1.056784946236559</v>
      </c>
      <c r="AA143" t="n">
        <v>9.242068386431434</v>
      </c>
      <c r="AB143" t="n">
        <v>8.650370804332134</v>
      </c>
    </row>
    <row r="144">
      <c r="A144" t="n">
        <v>142</v>
      </c>
      <c r="B144" s="3" t="n">
        <v>46327</v>
      </c>
      <c r="C144" t="inlineStr">
        <is>
          <t>Forecast</t>
        </is>
      </c>
      <c r="E144" t="n">
        <v>30.45355609</v>
      </c>
      <c r="F144" t="n">
        <v>8.116497249</v>
      </c>
      <c r="G144" t="n">
        <v>17.44898832</v>
      </c>
      <c r="H144" t="inlineStr">
        <is>
          <t>STEO</t>
        </is>
      </c>
      <c r="I144" t="n">
        <v>32.57</v>
      </c>
      <c r="J144" t="n">
        <v>29.5</v>
      </c>
      <c r="K144" t="n">
        <v>30.45355609</v>
      </c>
      <c r="L144" t="n">
        <v>29.5</v>
      </c>
      <c r="M144" t="b">
        <v>0</v>
      </c>
      <c r="N144" t="n">
        <v>-1.394590483732079</v>
      </c>
      <c r="O144" t="n">
        <v>37.84212593776792</v>
      </c>
      <c r="P144" t="n">
        <v>37.03160326126792</v>
      </c>
      <c r="Q144" t="n">
        <v>31.64860220599815</v>
      </c>
      <c r="R144" t="n">
        <v>30.97073569792525</v>
      </c>
      <c r="S144" t="n">
        <v>20.84468312107043</v>
      </c>
      <c r="T144" t="n">
        <v>20.84468312107043</v>
      </c>
      <c r="U144" t="n">
        <v>6.56437371390203</v>
      </c>
      <c r="V144" t="n">
        <v>6.56437371390203</v>
      </c>
      <c r="W144" t="n">
        <v>11.49535890083606</v>
      </c>
      <c r="X144" t="n">
        <v>2.784950506332339</v>
      </c>
      <c r="Y144" t="n">
        <v>1.881788888888889</v>
      </c>
      <c r="Z144" t="n">
        <v>1.287677777777778</v>
      </c>
      <c r="AA144" t="n">
        <v>10.20980797381661</v>
      </c>
      <c r="AB144" t="n">
        <v>9.531941465743714</v>
      </c>
    </row>
    <row r="145">
      <c r="A145" t="n">
        <v>143</v>
      </c>
      <c r="B145" s="3" t="n">
        <v>46357</v>
      </c>
      <c r="C145" t="inlineStr">
        <is>
          <t>Forecast</t>
        </is>
      </c>
      <c r="E145" t="n">
        <v>30.58209654</v>
      </c>
      <c r="F145" t="n">
        <v>8.146667548</v>
      </c>
      <c r="G145" t="n">
        <v>17.67545295</v>
      </c>
      <c r="H145" t="inlineStr">
        <is>
          <t>STEO</t>
        </is>
      </c>
      <c r="I145" t="n">
        <v>34.07</v>
      </c>
      <c r="J145" t="n">
        <v>29.5</v>
      </c>
      <c r="K145" t="n">
        <v>30.58209654</v>
      </c>
      <c r="L145" t="n">
        <v>29.5</v>
      </c>
      <c r="M145" t="b">
        <v>0</v>
      </c>
      <c r="N145" t="n">
        <v>-1.394590483732079</v>
      </c>
      <c r="O145" t="n">
        <v>38.04949500826792</v>
      </c>
      <c r="P145" t="n">
        <v>37.12971294926792</v>
      </c>
      <c r="Q145" t="n">
        <v>31.82203171238674</v>
      </c>
      <c r="R145" t="n">
        <v>31.05278802482604</v>
      </c>
      <c r="S145" t="n">
        <v>21.4729864816125</v>
      </c>
      <c r="T145" t="n">
        <v>21.33571480450669</v>
      </c>
      <c r="U145" t="n">
        <v>6.644037038101145</v>
      </c>
      <c r="V145" t="n">
        <v>6.506765360995336</v>
      </c>
      <c r="W145" t="n">
        <v>12.17083409287468</v>
      </c>
      <c r="X145" t="n">
        <v>2.658115350636673</v>
      </c>
      <c r="Y145" t="n">
        <v>1.379204301075269</v>
      </c>
      <c r="Z145" t="n">
        <v>2.158774193548387</v>
      </c>
      <c r="AA145" t="n">
        <v>11.12861512324736</v>
      </c>
      <c r="AB145" t="n">
        <v>10.49664311279248</v>
      </c>
    </row>
    <row r="146">
      <c r="A146" t="n">
        <v>144</v>
      </c>
      <c r="B146" s="3" t="n">
        <v>46388</v>
      </c>
      <c r="C146" t="inlineStr">
        <is>
          <t>Forecast</t>
        </is>
      </c>
      <c r="E146" t="n">
        <v>30.15172012</v>
      </c>
      <c r="F146" t="n">
        <v>8.010079405000001</v>
      </c>
      <c r="G146" t="n">
        <v>17.44807592</v>
      </c>
      <c r="H146" t="inlineStr">
        <is>
          <t>STEO</t>
        </is>
      </c>
      <c r="I146" t="n">
        <v>34.07</v>
      </c>
      <c r="J146" t="n">
        <v>30.07</v>
      </c>
      <c r="K146" t="n">
        <v>30.15172012</v>
      </c>
      <c r="L146" t="n">
        <v>30.07</v>
      </c>
      <c r="M146" t="b">
        <v>0</v>
      </c>
      <c r="N146" t="n">
        <v>-1.394590483732079</v>
      </c>
      <c r="O146" t="n">
        <v>37.47887379926792</v>
      </c>
      <c r="P146" t="n">
        <v>37.40941169726792</v>
      </c>
      <c r="Q146" t="n">
        <v>31.34480261369272</v>
      </c>
      <c r="R146" t="n">
        <v>31.28670919583861</v>
      </c>
      <c r="S146" t="n">
        <v>23.34091520087379</v>
      </c>
      <c r="T146" t="n">
        <v>23.15388205478558</v>
      </c>
      <c r="U146" t="n">
        <v>6.474365214734833</v>
      </c>
      <c r="V146" t="n">
        <v>6.287332068646612</v>
      </c>
      <c r="W146" t="n">
        <v>13.93823494344936</v>
      </c>
      <c r="X146" t="n">
        <v>2.928315042689603</v>
      </c>
      <c r="Y146" t="n">
        <v>0.9953118279569892</v>
      </c>
      <c r="Z146" t="n">
        <v>4.435344086021505</v>
      </c>
      <c r="AA146" t="n">
        <v>11.44391967088344</v>
      </c>
      <c r="AB146" t="n">
        <v>11.57285939911755</v>
      </c>
    </row>
    <row r="147">
      <c r="A147" t="n">
        <v>145</v>
      </c>
      <c r="B147" s="3" t="n">
        <v>46419</v>
      </c>
      <c r="C147" t="inlineStr">
        <is>
          <t>Forecast</t>
        </is>
      </c>
      <c r="E147" t="n">
        <v>30.97206464</v>
      </c>
      <c r="F147" t="n">
        <v>8.204943993000001</v>
      </c>
      <c r="G147" t="n">
        <v>17.68244323</v>
      </c>
      <c r="H147" t="inlineStr">
        <is>
          <t>STEO</t>
        </is>
      </c>
      <c r="I147" t="n">
        <v>34.07</v>
      </c>
      <c r="J147" t="n">
        <v>30.07</v>
      </c>
      <c r="K147" t="n">
        <v>30.97206464</v>
      </c>
      <c r="L147" t="n">
        <v>30.07</v>
      </c>
      <c r="M147" t="b">
        <v>0</v>
      </c>
      <c r="N147" t="n">
        <v>-1.394590483732079</v>
      </c>
      <c r="O147" t="n">
        <v>38.44134142226792</v>
      </c>
      <c r="P147" t="n">
        <v>37.67458647826792</v>
      </c>
      <c r="Q147" t="n">
        <v>32.14974562843171</v>
      </c>
      <c r="R147" t="n">
        <v>31.50848350029321</v>
      </c>
      <c r="S147" t="n">
        <v>21.48738895178294</v>
      </c>
      <c r="T147" t="n">
        <v>21.24909140762573</v>
      </c>
      <c r="U147" t="n">
        <v>6.457224532049643</v>
      </c>
      <c r="V147" t="n">
        <v>6.218926987892429</v>
      </c>
      <c r="W147" t="n">
        <v>12.15140289054551</v>
      </c>
      <c r="X147" t="n">
        <v>2.878761529187784</v>
      </c>
      <c r="Y147" t="n">
        <v>1.637940886699507</v>
      </c>
      <c r="Z147" t="n">
        <v>2.852903530377668</v>
      </c>
      <c r="AA147" t="n">
        <v>11.87731932032693</v>
      </c>
      <c r="AB147" t="n">
        <v>11.47435473634564</v>
      </c>
    </row>
    <row r="148">
      <c r="A148" t="n">
        <v>146</v>
      </c>
      <c r="B148" s="3" t="n">
        <v>46447</v>
      </c>
      <c r="C148" t="inlineStr">
        <is>
          <t>Forecast</t>
        </is>
      </c>
      <c r="E148" t="n">
        <v>31.17923163</v>
      </c>
      <c r="F148" t="n">
        <v>8.237736571999999</v>
      </c>
      <c r="G148" t="n">
        <v>17.68987194</v>
      </c>
      <c r="H148" t="inlineStr">
        <is>
          <t>STEO</t>
        </is>
      </c>
      <c r="I148" t="n">
        <v>34.07</v>
      </c>
      <c r="J148" t="n">
        <v>30.07</v>
      </c>
      <c r="K148" t="n">
        <v>31.17923163</v>
      </c>
      <c r="L148" t="n">
        <v>30.07</v>
      </c>
      <c r="M148" t="b">
        <v>0</v>
      </c>
      <c r="N148" t="n">
        <v>-1.394590483732079</v>
      </c>
      <c r="O148" t="n">
        <v>38.65245455576792</v>
      </c>
      <c r="P148" t="n">
        <v>37.70960767026792</v>
      </c>
      <c r="Q148" t="n">
        <v>32.3263064166282</v>
      </c>
      <c r="R148" t="n">
        <v>31.53777286358666</v>
      </c>
      <c r="S148" t="n">
        <v>20.06476446996231</v>
      </c>
      <c r="T148" t="n">
        <v>19.6455498792352</v>
      </c>
      <c r="U148" t="n">
        <v>6.475045955188901</v>
      </c>
      <c r="V148" t="n">
        <v>6.055831364461786</v>
      </c>
      <c r="W148" t="n">
        <v>10.8156299117229</v>
      </c>
      <c r="X148" t="n">
        <v>2.774088603050508</v>
      </c>
      <c r="Y148" t="n">
        <v>2.392172043010753</v>
      </c>
      <c r="Z148" t="n">
        <v>1.187268817204301</v>
      </c>
      <c r="AA148" t="n">
        <v>11.05663872085943</v>
      </c>
      <c r="AB148" t="n">
        <v>10.68731975854501</v>
      </c>
    </row>
    <row r="149">
      <c r="A149" t="n">
        <v>147</v>
      </c>
      <c r="B149" s="3" t="n">
        <v>46478</v>
      </c>
      <c r="C149" t="inlineStr">
        <is>
          <t>Forecast</t>
        </is>
      </c>
      <c r="E149" t="n">
        <v>31.40202298</v>
      </c>
      <c r="F149" t="n">
        <v>8.267576801000001</v>
      </c>
      <c r="G149" t="n">
        <v>17.70095648</v>
      </c>
      <c r="H149" t="inlineStr">
        <is>
          <t>STEO</t>
        </is>
      </c>
      <c r="I149" t="n">
        <v>34.07</v>
      </c>
      <c r="J149" t="n">
        <v>32.57</v>
      </c>
      <c r="K149" t="n">
        <v>31.40202298</v>
      </c>
      <c r="L149" t="n">
        <v>31.40202298</v>
      </c>
      <c r="M149" t="b">
        <v>0</v>
      </c>
      <c r="N149" t="n">
        <v>-1.394590483732079</v>
      </c>
      <c r="O149" t="n">
        <v>38.87499279426792</v>
      </c>
      <c r="P149" t="n">
        <v>38.87499279426792</v>
      </c>
      <c r="Q149" t="n">
        <v>32.51242239218128</v>
      </c>
      <c r="R149" t="n">
        <v>32.51242239218128</v>
      </c>
      <c r="S149" t="n">
        <v>20.48836647660756</v>
      </c>
      <c r="T149" t="n">
        <v>19.82701053143239</v>
      </c>
      <c r="U149" t="n">
        <v>6.537792984935101</v>
      </c>
      <c r="V149" t="n">
        <v>5.876437039759936</v>
      </c>
      <c r="W149" t="n">
        <v>10.96390746219148</v>
      </c>
      <c r="X149" t="n">
        <v>2.986666029480982</v>
      </c>
      <c r="Y149" t="n">
        <v>2.271922222222222</v>
      </c>
      <c r="Z149" t="n">
        <v>1.159666666666667</v>
      </c>
      <c r="AA149" t="n">
        <v>10.91180036001816</v>
      </c>
      <c r="AB149" t="n">
        <v>11.57315630519333</v>
      </c>
    </row>
    <row r="150">
      <c r="A150" t="n">
        <v>148</v>
      </c>
      <c r="B150" s="3" t="n">
        <v>46508</v>
      </c>
      <c r="C150" t="inlineStr">
        <is>
          <t>Forecast</t>
        </is>
      </c>
      <c r="E150" t="n">
        <v>31.64563043</v>
      </c>
      <c r="F150" t="n">
        <v>8.299952638000001</v>
      </c>
      <c r="G150" t="n">
        <v>17.71517373</v>
      </c>
      <c r="H150" t="inlineStr">
        <is>
          <t>STEO</t>
        </is>
      </c>
      <c r="I150" t="n">
        <v>34.07</v>
      </c>
      <c r="J150" t="n">
        <v>32.57</v>
      </c>
      <c r="K150" t="n">
        <v>31.64563043</v>
      </c>
      <c r="L150" t="n">
        <v>31.64563043</v>
      </c>
      <c r="M150" t="b">
        <v>0</v>
      </c>
      <c r="N150" t="n">
        <v>-1.394590483732079</v>
      </c>
      <c r="O150" t="n">
        <v>39.11870013876791</v>
      </c>
      <c r="P150" t="n">
        <v>39.11870013876791</v>
      </c>
      <c r="Q150" t="n">
        <v>32.71624278042914</v>
      </c>
      <c r="R150" t="n">
        <v>32.71624278042914</v>
      </c>
      <c r="S150" t="n">
        <v>22.20657625790102</v>
      </c>
      <c r="T150" t="n">
        <v>21.30114406506741</v>
      </c>
      <c r="U150" t="n">
        <v>6.990937874296153</v>
      </c>
      <c r="V150" t="n">
        <v>6.085505681462548</v>
      </c>
      <c r="W150" t="n">
        <v>11.96950661793565</v>
      </c>
      <c r="X150" t="n">
        <v>3.246131765669215</v>
      </c>
      <c r="Y150" t="n">
        <v>2.179247311827957</v>
      </c>
      <c r="Z150" t="n">
        <v>1.123032258064516</v>
      </c>
      <c r="AA150" t="n">
        <v>9.453451468764687</v>
      </c>
      <c r="AB150" t="n">
        <v>10.35888366159829</v>
      </c>
    </row>
    <row r="151">
      <c r="A151" t="n">
        <v>149</v>
      </c>
      <c r="B151" s="3" t="n">
        <v>46539</v>
      </c>
      <c r="C151" t="inlineStr">
        <is>
          <t>Forecast</t>
        </is>
      </c>
      <c r="E151" t="n">
        <v>31.90672896</v>
      </c>
      <c r="F151" t="n">
        <v>8.333953709999999</v>
      </c>
      <c r="G151" t="n">
        <v>17.73200248</v>
      </c>
      <c r="H151" t="inlineStr">
        <is>
          <t>STEO</t>
        </is>
      </c>
      <c r="I151" t="n">
        <v>34.07</v>
      </c>
      <c r="J151" t="n">
        <v>34.07</v>
      </c>
      <c r="K151" t="n">
        <v>31.90672896</v>
      </c>
      <c r="L151" t="n">
        <v>31.90672896</v>
      </c>
      <c r="M151" t="b">
        <v>0</v>
      </c>
      <c r="N151" t="n">
        <v>-1.394590483732079</v>
      </c>
      <c r="O151" t="n">
        <v>39.37968358626792</v>
      </c>
      <c r="P151" t="n">
        <v>39.37968358626792</v>
      </c>
      <c r="Q151" t="n">
        <v>32.93451173619186</v>
      </c>
      <c r="R151" t="n">
        <v>32.93451173619186</v>
      </c>
      <c r="S151" t="n">
        <v>23.41459432416992</v>
      </c>
      <c r="T151" t="n">
        <v>22.40055667556004</v>
      </c>
      <c r="U151" t="n">
        <v>7.317293769208743</v>
      </c>
      <c r="V151" t="n">
        <v>6.30325612059886</v>
      </c>
      <c r="W151" t="n">
        <v>12.91413693343793</v>
      </c>
      <c r="X151" t="n">
        <v>3.183163621523247</v>
      </c>
      <c r="Y151" t="n">
        <v>1.835466666666667</v>
      </c>
      <c r="Z151" t="n">
        <v>1.149211111111111</v>
      </c>
      <c r="AA151" t="n">
        <v>8.833661856466387</v>
      </c>
      <c r="AB151" t="n">
        <v>9.847699505076269</v>
      </c>
    </row>
    <row r="152">
      <c r="A152" t="n">
        <v>150</v>
      </c>
      <c r="B152" s="3" t="n">
        <v>46569</v>
      </c>
      <c r="C152" t="inlineStr">
        <is>
          <t>Forecast</t>
        </is>
      </c>
      <c r="E152" t="n">
        <v>32.17844338</v>
      </c>
      <c r="F152" t="n">
        <v>8.368528754</v>
      </c>
      <c r="G152" t="n">
        <v>17.7630956</v>
      </c>
      <c r="H152" t="inlineStr">
        <is>
          <t>STEO</t>
        </is>
      </c>
      <c r="I152" t="n">
        <v>34.77</v>
      </c>
      <c r="J152" t="n">
        <v>34.07</v>
      </c>
      <c r="K152" t="n">
        <v>32.17844338</v>
      </c>
      <c r="L152" t="n">
        <v>32.17844338</v>
      </c>
      <c r="M152" t="b">
        <v>0</v>
      </c>
      <c r="N152" t="n">
        <v>-1.394590483732079</v>
      </c>
      <c r="O152" t="n">
        <v>39.65454382326791</v>
      </c>
      <c r="P152" t="n">
        <v>39.65454382326791</v>
      </c>
      <c r="Q152" t="n">
        <v>33.16438630289471</v>
      </c>
      <c r="R152" t="n">
        <v>33.16438630289471</v>
      </c>
      <c r="S152" t="n">
        <v>23.99088188106487</v>
      </c>
      <c r="T152" t="n">
        <v>22.71232485921361</v>
      </c>
      <c r="U152" t="n">
        <v>7.490755317494782</v>
      </c>
      <c r="V152" t="n">
        <v>6.212198295643518</v>
      </c>
      <c r="W152" t="n">
        <v>13.46244173917473</v>
      </c>
      <c r="X152" t="n">
        <v>3.037684824395354</v>
      </c>
      <c r="Y152" t="n">
        <v>1.445075268817204</v>
      </c>
      <c r="Z152" t="n">
        <v>1.521387096774194</v>
      </c>
      <c r="AA152" t="n">
        <v>9.24981624978683</v>
      </c>
      <c r="AB152" t="n">
        <v>10.52837327163809</v>
      </c>
    </row>
    <row r="153">
      <c r="A153" t="n">
        <v>151</v>
      </c>
      <c r="B153" s="3" t="n">
        <v>46600</v>
      </c>
      <c r="C153" t="inlineStr">
        <is>
          <t>Forecast</t>
        </is>
      </c>
      <c r="E153" t="n">
        <v>32.45100548</v>
      </c>
      <c r="F153" t="n">
        <v>8.403173149000001</v>
      </c>
      <c r="G153" t="n">
        <v>17.8080678</v>
      </c>
      <c r="H153" t="inlineStr">
        <is>
          <t>STEO</t>
        </is>
      </c>
      <c r="I153" t="n">
        <v>34.77</v>
      </c>
      <c r="J153" t="n">
        <v>34.07</v>
      </c>
      <c r="K153" t="n">
        <v>32.45100548</v>
      </c>
      <c r="L153" t="n">
        <v>32.45100548</v>
      </c>
      <c r="M153" t="b">
        <v>0</v>
      </c>
      <c r="N153" t="n">
        <v>-1.394590483732079</v>
      </c>
      <c r="O153" t="n">
        <v>39.93435766326792</v>
      </c>
      <c r="P153" t="n">
        <v>39.93435766326792</v>
      </c>
      <c r="Q153" t="n">
        <v>33.39840372909472</v>
      </c>
      <c r="R153" t="n">
        <v>33.39840372909472</v>
      </c>
      <c r="S153" t="n">
        <v>25.49232910905791</v>
      </c>
      <c r="T153" t="n">
        <v>23.95421116076058</v>
      </c>
      <c r="U153" t="n">
        <v>7.99559592769987</v>
      </c>
      <c r="V153" t="n">
        <v>6.457477979402537</v>
      </c>
      <c r="W153" t="n">
        <v>14.38783147585625</v>
      </c>
      <c r="X153" t="n">
        <v>3.108901705501789</v>
      </c>
      <c r="Y153" t="n">
        <v>1.741763440860215</v>
      </c>
      <c r="Z153" t="n">
        <v>2.883548387096774</v>
      </c>
      <c r="AA153" t="n">
        <v>9.047859566273367</v>
      </c>
      <c r="AB153" t="n">
        <v>10.5859775145707</v>
      </c>
    </row>
    <row r="154">
      <c r="A154" t="n">
        <v>152</v>
      </c>
      <c r="B154" s="3" t="n">
        <v>46631</v>
      </c>
      <c r="C154" t="inlineStr">
        <is>
          <t>Forecast</t>
        </is>
      </c>
      <c r="E154" t="n">
        <v>32.72272298</v>
      </c>
      <c r="F154" t="n">
        <v>8.437063704</v>
      </c>
      <c r="G154" t="n">
        <v>17.85227567</v>
      </c>
      <c r="H154" t="inlineStr">
        <is>
          <t>STEO</t>
        </is>
      </c>
      <c r="I154" t="n">
        <v>34.77</v>
      </c>
      <c r="J154" t="n">
        <v>34.07</v>
      </c>
      <c r="K154" t="n">
        <v>32.72272298</v>
      </c>
      <c r="L154" t="n">
        <v>32.72272298</v>
      </c>
      <c r="M154" t="b">
        <v>0</v>
      </c>
      <c r="N154" t="n">
        <v>-1.394590483732079</v>
      </c>
      <c r="O154" t="n">
        <v>40.21247045426792</v>
      </c>
      <c r="P154" t="n">
        <v>40.21247045426792</v>
      </c>
      <c r="Q154" t="n">
        <v>33.63099851262336</v>
      </c>
      <c r="R154" t="n">
        <v>33.63099851262336</v>
      </c>
      <c r="S154" t="n">
        <v>24.74168621379178</v>
      </c>
      <c r="T154" t="n">
        <v>23.03717060583746</v>
      </c>
      <c r="U154" t="n">
        <v>8.695339501376306</v>
      </c>
      <c r="V154" t="n">
        <v>6.990823893421982</v>
      </c>
      <c r="W154" t="n">
        <v>13.11977567427785</v>
      </c>
      <c r="X154" t="n">
        <v>2.926571038137622</v>
      </c>
      <c r="Y154" t="n">
        <v>2.412133333333333</v>
      </c>
      <c r="Z154" t="n">
        <v>2.104855555555555</v>
      </c>
      <c r="AA154" t="n">
        <v>8.582034521053803</v>
      </c>
      <c r="AB154" t="n">
        <v>10.28655012900813</v>
      </c>
    </row>
    <row r="155">
      <c r="A155" t="n">
        <v>153</v>
      </c>
      <c r="B155" s="3" t="n">
        <v>46661</v>
      </c>
      <c r="C155" t="inlineStr">
        <is>
          <t>Forecast</t>
        </is>
      </c>
      <c r="E155" t="n">
        <v>32.98902567</v>
      </c>
      <c r="F155" t="n">
        <v>8.474461458</v>
      </c>
      <c r="G155" t="n">
        <v>17.9030494</v>
      </c>
      <c r="H155" t="inlineStr">
        <is>
          <t>STEO</t>
        </is>
      </c>
      <c r="I155" t="n">
        <v>36.52</v>
      </c>
      <c r="J155" t="n">
        <v>34.07</v>
      </c>
      <c r="K155" t="n">
        <v>32.98902567</v>
      </c>
      <c r="L155" t="n">
        <v>32.98902567</v>
      </c>
      <c r="M155" t="b">
        <v>0</v>
      </c>
      <c r="N155" t="n">
        <v>-1.394590483732079</v>
      </c>
      <c r="O155" t="n">
        <v>40.49145761376792</v>
      </c>
      <c r="P155" t="n">
        <v>40.49145761376792</v>
      </c>
      <c r="Q155" t="n">
        <v>33.86432455900134</v>
      </c>
      <c r="R155" t="n">
        <v>33.86432455900134</v>
      </c>
      <c r="S155" t="n">
        <v>23.77200340186956</v>
      </c>
      <c r="T155" t="n">
        <v>21.87555155802234</v>
      </c>
      <c r="U155" t="n">
        <v>9.396864497151917</v>
      </c>
      <c r="V155" t="n">
        <v>7.500412653304695</v>
      </c>
      <c r="W155" t="n">
        <v>11.58349304950563</v>
      </c>
      <c r="X155" t="n">
        <v>2.791645855212018</v>
      </c>
      <c r="Y155" t="n">
        <v>2.523494623655914</v>
      </c>
      <c r="Z155" t="n">
        <v>1.056784946236559</v>
      </c>
      <c r="AA155" t="n">
        <v>8.625611479712425</v>
      </c>
      <c r="AB155" t="n">
        <v>10.52206332355965</v>
      </c>
    </row>
    <row r="156">
      <c r="A156" t="n">
        <v>154</v>
      </c>
      <c r="B156" s="3" t="n">
        <v>46692</v>
      </c>
      <c r="C156" t="inlineStr">
        <is>
          <t>Forecast</t>
        </is>
      </c>
      <c r="E156" t="n">
        <v>33.24473096</v>
      </c>
      <c r="F156" t="n">
        <v>8.514070868999999</v>
      </c>
      <c r="G156" t="n">
        <v>17.96035389</v>
      </c>
      <c r="H156" t="inlineStr">
        <is>
          <t>STEO</t>
        </is>
      </c>
      <c r="I156" t="n">
        <v>36.52</v>
      </c>
      <c r="J156" t="n">
        <v>34.07</v>
      </c>
      <c r="K156" t="n">
        <v>33.24473096</v>
      </c>
      <c r="L156" t="n">
        <v>33.24473096</v>
      </c>
      <c r="M156" t="b">
        <v>0</v>
      </c>
      <c r="N156" t="n">
        <v>-1.394590483732079</v>
      </c>
      <c r="O156" t="n">
        <v>40.76560786826791</v>
      </c>
      <c r="P156" t="n">
        <v>40.76560786826791</v>
      </c>
      <c r="Q156" t="n">
        <v>34.0936053442197</v>
      </c>
      <c r="R156" t="n">
        <v>34.0936053442197</v>
      </c>
      <c r="S156" t="n">
        <v>24.24710401605615</v>
      </c>
      <c r="T156" t="n">
        <v>22.16197104875488</v>
      </c>
      <c r="U156" t="n">
        <v>10.02482796884667</v>
      </c>
      <c r="V156" t="n">
        <v>7.939695001545404</v>
      </c>
      <c r="W156" t="n">
        <v>11.49373353434303</v>
      </c>
      <c r="X156" t="n">
        <v>2.728542512866443</v>
      </c>
      <c r="Y156" t="n">
        <v>1.881788888888889</v>
      </c>
      <c r="Z156" t="n">
        <v>1.287677777777778</v>
      </c>
      <c r="AA156" t="n">
        <v>9.252390217052451</v>
      </c>
      <c r="AB156" t="n">
        <v>11.33752318435372</v>
      </c>
    </row>
    <row r="157">
      <c r="A157" t="n">
        <v>155</v>
      </c>
      <c r="B157" s="3" t="n">
        <v>46722</v>
      </c>
      <c r="C157" t="inlineStr">
        <is>
          <t>Forecast</t>
        </is>
      </c>
      <c r="E157" t="n">
        <v>33.49180042</v>
      </c>
      <c r="F157" t="n">
        <v>8.550476557</v>
      </c>
      <c r="G157" t="n">
        <v>18.01557547</v>
      </c>
      <c r="H157" t="inlineStr">
        <is>
          <t>STEO</t>
        </is>
      </c>
      <c r="I157" t="n">
        <v>36.52</v>
      </c>
      <c r="J157" t="n">
        <v>34.07</v>
      </c>
      <c r="K157" t="n">
        <v>33.49180042</v>
      </c>
      <c r="L157" t="n">
        <v>33.49180042</v>
      </c>
      <c r="M157" t="b">
        <v>0</v>
      </c>
      <c r="N157" t="n">
        <v>-1.394590483732079</v>
      </c>
      <c r="O157" t="n">
        <v>41.02858907126792</v>
      </c>
      <c r="P157" t="n">
        <v>41.02858907126792</v>
      </c>
      <c r="Q157" t="n">
        <v>34.31354508796161</v>
      </c>
      <c r="R157" t="n">
        <v>34.31354508796161</v>
      </c>
      <c r="S157" t="n">
        <v>24.94187013076359</v>
      </c>
      <c r="T157" t="n">
        <v>22.83715677015988</v>
      </c>
      <c r="U157" t="n">
        <v>10.18260905034924</v>
      </c>
      <c r="V157" t="n">
        <v>8.077895689745533</v>
      </c>
      <c r="W157" t="n">
        <v>12.15498473086204</v>
      </c>
      <c r="X157" t="n">
        <v>2.604276349552315</v>
      </c>
      <c r="Y157" t="n">
        <v>1.379204301075269</v>
      </c>
      <c r="Z157" t="n">
        <v>2.158774193548387</v>
      </c>
      <c r="AA157" t="n">
        <v>10.15124484967114</v>
      </c>
      <c r="AB157" t="n">
        <v>12.25595821027485</v>
      </c>
    </row>
    <row r="158">
      <c r="A158" t="n">
        <v>156</v>
      </c>
      <c r="B158" s="3" t="n">
        <v>46753</v>
      </c>
      <c r="C158" t="inlineStr">
        <is>
          <t>Forecast</t>
        </is>
      </c>
      <c r="E158" t="n">
        <v>32.70155823083687</v>
      </c>
      <c r="F158" t="n">
        <v>8.406193247661809</v>
      </c>
      <c r="G158" t="n">
        <v>18.42599369989777</v>
      </c>
      <c r="H158" t="inlineStr">
        <is>
          <t>extension of 2027 at STEO 2027/2026 growth</t>
        </is>
      </c>
      <c r="I158" t="n">
        <v>36.52</v>
      </c>
      <c r="J158" t="n">
        <v>34.77</v>
      </c>
      <c r="K158" t="n">
        <v>32.70155823083687</v>
      </c>
      <c r="L158" t="n">
        <v>32.70155823083687</v>
      </c>
      <c r="M158" t="b">
        <v>0</v>
      </c>
      <c r="N158" t="n">
        <v>-1.394590483732079</v>
      </c>
      <c r="O158" t="n">
        <v>40.3357253701104</v>
      </c>
      <c r="P158" t="n">
        <v>40.3357253701104</v>
      </c>
      <c r="Q158" t="n">
        <v>33.73408061239353</v>
      </c>
      <c r="R158" t="n">
        <v>33.73408061239353</v>
      </c>
      <c r="S158" t="n">
        <v>26.69245413612847</v>
      </c>
      <c r="T158" t="n">
        <v>24.89506623817151</v>
      </c>
      <c r="U158" t="n">
        <v>9.933882743400588</v>
      </c>
      <c r="V158" t="n">
        <v>8.136494845443632</v>
      </c>
      <c r="W158" t="n">
        <v>13.88956813149311</v>
      </c>
      <c r="X158" t="n">
        <v>2.869003261234766</v>
      </c>
      <c r="Y158" t="n">
        <v>0.9953118279569892</v>
      </c>
      <c r="Z158" t="n">
        <v>4.435344086021505</v>
      </c>
      <c r="AA158" t="n">
        <v>10.48165873432959</v>
      </c>
      <c r="AB158" t="n">
        <v>12.27904663228654</v>
      </c>
    </row>
    <row r="159">
      <c r="A159" t="n">
        <v>157</v>
      </c>
      <c r="B159" s="3" t="n">
        <v>46784</v>
      </c>
      <c r="C159" t="inlineStr">
        <is>
          <t>Forecast</t>
        </is>
      </c>
      <c r="E159" t="n">
        <v>33.59127676043855</v>
      </c>
      <c r="F159" t="n">
        <v>8.610694264572016</v>
      </c>
      <c r="G159" t="n">
        <v>18.67349666797988</v>
      </c>
      <c r="H159" t="inlineStr">
        <is>
          <t>extension of 2027 at STEO 2027/2026 growth</t>
        </is>
      </c>
      <c r="I159" t="n">
        <v>36.52</v>
      </c>
      <c r="J159" t="n">
        <v>34.77</v>
      </c>
      <c r="K159" t="n">
        <v>33.59127676043855</v>
      </c>
      <c r="L159" t="n">
        <v>33.59127676043855</v>
      </c>
      <c r="M159" t="b">
        <v>0</v>
      </c>
      <c r="N159" t="n">
        <v>-1.394590483732079</v>
      </c>
      <c r="O159" t="n">
        <v>41.37073802760666</v>
      </c>
      <c r="P159" t="n">
        <v>41.37073802760666</v>
      </c>
      <c r="Q159" t="n">
        <v>34.59969540182533</v>
      </c>
      <c r="R159" t="n">
        <v>34.59969540182533</v>
      </c>
      <c r="S159" t="n">
        <v>25.00447480543189</v>
      </c>
      <c r="T159" t="n">
        <v>23.24237528789564</v>
      </c>
      <c r="U159" t="n">
        <v>10.05862295544212</v>
      </c>
      <c r="V159" t="n">
        <v>8.296523437905869</v>
      </c>
      <c r="W159" t="n">
        <v>12.12539841681988</v>
      </c>
      <c r="X159" t="n">
        <v>2.820453433169895</v>
      </c>
      <c r="Y159" t="n">
        <v>1.637940886699507</v>
      </c>
      <c r="Z159" t="n">
        <v>2.852903530377668</v>
      </c>
      <c r="AA159" t="n">
        <v>10.8101832400716</v>
      </c>
      <c r="AB159" t="n">
        <v>12.57228275760785</v>
      </c>
    </row>
    <row r="160">
      <c r="A160" t="n">
        <v>158</v>
      </c>
      <c r="B160" s="3" t="n">
        <v>46813</v>
      </c>
      <c r="C160" t="inlineStr">
        <is>
          <t>Forecast</t>
        </is>
      </c>
      <c r="E160" t="n">
        <v>33.81596322476064</v>
      </c>
      <c r="F160" t="n">
        <v>8.645108499715695</v>
      </c>
      <c r="G160" t="n">
        <v>18.68134173721765</v>
      </c>
      <c r="H160" t="inlineStr">
        <is>
          <t>extension of 2027 at STEO 2027/2026 growth</t>
        </is>
      </c>
      <c r="I160" t="n">
        <v>36.52</v>
      </c>
      <c r="J160" t="n">
        <v>34.77</v>
      </c>
      <c r="K160" t="n">
        <v>33.81596322476064</v>
      </c>
      <c r="L160" t="n">
        <v>33.81596322476064</v>
      </c>
      <c r="M160" t="b">
        <v>0</v>
      </c>
      <c r="N160" t="n">
        <v>-1.394590483732079</v>
      </c>
      <c r="O160" t="n">
        <v>41.59848927819546</v>
      </c>
      <c r="P160" t="n">
        <v>41.59848927819546</v>
      </c>
      <c r="Q160" t="n">
        <v>34.79017118914386</v>
      </c>
      <c r="R160" t="n">
        <v>34.79017118914386</v>
      </c>
      <c r="S160" t="n">
        <v>23.50755763874108</v>
      </c>
      <c r="T160" t="n">
        <v>21.85209755961188</v>
      </c>
      <c r="U160" t="n">
        <v>9.974197376981069</v>
      </c>
      <c r="V160" t="n">
        <v>8.318737297851872</v>
      </c>
      <c r="W160" t="n">
        <v>10.81545964892293</v>
      </c>
      <c r="X160" t="n">
        <v>2.717900612837079</v>
      </c>
      <c r="Y160" t="n">
        <v>2.392172043010753</v>
      </c>
      <c r="Z160" t="n">
        <v>1.187268817204301</v>
      </c>
      <c r="AA160" t="n">
        <v>10.07771032459633</v>
      </c>
      <c r="AB160" t="n">
        <v>11.73317040372553</v>
      </c>
    </row>
    <row r="161">
      <c r="A161" t="n">
        <v>159</v>
      </c>
      <c r="B161" s="3" t="n">
        <v>46844</v>
      </c>
      <c r="C161" t="inlineStr">
        <is>
          <t>Forecast</t>
        </is>
      </c>
      <c r="E161" t="n">
        <v>34.05759535308884</v>
      </c>
      <c r="F161" t="n">
        <v>8.676424385469824</v>
      </c>
      <c r="G161" t="n">
        <v>18.69304753590529</v>
      </c>
      <c r="H161" t="inlineStr">
        <is>
          <t>extension of 2027 at STEO 2027/2026 growth</t>
        </is>
      </c>
      <c r="I161" t="n">
        <v>36.52</v>
      </c>
      <c r="J161" t="n">
        <v>36.52</v>
      </c>
      <c r="K161" t="n">
        <v>34.05759535308884</v>
      </c>
      <c r="L161" t="n">
        <v>34.05759535308884</v>
      </c>
      <c r="M161" t="b">
        <v>0</v>
      </c>
      <c r="N161" t="n">
        <v>-1.394590483732079</v>
      </c>
      <c r="O161" t="n">
        <v>41.83870421263484</v>
      </c>
      <c r="P161" t="n">
        <v>41.83870421263484</v>
      </c>
      <c r="Q161" t="n">
        <v>34.99107076113182</v>
      </c>
      <c r="R161" t="n">
        <v>34.99107076113182</v>
      </c>
      <c r="S161" t="n">
        <v>23.7453916488037</v>
      </c>
      <c r="T161" t="n">
        <v>22.31538468630129</v>
      </c>
      <c r="U161" t="n">
        <v>9.851180955530085</v>
      </c>
      <c r="V161" t="n">
        <v>8.421173993027676</v>
      </c>
      <c r="W161" t="n">
        <v>10.96803831978139</v>
      </c>
      <c r="X161" t="n">
        <v>2.926172373492228</v>
      </c>
      <c r="Y161" t="n">
        <v>2.271922222222222</v>
      </c>
      <c r="Z161" t="n">
        <v>1.159666666666667</v>
      </c>
      <c r="AA161" t="n">
        <v>10.13342355677256</v>
      </c>
      <c r="AB161" t="n">
        <v>11.56343051927497</v>
      </c>
    </row>
    <row r="162">
      <c r="A162" t="n">
        <v>160</v>
      </c>
      <c r="B162" s="3" t="n">
        <v>46874</v>
      </c>
      <c r="C162" t="inlineStr">
        <is>
          <t>Forecast</t>
        </is>
      </c>
      <c r="E162" t="n">
        <v>34.32180393488569</v>
      </c>
      <c r="F162" t="n">
        <v>8.710401269919549</v>
      </c>
      <c r="G162" t="n">
        <v>18.70806162457221</v>
      </c>
      <c r="H162" t="inlineStr">
        <is>
          <t>extension of 2027 at STEO 2027/2026 growth</t>
        </is>
      </c>
      <c r="I162" t="n">
        <v>36.52</v>
      </c>
      <c r="J162" t="n">
        <v>36.52</v>
      </c>
      <c r="K162" t="n">
        <v>34.32180393488569</v>
      </c>
      <c r="L162" t="n">
        <v>34.32180393488569</v>
      </c>
      <c r="M162" t="b">
        <v>0</v>
      </c>
      <c r="N162" t="n">
        <v>-1.394590483732079</v>
      </c>
      <c r="O162" t="n">
        <v>42.10176261821196</v>
      </c>
      <c r="P162" t="n">
        <v>42.10176261821196</v>
      </c>
      <c r="Q162" t="n">
        <v>35.21107507190299</v>
      </c>
      <c r="R162" t="n">
        <v>35.21107507190299</v>
      </c>
      <c r="S162" t="n">
        <v>25.53156361556788</v>
      </c>
      <c r="T162" t="n">
        <v>24.19104153062932</v>
      </c>
      <c r="U162" t="n">
        <v>10.37861337246806</v>
      </c>
      <c r="V162" t="n">
        <v>9.0380912875295</v>
      </c>
      <c r="W162" t="n">
        <v>11.97256750205814</v>
      </c>
      <c r="X162" t="n">
        <v>3.180382741041683</v>
      </c>
      <c r="Y162" t="n">
        <v>2.179247311827957</v>
      </c>
      <c r="Z162" t="n">
        <v>1.123032258064516</v>
      </c>
      <c r="AA162" t="n">
        <v>8.623296402571668</v>
      </c>
      <c r="AB162" t="n">
        <v>9.963818487510228</v>
      </c>
    </row>
    <row r="163">
      <c r="A163" t="n">
        <v>161</v>
      </c>
      <c r="B163" s="3" t="n">
        <v>46905</v>
      </c>
      <c r="C163" t="inlineStr">
        <is>
          <t>Forecast</t>
        </is>
      </c>
      <c r="E163" t="n">
        <v>34.60498276345001</v>
      </c>
      <c r="F163" t="n">
        <v>8.746083760367926</v>
      </c>
      <c r="G163" t="n">
        <v>18.72583358079815</v>
      </c>
      <c r="H163" t="inlineStr">
        <is>
          <t>extension of 2027 at STEO 2027/2026 growth</t>
        </is>
      </c>
      <c r="I163" t="n">
        <v>36.52</v>
      </c>
      <c r="J163" t="n">
        <v>36.52</v>
      </c>
      <c r="K163" t="n">
        <v>34.60498276345001</v>
      </c>
      <c r="L163" t="n">
        <v>34.60498276345001</v>
      </c>
      <c r="M163" t="b">
        <v>0</v>
      </c>
      <c r="N163" t="n">
        <v>-1.394590483732079</v>
      </c>
      <c r="O163" t="n">
        <v>42.3834786998078</v>
      </c>
      <c r="P163" t="n">
        <v>42.3834786998078</v>
      </c>
      <c r="Q163" t="n">
        <v>35.44668340469384</v>
      </c>
      <c r="R163" t="n">
        <v>35.44668340469384</v>
      </c>
      <c r="S163" t="n">
        <v>26.80789768860724</v>
      </c>
      <c r="T163" t="n">
        <v>25.43444749063577</v>
      </c>
      <c r="U163" t="n">
        <v>10.77479381700417</v>
      </c>
      <c r="V163" t="n">
        <v>9.401343619032692</v>
      </c>
      <c r="W163" t="n">
        <v>12.91441388160595</v>
      </c>
      <c r="X163" t="n">
        <v>3.118689989997125</v>
      </c>
      <c r="Y163" t="n">
        <v>1.835466666666667</v>
      </c>
      <c r="Z163" t="n">
        <v>1.149211111111111</v>
      </c>
      <c r="AA163" t="n">
        <v>7.952530160531046</v>
      </c>
      <c r="AB163" t="n">
        <v>9.325980358502521</v>
      </c>
    </row>
    <row r="164">
      <c r="A164" t="n">
        <v>162</v>
      </c>
      <c r="B164" s="3" t="n">
        <v>46935</v>
      </c>
      <c r="C164" t="inlineStr">
        <is>
          <t>Forecast</t>
        </is>
      </c>
      <c r="E164" t="n">
        <v>34.89967523513736</v>
      </c>
      <c r="F164" t="n">
        <v>8.782368606836362</v>
      </c>
      <c r="G164" t="n">
        <v>18.75866938664041</v>
      </c>
      <c r="H164" t="inlineStr">
        <is>
          <t>extension of 2027 at STEO 2027/2026 growth</t>
        </is>
      </c>
      <c r="I164" t="n">
        <v>39.02</v>
      </c>
      <c r="J164" t="n">
        <v>36.52</v>
      </c>
      <c r="K164" t="n">
        <v>34.89967523513736</v>
      </c>
      <c r="L164" t="n">
        <v>34.89967523513736</v>
      </c>
      <c r="M164" t="b">
        <v>0</v>
      </c>
      <c r="N164" t="n">
        <v>-1.394590483732079</v>
      </c>
      <c r="O164" t="n">
        <v>42.68010288896316</v>
      </c>
      <c r="P164" t="n">
        <v>42.68010288896316</v>
      </c>
      <c r="Q164" t="n">
        <v>35.69475987330169</v>
      </c>
      <c r="R164" t="n">
        <v>35.69475987330169</v>
      </c>
      <c r="S164" t="n">
        <v>27.21743247354184</v>
      </c>
      <c r="T164" t="n">
        <v>25.71667784336208</v>
      </c>
      <c r="U164" t="n">
        <v>10.78008861771616</v>
      </c>
      <c r="V164" t="n">
        <v>9.2793339875364</v>
      </c>
      <c r="W164" t="n">
        <v>13.46118605151069</v>
      </c>
      <c r="X164" t="n">
        <v>2.976157804314986</v>
      </c>
      <c r="Y164" t="n">
        <v>1.445075268817204</v>
      </c>
      <c r="Z164" t="n">
        <v>1.521387096774194</v>
      </c>
      <c r="AA164" t="n">
        <v>8.553639227716838</v>
      </c>
      <c r="AB164" t="n">
        <v>10.0543938578966</v>
      </c>
    </row>
    <row r="165">
      <c r="A165" t="n">
        <v>163</v>
      </c>
      <c r="B165" s="3" t="n">
        <v>46966</v>
      </c>
      <c r="C165" t="inlineStr">
        <is>
          <t>Forecast</t>
        </is>
      </c>
      <c r="E165" t="n">
        <v>35.19528707251168</v>
      </c>
      <c r="F165" t="n">
        <v>8.818726233845222</v>
      </c>
      <c r="G165" t="n">
        <v>18.8061621576296</v>
      </c>
      <c r="H165" t="inlineStr">
        <is>
          <t>extension of 2027 at STEO 2027/2026 growth</t>
        </is>
      </c>
      <c r="I165" t="n">
        <v>39.02</v>
      </c>
      <c r="J165" t="n">
        <v>36.52</v>
      </c>
      <c r="K165" t="n">
        <v>35.19528707251168</v>
      </c>
      <c r="L165" t="n">
        <v>35.19528707251168</v>
      </c>
      <c r="M165" t="b">
        <v>0</v>
      </c>
      <c r="N165" t="n">
        <v>-1.394590483732079</v>
      </c>
      <c r="O165" t="n">
        <v>42.98197840903695</v>
      </c>
      <c r="P165" t="n">
        <v>42.98197840903695</v>
      </c>
      <c r="Q165" t="n">
        <v>35.94722820096002</v>
      </c>
      <c r="R165" t="n">
        <v>35.94722820096002</v>
      </c>
      <c r="S165" t="n">
        <v>28.70559897956784</v>
      </c>
      <c r="T165" t="n">
        <v>27.22662862567631</v>
      </c>
      <c r="U165" t="n">
        <v>11.27506783682496</v>
      </c>
      <c r="V165" t="n">
        <v>9.796097482933424</v>
      </c>
      <c r="W165" t="n">
        <v>14.38459892509781</v>
      </c>
      <c r="X165" t="n">
        <v>3.045932217645071</v>
      </c>
      <c r="Y165" t="n">
        <v>1.741763440860215</v>
      </c>
      <c r="Z165" t="n">
        <v>2.883548387096774</v>
      </c>
      <c r="AA165" t="n">
        <v>8.383414167628736</v>
      </c>
      <c r="AB165" t="n">
        <v>9.862384521520273</v>
      </c>
    </row>
    <row r="166">
      <c r="A166" t="n">
        <v>164</v>
      </c>
      <c r="B166" s="3" t="n">
        <v>46997</v>
      </c>
      <c r="C166" t="inlineStr">
        <is>
          <t>Forecast</t>
        </is>
      </c>
      <c r="E166" t="n">
        <v>35.48998288466514</v>
      </c>
      <c r="F166" t="n">
        <v>8.85429274201525</v>
      </c>
      <c r="G166" t="n">
        <v>18.85284775997571</v>
      </c>
      <c r="H166" t="inlineStr">
        <is>
          <t>extension of 2027 at STEO 2027/2026 growth</t>
        </is>
      </c>
      <c r="I166" t="n">
        <v>39.02</v>
      </c>
      <c r="J166" t="n">
        <v>36.52</v>
      </c>
      <c r="K166" t="n">
        <v>35.48998288466514</v>
      </c>
      <c r="L166" t="n">
        <v>35.48998288466514</v>
      </c>
      <c r="M166" t="b">
        <v>0</v>
      </c>
      <c r="N166" t="n">
        <v>-1.394590483732079</v>
      </c>
      <c r="O166" t="n">
        <v>43.28204203824125</v>
      </c>
      <c r="P166" t="n">
        <v>43.28204203824125</v>
      </c>
      <c r="Q166" t="n">
        <v>36.1981811852821</v>
      </c>
      <c r="R166" t="n">
        <v>36.1981811852821</v>
      </c>
      <c r="S166" t="n">
        <v>28.08290134937022</v>
      </c>
      <c r="T166" t="n">
        <v>26.48478385164805</v>
      </c>
      <c r="U166" t="n">
        <v>12.09451430971443</v>
      </c>
      <c r="V166" t="n">
        <v>10.49639681199225</v>
      </c>
      <c r="W166" t="n">
        <v>13.12109245889915</v>
      </c>
      <c r="X166" t="n">
        <v>2.867294580756643</v>
      </c>
      <c r="Y166" t="n">
        <v>2.412133333333333</v>
      </c>
      <c r="Z166" t="n">
        <v>2.104855555555555</v>
      </c>
      <c r="AA166" t="n">
        <v>7.808002058134097</v>
      </c>
      <c r="AB166" t="n">
        <v>9.406119555856275</v>
      </c>
    </row>
    <row r="167">
      <c r="A167" t="n">
        <v>165</v>
      </c>
      <c r="B167" s="3" t="n">
        <v>47027</v>
      </c>
      <c r="C167" t="inlineStr">
        <is>
          <t>Forecast</t>
        </is>
      </c>
      <c r="E167" t="n">
        <v>35.77880597301316</v>
      </c>
      <c r="F167" t="n">
        <v>8.893539886925733</v>
      </c>
      <c r="G167" t="n">
        <v>18.9064672211352</v>
      </c>
      <c r="H167" t="inlineStr">
        <is>
          <t>extension of 2027 at STEO 2027/2026 growth</t>
        </is>
      </c>
      <c r="I167" t="n">
        <v>39.02</v>
      </c>
      <c r="J167" t="n">
        <v>36.52</v>
      </c>
      <c r="K167" t="n">
        <v>35.77880597301316</v>
      </c>
      <c r="L167" t="n">
        <v>35.77880597301316</v>
      </c>
      <c r="M167" t="b">
        <v>0</v>
      </c>
      <c r="N167" t="n">
        <v>-1.394590483732079</v>
      </c>
      <c r="O167" t="n">
        <v>43.58287464659539</v>
      </c>
      <c r="P167" t="n">
        <v>43.58287464659539</v>
      </c>
      <c r="Q167" t="n">
        <v>36.4497772919081</v>
      </c>
      <c r="R167" t="n">
        <v>36.4497772919081</v>
      </c>
      <c r="S167" t="n">
        <v>27.01388010652383</v>
      </c>
      <c r="T167" t="n">
        <v>25.34956811094043</v>
      </c>
      <c r="U167" t="n">
        <v>12.69228003083021</v>
      </c>
      <c r="V167" t="n">
        <v>11.02796803524681</v>
      </c>
      <c r="W167" t="n">
        <v>11.58649782540451</v>
      </c>
      <c r="X167" t="n">
        <v>2.735102250289116</v>
      </c>
      <c r="Y167" t="n">
        <v>2.523494623655914</v>
      </c>
      <c r="Z167" t="n">
        <v>1.056784946236559</v>
      </c>
      <c r="AA167" t="n">
        <v>7.969187507964914</v>
      </c>
      <c r="AB167" t="n">
        <v>9.633499503548315</v>
      </c>
    </row>
    <row r="168">
      <c r="A168" t="n">
        <v>166</v>
      </c>
      <c r="B168" s="3" t="n">
        <v>47058</v>
      </c>
      <c r="C168" t="inlineStr">
        <is>
          <t>Forecast</t>
        </is>
      </c>
      <c r="E168" t="n">
        <v>36.0561354718805</v>
      </c>
      <c r="F168" t="n">
        <v>8.935108059531391</v>
      </c>
      <c r="G168" t="n">
        <v>18.96698347384737</v>
      </c>
      <c r="H168" t="inlineStr">
        <is>
          <t>extension of 2027 at STEO 2027/2026 growth</t>
        </is>
      </c>
      <c r="I168" t="n">
        <v>39.02</v>
      </c>
      <c r="J168" t="n">
        <v>36.52</v>
      </c>
      <c r="K168" t="n">
        <v>36.0561354718805</v>
      </c>
      <c r="L168" t="n">
        <v>36.0561354718805</v>
      </c>
      <c r="M168" t="b">
        <v>0</v>
      </c>
      <c r="N168" t="n">
        <v>-1.394590483732079</v>
      </c>
      <c r="O168" t="n">
        <v>43.87832776905194</v>
      </c>
      <c r="P168" t="n">
        <v>43.87832776905194</v>
      </c>
      <c r="Q168" t="n">
        <v>36.69687435930132</v>
      </c>
      <c r="R168" t="n">
        <v>36.69687435930132</v>
      </c>
      <c r="S168" t="n">
        <v>27.26070922345803</v>
      </c>
      <c r="T168" t="n">
        <v>25.67840812077873</v>
      </c>
      <c r="U168" t="n">
        <v>13.09400310968609</v>
      </c>
      <c r="V168" t="n">
        <v>11.51170200700679</v>
      </c>
      <c r="W168" t="n">
        <v>11.49342907434469</v>
      </c>
      <c r="X168" t="n">
        <v>2.673277039427246</v>
      </c>
      <c r="Y168" t="n">
        <v>1.881788888888889</v>
      </c>
      <c r="Z168" t="n">
        <v>1.287677777777778</v>
      </c>
      <c r="AA168" t="n">
        <v>8.842054024732182</v>
      </c>
      <c r="AB168" t="n">
        <v>10.42435512741148</v>
      </c>
    </row>
    <row r="169">
      <c r="A169" t="n">
        <v>167</v>
      </c>
      <c r="B169" s="3" t="n">
        <v>47088</v>
      </c>
      <c r="C169" t="inlineStr">
        <is>
          <t>Forecast</t>
        </is>
      </c>
      <c r="E169" t="n">
        <v>36.32409883520093</v>
      </c>
      <c r="F169" t="n">
        <v>8.973314078868858</v>
      </c>
      <c r="G169" t="n">
        <v>19.02530007504992</v>
      </c>
      <c r="H169" t="inlineStr">
        <is>
          <t>extension of 2027 at STEO 2027/2026 growth</t>
        </is>
      </c>
      <c r="I169" t="n">
        <v>39.02</v>
      </c>
      <c r="J169" t="n">
        <v>36.52</v>
      </c>
      <c r="K169" t="n">
        <v>36.32409883520093</v>
      </c>
      <c r="L169" t="n">
        <v>36.32409883520093</v>
      </c>
      <c r="M169" t="b">
        <v>0</v>
      </c>
      <c r="N169" t="n">
        <v>-1.394590483732079</v>
      </c>
      <c r="O169" t="n">
        <v>44.16179762757255</v>
      </c>
      <c r="P169" t="n">
        <v>44.16179762757255</v>
      </c>
      <c r="Q169" t="n">
        <v>36.93394943284404</v>
      </c>
      <c r="R169" t="n">
        <v>36.93394943284404</v>
      </c>
      <c r="S169" t="n">
        <v>27.73950082871613</v>
      </c>
      <c r="T169" t="n">
        <v>26.36267119719755</v>
      </c>
      <c r="U169" t="n">
        <v>13.04702460392215</v>
      </c>
      <c r="V169" t="n">
        <v>11.67019497240357</v>
      </c>
      <c r="W169" t="n">
        <v>12.1409483901524</v>
      </c>
      <c r="X169" t="n">
        <v>2.55152783464158</v>
      </c>
      <c r="Y169" t="n">
        <v>1.379204301075269</v>
      </c>
      <c r="Z169" t="n">
        <v>2.158774193548387</v>
      </c>
      <c r="AA169" t="n">
        <v>9.97401849660103</v>
      </c>
      <c r="AB169" t="n">
        <v>11.35084812811961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X97"/>
  <sheetViews>
    <sheetView workbookViewId="0">
      <selection activeCell="A1" sqref="A1"/>
    </sheetView>
  </sheetViews>
  <sheetFormatPr baseColWidth="8" defaultRowHeight="15"/>
  <sheetData>
    <row r="1">
      <c r="B1" t="inlineStr">
        <is>
          <t>Month</t>
        </is>
      </c>
      <c r="C1" t="inlineStr">
        <is>
          <t>Type</t>
        </is>
      </c>
      <c r="D1" t="inlineStr">
        <is>
          <t>Electric power</t>
        </is>
      </c>
      <c r="E1" t="inlineStr">
        <is>
          <t>Industrial</t>
        </is>
      </c>
      <c r="F1" t="inlineStr">
        <is>
          <t>Residential</t>
        </is>
      </c>
      <c r="G1" t="inlineStr">
        <is>
          <t>Commercial</t>
        </is>
      </c>
      <c r="H1" t="inlineStr">
        <is>
          <t>Vehicle fuel</t>
        </is>
      </c>
      <c r="I1" t="inlineStr">
        <is>
          <t>LNG feedgas (base)</t>
        </is>
      </c>
      <c r="J1" t="inlineStr">
        <is>
          <t>Pipeline exports to Mexico</t>
        </is>
      </c>
      <c r="K1" t="inlineStr">
        <is>
          <t>Demand incl. LNG, base</t>
        </is>
      </c>
      <c r="L1" t="inlineStr">
        <is>
          <t>LNG feedgas (delayed)</t>
        </is>
      </c>
      <c r="M1" t="inlineStr">
        <is>
          <t>Demand incl. LNG, LNG delayed</t>
        </is>
      </c>
      <c r="N1" t="inlineStr">
        <is>
          <t>Dry production, base</t>
        </is>
      </c>
      <c r="O1" t="inlineStr">
        <is>
          <t>Dry production, takeaway delayed</t>
        </is>
      </c>
      <c r="P1" t="inlineStr">
        <is>
          <t>Implied net outflow before storage, base</t>
        </is>
      </c>
      <c r="Q1" t="inlineStr">
        <is>
          <t>Implied net outflow before storage, delayed</t>
        </is>
      </c>
      <c r="R1" t="inlineStr">
        <is>
          <t>Storage injection (demand)</t>
        </is>
      </c>
      <c r="S1" t="inlineStr">
        <is>
          <t>Storage withdrawal (supply)</t>
        </is>
      </c>
      <c r="T1" t="inlineStr">
        <is>
          <t>Storage basis</t>
        </is>
      </c>
      <c r="U1" t="inlineStr">
        <is>
          <t>Dry production + storage withdrawal, base</t>
        </is>
      </c>
      <c r="V1" t="inlineStr">
        <is>
          <t>Dry production + storage withdrawal, takeaway delayed</t>
        </is>
      </c>
      <c r="W1" t="inlineStr">
        <is>
          <t>Implied net outflow, base</t>
        </is>
      </c>
      <c r="X1" t="inlineStr">
        <is>
          <t>Implied net outflow, delayed (production and LNG both delayed)</t>
        </is>
      </c>
    </row>
    <row r="2">
      <c r="A2" t="n">
        <v>0</v>
      </c>
      <c r="B2" s="3" t="n">
        <v>44197</v>
      </c>
      <c r="C2" t="inlineStr">
        <is>
          <t>Actual</t>
        </is>
      </c>
      <c r="D2" t="n">
        <v>3.671612903225806</v>
      </c>
      <c r="E2" t="n">
        <v>5.748096774193549</v>
      </c>
      <c r="F2" t="n">
        <v>1.457193548387097</v>
      </c>
      <c r="G2" t="n">
        <v>0.7947741935483871</v>
      </c>
      <c r="H2" t="n">
        <v>0.002580645161290323</v>
      </c>
      <c r="I2" t="n">
        <v>4.16024870967742</v>
      </c>
      <c r="J2" t="n">
        <v>2.552483870967742</v>
      </c>
      <c r="K2" t="n">
        <v>18.38699064516129</v>
      </c>
      <c r="L2" t="n">
        <v>4.16024870967742</v>
      </c>
      <c r="M2" t="n">
        <v>18.38699064516129</v>
      </c>
      <c r="N2" t="n">
        <v>22.10383870967742</v>
      </c>
      <c r="O2" t="n">
        <v>22.10383870967742</v>
      </c>
      <c r="P2" t="n">
        <v>3.716848064516128</v>
      </c>
      <c r="Q2" t="n">
        <v>3.716848064516128</v>
      </c>
      <c r="R2" t="n">
        <v>0.5196451612903226</v>
      </c>
      <c r="S2" t="n">
        <v>2.56</v>
      </c>
      <c r="T2" t="inlineStr">
        <is>
          <t>EIA</t>
        </is>
      </c>
      <c r="U2" t="n">
        <v>24.66383870967742</v>
      </c>
      <c r="V2" t="n">
        <v>24.66383870967742</v>
      </c>
      <c r="W2" t="n">
        <v>5.757202903225805</v>
      </c>
      <c r="X2" t="n">
        <v>5.757202903225805</v>
      </c>
    </row>
    <row r="3">
      <c r="A3" t="n">
        <v>1</v>
      </c>
      <c r="B3" s="3" t="n">
        <v>44228</v>
      </c>
      <c r="C3" t="inlineStr">
        <is>
          <t>Actual</t>
        </is>
      </c>
      <c r="D3" t="n">
        <v>4.4955</v>
      </c>
      <c r="E3" t="n">
        <v>4.749571428571429</v>
      </c>
      <c r="F3" t="n">
        <v>1.7995</v>
      </c>
      <c r="G3" t="n">
        <v>0.9247857142857143</v>
      </c>
      <c r="H3" t="n">
        <v>0.002571428571428572</v>
      </c>
      <c r="I3" t="n">
        <v>2.483681785714286</v>
      </c>
      <c r="J3" t="n">
        <v>2.252428571428571</v>
      </c>
      <c r="K3" t="n">
        <v>16.70803892857143</v>
      </c>
      <c r="L3" t="n">
        <v>2.483681785714286</v>
      </c>
      <c r="M3" t="n">
        <v>16.70803892857143</v>
      </c>
      <c r="N3" t="n">
        <v>18.401</v>
      </c>
      <c r="O3" t="n">
        <v>18.401</v>
      </c>
      <c r="P3" t="n">
        <v>1.69296107142857</v>
      </c>
      <c r="Q3" t="n">
        <v>1.69296107142857</v>
      </c>
      <c r="R3" t="n">
        <v>1.272107142857143</v>
      </c>
      <c r="S3" t="n">
        <v>4.41275</v>
      </c>
      <c r="T3" t="inlineStr">
        <is>
          <t>EIA</t>
        </is>
      </c>
      <c r="U3" t="n">
        <v>22.81375</v>
      </c>
      <c r="V3" t="n">
        <v>22.81375</v>
      </c>
      <c r="W3" t="n">
        <v>4.833603928571426</v>
      </c>
      <c r="X3" t="n">
        <v>4.833603928571426</v>
      </c>
    </row>
    <row r="4">
      <c r="A4" t="n">
        <v>2</v>
      </c>
      <c r="B4" s="3" t="n">
        <v>44256</v>
      </c>
      <c r="C4" t="inlineStr">
        <is>
          <t>Actual</t>
        </is>
      </c>
      <c r="D4" t="n">
        <v>2.87358064516129</v>
      </c>
      <c r="E4" t="n">
        <v>4.849387096774193</v>
      </c>
      <c r="F4" t="n">
        <v>0.8512580645161291</v>
      </c>
      <c r="G4" t="n">
        <v>0.547741935483871</v>
      </c>
      <c r="H4" t="n">
        <v>0.002580645161290323</v>
      </c>
      <c r="I4" t="n">
        <v>4.437917419354839</v>
      </c>
      <c r="J4" t="n">
        <v>2.643935483870968</v>
      </c>
      <c r="K4" t="n">
        <v>16.20640129032258</v>
      </c>
      <c r="L4" t="n">
        <v>4.437917419354839</v>
      </c>
      <c r="M4" t="n">
        <v>16.20640129032258</v>
      </c>
      <c r="N4" t="n">
        <v>22.99258064516129</v>
      </c>
      <c r="O4" t="n">
        <v>22.99258064516129</v>
      </c>
      <c r="P4" t="n">
        <v>6.786179354838708</v>
      </c>
      <c r="Q4" t="n">
        <v>6.786179354838708</v>
      </c>
      <c r="R4" t="n">
        <v>1.762354838709677</v>
      </c>
      <c r="S4" t="n">
        <v>1.144354838709677</v>
      </c>
      <c r="T4" t="inlineStr">
        <is>
          <t>EIA</t>
        </is>
      </c>
      <c r="U4" t="n">
        <v>24.13693548387097</v>
      </c>
      <c r="V4" t="n">
        <v>24.13693548387097</v>
      </c>
      <c r="W4" t="n">
        <v>6.168179354838709</v>
      </c>
      <c r="X4" t="n">
        <v>6.168179354838709</v>
      </c>
    </row>
    <row r="5">
      <c r="A5" t="n">
        <v>3</v>
      </c>
      <c r="B5" s="3" t="n">
        <v>44287</v>
      </c>
      <c r="C5" t="inlineStr">
        <is>
          <t>Actual</t>
        </is>
      </c>
      <c r="D5" t="n">
        <v>3.746233333333333</v>
      </c>
      <c r="E5" t="n">
        <v>5.287166666666667</v>
      </c>
      <c r="F5" t="n">
        <v>0.4110333333333334</v>
      </c>
      <c r="G5" t="n">
        <v>0.4744333333333333</v>
      </c>
      <c r="H5" t="n">
        <v>0.002566666666666667</v>
      </c>
      <c r="I5" t="n">
        <v>4.377658</v>
      </c>
      <c r="J5" t="n">
        <v>2.670233333333333</v>
      </c>
      <c r="K5" t="n">
        <v>16.96932466666667</v>
      </c>
      <c r="L5" t="n">
        <v>4.377658</v>
      </c>
      <c r="M5" t="n">
        <v>16.96932466666667</v>
      </c>
      <c r="N5" t="n">
        <v>23.71223333333333</v>
      </c>
      <c r="O5" t="n">
        <v>23.71223333333333</v>
      </c>
      <c r="P5" t="n">
        <v>6.742908666666661</v>
      </c>
      <c r="Q5" t="n">
        <v>6.742908666666661</v>
      </c>
      <c r="R5" t="n">
        <v>1.559</v>
      </c>
      <c r="S5" t="n">
        <v>0.7668666666666667</v>
      </c>
      <c r="T5" t="inlineStr">
        <is>
          <t>EIA</t>
        </is>
      </c>
      <c r="U5" t="n">
        <v>24.4791</v>
      </c>
      <c r="V5" t="n">
        <v>24.4791</v>
      </c>
      <c r="W5" t="n">
        <v>5.950775333333326</v>
      </c>
      <c r="X5" t="n">
        <v>5.950775333333326</v>
      </c>
    </row>
    <row r="6">
      <c r="A6" t="n">
        <v>4</v>
      </c>
      <c r="B6" s="3" t="n">
        <v>44317</v>
      </c>
      <c r="C6" t="inlineStr">
        <is>
          <t>Actual</t>
        </is>
      </c>
      <c r="D6" t="n">
        <v>3.843774193548387</v>
      </c>
      <c r="E6" t="n">
        <v>5.234774193548387</v>
      </c>
      <c r="F6" t="n">
        <v>0.2831612903225807</v>
      </c>
      <c r="G6" t="n">
        <v>0.3512903225806452</v>
      </c>
      <c r="H6" t="n">
        <v>0.002580645161290323</v>
      </c>
      <c r="I6" t="n">
        <v>4.289044516129032</v>
      </c>
      <c r="J6" t="n">
        <v>2.766322580645161</v>
      </c>
      <c r="K6" t="n">
        <v>16.77094774193548</v>
      </c>
      <c r="L6" t="n">
        <v>4.289044516129032</v>
      </c>
      <c r="M6" t="n">
        <v>16.77094774193548</v>
      </c>
      <c r="N6" t="n">
        <v>23.58770967741935</v>
      </c>
      <c r="O6" t="n">
        <v>23.58770967741935</v>
      </c>
      <c r="P6" t="n">
        <v>6.816761935483871</v>
      </c>
      <c r="Q6" t="n">
        <v>6.816761935483871</v>
      </c>
      <c r="R6" t="n">
        <v>2.060290322580645</v>
      </c>
      <c r="S6" t="n">
        <v>0.3708387096774193</v>
      </c>
      <c r="T6" t="inlineStr">
        <is>
          <t>EIA</t>
        </is>
      </c>
      <c r="U6" t="n">
        <v>23.95854838709677</v>
      </c>
      <c r="V6" t="n">
        <v>23.95854838709677</v>
      </c>
      <c r="W6" t="n">
        <v>5.127310322580644</v>
      </c>
      <c r="X6" t="n">
        <v>5.127310322580644</v>
      </c>
    </row>
    <row r="7">
      <c r="A7" t="n">
        <v>5</v>
      </c>
      <c r="B7" s="3" t="n">
        <v>44348</v>
      </c>
      <c r="C7" t="inlineStr">
        <is>
          <t>Actual</t>
        </is>
      </c>
      <c r="D7" t="n">
        <v>5.751166666666667</v>
      </c>
      <c r="E7" t="n">
        <v>5.296266666666666</v>
      </c>
      <c r="F7" t="n">
        <v>0.2299</v>
      </c>
      <c r="G7" t="n">
        <v>0.3627</v>
      </c>
      <c r="H7" t="n">
        <v>0.002566666666666667</v>
      </c>
      <c r="I7" t="n">
        <v>4.362725</v>
      </c>
      <c r="J7" t="n">
        <v>2.929933333333334</v>
      </c>
      <c r="K7" t="n">
        <v>18.93525833333334</v>
      </c>
      <c r="L7" t="n">
        <v>4.362725</v>
      </c>
      <c r="M7" t="n">
        <v>18.93525833333334</v>
      </c>
      <c r="N7" t="n">
        <v>23.52116666666667</v>
      </c>
      <c r="O7" t="n">
        <v>23.52116666666667</v>
      </c>
      <c r="P7" t="n">
        <v>4.585908333333332</v>
      </c>
      <c r="Q7" t="n">
        <v>4.585908333333332</v>
      </c>
      <c r="R7" t="n">
        <v>1.1406</v>
      </c>
      <c r="S7" t="n">
        <v>1.339333333333333</v>
      </c>
      <c r="T7" t="inlineStr">
        <is>
          <t>EIA</t>
        </is>
      </c>
      <c r="U7" t="n">
        <v>24.8605</v>
      </c>
      <c r="V7" t="n">
        <v>24.8605</v>
      </c>
      <c r="W7" t="n">
        <v>4.784641666666665</v>
      </c>
      <c r="X7" t="n">
        <v>4.784641666666665</v>
      </c>
    </row>
    <row r="8">
      <c r="A8" t="n">
        <v>6</v>
      </c>
      <c r="B8" s="3" t="n">
        <v>44378</v>
      </c>
      <c r="C8" t="inlineStr">
        <is>
          <t>Actual</t>
        </is>
      </c>
      <c r="D8" t="n">
        <v>6.234870967741935</v>
      </c>
      <c r="E8" t="n">
        <v>5.42283870967742</v>
      </c>
      <c r="F8" t="n">
        <v>0.215258064516129</v>
      </c>
      <c r="G8" t="n">
        <v>0.3711612903225807</v>
      </c>
      <c r="H8" t="n">
        <v>0.002580645161290323</v>
      </c>
      <c r="I8" t="n">
        <v>4.267807096774193</v>
      </c>
      <c r="J8" t="n">
        <v>2.876193548387096</v>
      </c>
      <c r="K8" t="n">
        <v>19.39071032258065</v>
      </c>
      <c r="L8" t="n">
        <v>4.267807096774193</v>
      </c>
      <c r="M8" t="n">
        <v>19.39071032258065</v>
      </c>
      <c r="N8" t="n">
        <v>23.99703225806451</v>
      </c>
      <c r="O8" t="n">
        <v>23.99703225806451</v>
      </c>
      <c r="P8" t="n">
        <v>4.606321935483866</v>
      </c>
      <c r="Q8" t="n">
        <v>4.606321935483866</v>
      </c>
      <c r="R8" t="n">
        <v>0.9387096774193548</v>
      </c>
      <c r="S8" t="n">
        <v>1.255870967741935</v>
      </c>
      <c r="T8" t="inlineStr">
        <is>
          <t>EIA</t>
        </is>
      </c>
      <c r="U8" t="n">
        <v>25.25290322580645</v>
      </c>
      <c r="V8" t="n">
        <v>25.25290322580645</v>
      </c>
      <c r="W8" t="n">
        <v>4.923483225806446</v>
      </c>
      <c r="X8" t="n">
        <v>4.923483225806446</v>
      </c>
    </row>
    <row r="9">
      <c r="A9" t="n">
        <v>7</v>
      </c>
      <c r="B9" s="3" t="n">
        <v>44409</v>
      </c>
      <c r="C9" t="inlineStr">
        <is>
          <t>Actual</t>
        </is>
      </c>
      <c r="D9" t="n">
        <v>6.327096774193548</v>
      </c>
      <c r="E9" t="n">
        <v>5.458516129032258</v>
      </c>
      <c r="F9" t="n">
        <v>0.1994193548387097</v>
      </c>
      <c r="G9" t="n">
        <v>0.3660322580645162</v>
      </c>
      <c r="H9" t="n">
        <v>0.002580645161290323</v>
      </c>
      <c r="I9" t="n">
        <v>4.47866935483871</v>
      </c>
      <c r="J9" t="n">
        <v>2.802806451612903</v>
      </c>
      <c r="K9" t="n">
        <v>19.63512096774194</v>
      </c>
      <c r="L9" t="n">
        <v>4.47866935483871</v>
      </c>
      <c r="M9" t="n">
        <v>19.63512096774194</v>
      </c>
      <c r="N9" t="n">
        <v>24.04129032258064</v>
      </c>
      <c r="O9" t="n">
        <v>24.04129032258064</v>
      </c>
      <c r="P9" t="n">
        <v>4.406169354838703</v>
      </c>
      <c r="Q9" t="n">
        <v>4.406169354838703</v>
      </c>
      <c r="R9" t="n">
        <v>1.041451612903226</v>
      </c>
      <c r="S9" t="n">
        <v>1.687774193548387</v>
      </c>
      <c r="T9" t="inlineStr">
        <is>
          <t>EIA</t>
        </is>
      </c>
      <c r="U9" t="n">
        <v>25.72906451612903</v>
      </c>
      <c r="V9" t="n">
        <v>25.72906451612903</v>
      </c>
      <c r="W9" t="n">
        <v>5.052491935483863</v>
      </c>
      <c r="X9" t="n">
        <v>5.052491935483863</v>
      </c>
    </row>
    <row r="10">
      <c r="A10" t="n">
        <v>8</v>
      </c>
      <c r="B10" s="3" t="n">
        <v>44440</v>
      </c>
      <c r="C10" t="inlineStr">
        <is>
          <t>Actual</t>
        </is>
      </c>
      <c r="D10" t="n">
        <v>5.298666666666667</v>
      </c>
      <c r="E10" t="n">
        <v>5.518066666666667</v>
      </c>
      <c r="F10" t="n">
        <v>0.2002666666666667</v>
      </c>
      <c r="G10" t="n">
        <v>0.3705666666666667</v>
      </c>
      <c r="H10" t="n">
        <v>0.002566666666666667</v>
      </c>
      <c r="I10" t="n">
        <v>4.103632000000001</v>
      </c>
      <c r="J10" t="n">
        <v>2.6138</v>
      </c>
      <c r="K10" t="n">
        <v>18.10756533333333</v>
      </c>
      <c r="L10" t="n">
        <v>4.103632000000001</v>
      </c>
      <c r="M10" t="n">
        <v>18.10756533333333</v>
      </c>
      <c r="N10" t="n">
        <v>24.82143333333334</v>
      </c>
      <c r="O10" t="n">
        <v>24.82143333333334</v>
      </c>
      <c r="P10" t="n">
        <v>6.713868000000005</v>
      </c>
      <c r="Q10" t="n">
        <v>6.713868000000005</v>
      </c>
      <c r="R10" t="n">
        <v>2.160866666666667</v>
      </c>
      <c r="S10" t="n">
        <v>0.6753333333333333</v>
      </c>
      <c r="T10" t="inlineStr">
        <is>
          <t>EIA</t>
        </is>
      </c>
      <c r="U10" t="n">
        <v>25.49676666666667</v>
      </c>
      <c r="V10" t="n">
        <v>25.49676666666667</v>
      </c>
      <c r="W10" t="n">
        <v>5.228334666666672</v>
      </c>
      <c r="X10" t="n">
        <v>5.228334666666672</v>
      </c>
    </row>
    <row r="11">
      <c r="A11" t="n">
        <v>9</v>
      </c>
      <c r="B11" s="3" t="n">
        <v>44470</v>
      </c>
      <c r="C11" t="inlineStr">
        <is>
          <t>Actual</t>
        </is>
      </c>
      <c r="D11" t="n">
        <v>4.412612903225807</v>
      </c>
      <c r="E11" t="n">
        <v>5.262677419354839</v>
      </c>
      <c r="F11" t="n">
        <v>0.2569354838709678</v>
      </c>
      <c r="G11" t="n">
        <v>0.3873548387096775</v>
      </c>
      <c r="H11" t="n">
        <v>0.002580645161290323</v>
      </c>
      <c r="I11" t="n">
        <v>4.390695806451613</v>
      </c>
      <c r="J11" t="n">
        <v>2.767870967741935</v>
      </c>
      <c r="K11" t="n">
        <v>17.48072806451613</v>
      </c>
      <c r="L11" t="n">
        <v>4.390695806451613</v>
      </c>
      <c r="M11" t="n">
        <v>17.48072806451613</v>
      </c>
      <c r="N11" t="n">
        <v>24.74848387096774</v>
      </c>
      <c r="O11" t="n">
        <v>24.74848387096774</v>
      </c>
      <c r="P11" t="n">
        <v>7.267755806451607</v>
      </c>
      <c r="Q11" t="n">
        <v>7.267755806451607</v>
      </c>
      <c r="R11" t="n">
        <v>2.154032258064516</v>
      </c>
      <c r="S11" t="n">
        <v>0.5892903225806452</v>
      </c>
      <c r="T11" t="inlineStr">
        <is>
          <t>EIA</t>
        </is>
      </c>
      <c r="U11" t="n">
        <v>25.33777419354838</v>
      </c>
      <c r="V11" t="n">
        <v>25.33777419354838</v>
      </c>
      <c r="W11" t="n">
        <v>5.703013870967736</v>
      </c>
      <c r="X11" t="n">
        <v>5.703013870967736</v>
      </c>
    </row>
    <row r="12">
      <c r="A12" t="n">
        <v>10</v>
      </c>
      <c r="B12" s="3" t="n">
        <v>44501</v>
      </c>
      <c r="C12" t="inlineStr">
        <is>
          <t>Actual</t>
        </is>
      </c>
      <c r="D12" t="n">
        <v>3.4576</v>
      </c>
      <c r="E12" t="n">
        <v>5.6497</v>
      </c>
      <c r="F12" t="n">
        <v>0.5384333333333333</v>
      </c>
      <c r="G12" t="n">
        <v>0.5129333333333332</v>
      </c>
      <c r="H12" t="n">
        <v>0.002566666666666667</v>
      </c>
      <c r="I12" t="n">
        <v>3.903508</v>
      </c>
      <c r="J12" t="n">
        <v>2.557566666666667</v>
      </c>
      <c r="K12" t="n">
        <v>16.622308</v>
      </c>
      <c r="L12" t="n">
        <v>3.903508</v>
      </c>
      <c r="M12" t="n">
        <v>16.622308</v>
      </c>
      <c r="N12" t="n">
        <v>24.64196666666667</v>
      </c>
      <c r="O12" t="n">
        <v>24.64196666666667</v>
      </c>
      <c r="P12" t="n">
        <v>8.019658666666668</v>
      </c>
      <c r="Q12" t="n">
        <v>8.019658666666668</v>
      </c>
      <c r="R12" t="n">
        <v>1.294366666666667</v>
      </c>
      <c r="S12" t="n">
        <v>1.114866666666666</v>
      </c>
      <c r="T12" t="inlineStr">
        <is>
          <t>EIA</t>
        </is>
      </c>
      <c r="U12" t="n">
        <v>25.75683333333334</v>
      </c>
      <c r="V12" t="n">
        <v>25.75683333333334</v>
      </c>
      <c r="W12" t="n">
        <v>7.840158666666669</v>
      </c>
      <c r="X12" t="n">
        <v>7.840158666666669</v>
      </c>
    </row>
    <row r="13">
      <c r="A13" t="n">
        <v>11</v>
      </c>
      <c r="B13" s="3" t="n">
        <v>44531</v>
      </c>
      <c r="C13" t="inlineStr">
        <is>
          <t>Actual</t>
        </is>
      </c>
      <c r="D13" t="n">
        <v>3.378290322580646</v>
      </c>
      <c r="E13" t="n">
        <v>5.783322580645161</v>
      </c>
      <c r="F13" t="n">
        <v>0.5891612903225806</v>
      </c>
      <c r="G13" t="n">
        <v>0.5320967741935484</v>
      </c>
      <c r="H13" t="n">
        <v>0.002580645161290323</v>
      </c>
      <c r="I13" t="n">
        <v>4.614497419354839</v>
      </c>
      <c r="J13" t="n">
        <v>2.405741935483871</v>
      </c>
      <c r="K13" t="n">
        <v>17.30569096774193</v>
      </c>
      <c r="L13" t="n">
        <v>4.614497419354839</v>
      </c>
      <c r="M13" t="n">
        <v>17.30569096774193</v>
      </c>
      <c r="N13" t="n">
        <v>24.995</v>
      </c>
      <c r="O13" t="n">
        <v>24.995</v>
      </c>
      <c r="P13" t="n">
        <v>7.689309032258066</v>
      </c>
      <c r="Q13" t="n">
        <v>7.689309032258066</v>
      </c>
      <c r="R13" t="n">
        <v>1.387967741935484</v>
      </c>
      <c r="S13" t="n">
        <v>1.367516129032258</v>
      </c>
      <c r="T13" t="inlineStr">
        <is>
          <t>EIA</t>
        </is>
      </c>
      <c r="U13" t="n">
        <v>26.36251612903226</v>
      </c>
      <c r="V13" t="n">
        <v>26.36251612903226</v>
      </c>
      <c r="W13" t="n">
        <v>7.66885741935484</v>
      </c>
      <c r="X13" t="n">
        <v>7.66885741935484</v>
      </c>
    </row>
    <row r="14">
      <c r="A14" t="n">
        <v>12</v>
      </c>
      <c r="B14" s="3" t="n">
        <v>44562</v>
      </c>
      <c r="C14" t="inlineStr">
        <is>
          <t>Actual</t>
        </is>
      </c>
      <c r="D14" t="n">
        <v>4.094129032258064</v>
      </c>
      <c r="E14" t="n">
        <v>5.599161290322581</v>
      </c>
      <c r="F14" t="n">
        <v>1.307903225806452</v>
      </c>
      <c r="G14" t="n">
        <v>0.7509677419354839</v>
      </c>
      <c r="H14" t="n">
        <v>0.003483870967741936</v>
      </c>
      <c r="I14" t="n">
        <v>4.595369677419355</v>
      </c>
      <c r="J14" t="n">
        <v>2.562612903225807</v>
      </c>
      <c r="K14" t="n">
        <v>18.91362774193549</v>
      </c>
      <c r="L14" t="n">
        <v>4.595369677419355</v>
      </c>
      <c r="M14" t="n">
        <v>18.91362774193549</v>
      </c>
      <c r="N14" t="n">
        <v>23.17987096774193</v>
      </c>
      <c r="O14" t="n">
        <v>23.17987096774193</v>
      </c>
      <c r="P14" t="n">
        <v>4.266243225806445</v>
      </c>
      <c r="Q14" t="n">
        <v>4.266243225806445</v>
      </c>
      <c r="R14" t="n">
        <v>0.5149677419354839</v>
      </c>
      <c r="S14" t="n">
        <v>4.000612903225806</v>
      </c>
      <c r="T14" t="inlineStr">
        <is>
          <t>EIA</t>
        </is>
      </c>
      <c r="U14" t="n">
        <v>27.18048387096774</v>
      </c>
      <c r="V14" t="n">
        <v>27.18048387096774</v>
      </c>
      <c r="W14" t="n">
        <v>7.751888387096768</v>
      </c>
      <c r="X14" t="n">
        <v>7.751888387096768</v>
      </c>
    </row>
    <row r="15">
      <c r="A15" t="n">
        <v>13</v>
      </c>
      <c r="B15" s="3" t="n">
        <v>44593</v>
      </c>
      <c r="C15" t="inlineStr">
        <is>
          <t>Actual</t>
        </is>
      </c>
      <c r="D15" t="n">
        <v>4.156392857142857</v>
      </c>
      <c r="E15" t="n">
        <v>5.527285714285715</v>
      </c>
      <c r="F15" t="n">
        <v>1.646</v>
      </c>
      <c r="G15" t="n">
        <v>0.8936785714285714</v>
      </c>
      <c r="H15" t="n">
        <v>0.0035</v>
      </c>
      <c r="I15" t="n">
        <v>4.697160357142858</v>
      </c>
      <c r="J15" t="n">
        <v>2.727035714285714</v>
      </c>
      <c r="K15" t="n">
        <v>19.65105321428572</v>
      </c>
      <c r="L15" t="n">
        <v>4.697160357142858</v>
      </c>
      <c r="M15" t="n">
        <v>19.65105321428572</v>
      </c>
      <c r="N15" t="n">
        <v>24.34007142857143</v>
      </c>
      <c r="O15" t="n">
        <v>24.34007142857143</v>
      </c>
      <c r="P15" t="n">
        <v>4.689018214285714</v>
      </c>
      <c r="Q15" t="n">
        <v>4.689018214285714</v>
      </c>
      <c r="R15" t="n">
        <v>0.7398571428571429</v>
      </c>
      <c r="S15" t="n">
        <v>3.681178571428572</v>
      </c>
      <c r="T15" t="inlineStr">
        <is>
          <t>EIA</t>
        </is>
      </c>
      <c r="U15" t="n">
        <v>28.02125</v>
      </c>
      <c r="V15" t="n">
        <v>28.02125</v>
      </c>
      <c r="W15" t="n">
        <v>7.630339642857142</v>
      </c>
      <c r="X15" t="n">
        <v>7.630339642857142</v>
      </c>
    </row>
    <row r="16">
      <c r="A16" t="n">
        <v>14</v>
      </c>
      <c r="B16" s="3" t="n">
        <v>44621</v>
      </c>
      <c r="C16" t="inlineStr">
        <is>
          <t>Actual</t>
        </is>
      </c>
      <c r="D16" t="n">
        <v>2.959516129032258</v>
      </c>
      <c r="E16" t="n">
        <v>5.511225806451613</v>
      </c>
      <c r="F16" t="n">
        <v>0.9952903225806451</v>
      </c>
      <c r="G16" t="n">
        <v>0.6364838709677419</v>
      </c>
      <c r="H16" t="n">
        <v>0.003483870967741936</v>
      </c>
      <c r="I16" t="n">
        <v>4.382503225806452</v>
      </c>
      <c r="J16" t="n">
        <v>2.667935483870968</v>
      </c>
      <c r="K16" t="n">
        <v>17.15643870967742</v>
      </c>
      <c r="L16" t="n">
        <v>4.382503225806452</v>
      </c>
      <c r="M16" t="n">
        <v>17.15643870967742</v>
      </c>
      <c r="N16" t="n">
        <v>24.87987096774194</v>
      </c>
      <c r="O16" t="n">
        <v>24.87987096774194</v>
      </c>
      <c r="P16" t="n">
        <v>7.723432258064523</v>
      </c>
      <c r="Q16" t="n">
        <v>7.723432258064523</v>
      </c>
      <c r="R16" t="n">
        <v>1.433064516129032</v>
      </c>
      <c r="S16" t="n">
        <v>1.425935483870968</v>
      </c>
      <c r="T16" t="inlineStr">
        <is>
          <t>EIA</t>
        </is>
      </c>
      <c r="U16" t="n">
        <v>26.30580645161291</v>
      </c>
      <c r="V16" t="n">
        <v>26.30580645161291</v>
      </c>
      <c r="W16" t="n">
        <v>7.71630322580646</v>
      </c>
      <c r="X16" t="n">
        <v>7.71630322580646</v>
      </c>
    </row>
    <row r="17">
      <c r="A17" t="n">
        <v>15</v>
      </c>
      <c r="B17" s="3" t="n">
        <v>44652</v>
      </c>
      <c r="C17" t="inlineStr">
        <is>
          <t>Actual</t>
        </is>
      </c>
      <c r="D17" t="n">
        <v>3.282933333333333</v>
      </c>
      <c r="E17" t="n">
        <v>5.453966666666666</v>
      </c>
      <c r="F17" t="n">
        <v>0.4558</v>
      </c>
      <c r="G17" t="n">
        <v>0.4546666666666667</v>
      </c>
      <c r="H17" t="n">
        <v>0.0035</v>
      </c>
      <c r="I17" t="n">
        <v>3.544462</v>
      </c>
      <c r="J17" t="n">
        <v>2.7244</v>
      </c>
      <c r="K17" t="n">
        <v>15.91972866666666</v>
      </c>
      <c r="L17" t="n">
        <v>3.544462</v>
      </c>
      <c r="M17" t="n">
        <v>15.91972866666666</v>
      </c>
      <c r="N17" t="n">
        <v>25.36933333333333</v>
      </c>
      <c r="O17" t="n">
        <v>25.36933333333333</v>
      </c>
      <c r="P17" t="n">
        <v>9.449604666666666</v>
      </c>
      <c r="Q17" t="n">
        <v>9.449604666666666</v>
      </c>
      <c r="R17" t="n">
        <v>2.011033333333333</v>
      </c>
      <c r="S17" t="n">
        <v>0.5206000000000001</v>
      </c>
      <c r="T17" t="inlineStr">
        <is>
          <t>EIA</t>
        </is>
      </c>
      <c r="U17" t="n">
        <v>25.88993333333333</v>
      </c>
      <c r="V17" t="n">
        <v>25.88993333333333</v>
      </c>
      <c r="W17" t="n">
        <v>7.959171333333334</v>
      </c>
      <c r="X17" t="n">
        <v>7.959171333333334</v>
      </c>
    </row>
    <row r="18">
      <c r="A18" t="n">
        <v>16</v>
      </c>
      <c r="B18" s="3" t="n">
        <v>44682</v>
      </c>
      <c r="C18" t="inlineStr">
        <is>
          <t>Actual</t>
        </is>
      </c>
      <c r="D18" t="n">
        <v>4.855322580645161</v>
      </c>
      <c r="E18" t="n">
        <v>5.277774193548387</v>
      </c>
      <c r="F18" t="n">
        <v>0.2358387096774194</v>
      </c>
      <c r="G18" t="n">
        <v>0.3918387096774194</v>
      </c>
      <c r="H18" t="n">
        <v>0.003483870967741936</v>
      </c>
      <c r="I18" t="n">
        <v>4.411511290322581</v>
      </c>
      <c r="J18" t="n">
        <v>2.805161290322581</v>
      </c>
      <c r="K18" t="n">
        <v>17.98093064516129</v>
      </c>
      <c r="L18" t="n">
        <v>4.411511290322581</v>
      </c>
      <c r="M18" t="n">
        <v>17.98093064516129</v>
      </c>
      <c r="N18" t="n">
        <v>24.7518064516129</v>
      </c>
      <c r="O18" t="n">
        <v>24.7518064516129</v>
      </c>
      <c r="P18" t="n">
        <v>6.77087580645161</v>
      </c>
      <c r="Q18" t="n">
        <v>6.77087580645161</v>
      </c>
      <c r="R18" t="n">
        <v>1.664612903225806</v>
      </c>
      <c r="S18" t="n">
        <v>0.6686129032258065</v>
      </c>
      <c r="T18" t="inlineStr">
        <is>
          <t>EIA</t>
        </is>
      </c>
      <c r="U18" t="n">
        <v>25.42041935483871</v>
      </c>
      <c r="V18" t="n">
        <v>25.42041935483871</v>
      </c>
      <c r="W18" t="n">
        <v>5.77487580645161</v>
      </c>
      <c r="X18" t="n">
        <v>5.77487580645161</v>
      </c>
    </row>
    <row r="19">
      <c r="A19" t="n">
        <v>17</v>
      </c>
      <c r="B19" s="3" t="n">
        <v>44713</v>
      </c>
      <c r="C19" t="inlineStr">
        <is>
          <t>Actual</t>
        </is>
      </c>
      <c r="D19" t="n">
        <v>6.1464</v>
      </c>
      <c r="E19" t="n">
        <v>5.399933333333333</v>
      </c>
      <c r="F19" t="n">
        <v>0.2081</v>
      </c>
      <c r="G19" t="n">
        <v>0.3769333333333333</v>
      </c>
      <c r="H19" t="n">
        <v>0.0035</v>
      </c>
      <c r="I19" t="n">
        <v>2.944598666666666</v>
      </c>
      <c r="J19" t="n">
        <v>2.674066666666667</v>
      </c>
      <c r="K19" t="n">
        <v>17.753532</v>
      </c>
      <c r="L19" t="n">
        <v>2.944598666666666</v>
      </c>
      <c r="M19" t="n">
        <v>17.753532</v>
      </c>
      <c r="N19" t="n">
        <v>24.54246666666667</v>
      </c>
      <c r="O19" t="n">
        <v>24.54246666666667</v>
      </c>
      <c r="P19" t="n">
        <v>6.78893466666667</v>
      </c>
      <c r="Q19" t="n">
        <v>6.78893466666667</v>
      </c>
      <c r="R19" t="n">
        <v>1.453166666666667</v>
      </c>
      <c r="S19" t="n">
        <v>0.7817999999999999</v>
      </c>
      <c r="T19" t="inlineStr">
        <is>
          <t>EIA</t>
        </is>
      </c>
      <c r="U19" t="n">
        <v>25.32426666666667</v>
      </c>
      <c r="V19" t="n">
        <v>25.32426666666667</v>
      </c>
      <c r="W19" t="n">
        <v>6.117568000000004</v>
      </c>
      <c r="X19" t="n">
        <v>6.117568000000004</v>
      </c>
    </row>
    <row r="20">
      <c r="A20" t="n">
        <v>18</v>
      </c>
      <c r="B20" s="3" t="n">
        <v>44743</v>
      </c>
      <c r="C20" t="inlineStr">
        <is>
          <t>Actual</t>
        </is>
      </c>
      <c r="D20" t="n">
        <v>7.247</v>
      </c>
      <c r="E20" t="n">
        <v>5.349774193548387</v>
      </c>
      <c r="F20" t="n">
        <v>0.198</v>
      </c>
      <c r="G20" t="n">
        <v>0.3811935483870968</v>
      </c>
      <c r="H20" t="n">
        <v>0.003483870967741936</v>
      </c>
      <c r="I20" t="n">
        <v>2.218009354838709</v>
      </c>
      <c r="J20" t="n">
        <v>2.817677419354839</v>
      </c>
      <c r="K20" t="n">
        <v>18.21513838709678</v>
      </c>
      <c r="L20" t="n">
        <v>2.218009354838709</v>
      </c>
      <c r="M20" t="n">
        <v>18.21513838709678</v>
      </c>
      <c r="N20" t="n">
        <v>24.48077419354838</v>
      </c>
      <c r="O20" t="n">
        <v>24.48077419354838</v>
      </c>
      <c r="P20" t="n">
        <v>6.265635806451606</v>
      </c>
      <c r="Q20" t="n">
        <v>6.265635806451606</v>
      </c>
      <c r="R20" t="n">
        <v>1.202129032258065</v>
      </c>
      <c r="S20" t="n">
        <v>1.388</v>
      </c>
      <c r="T20" t="inlineStr">
        <is>
          <t>EIA</t>
        </is>
      </c>
      <c r="U20" t="n">
        <v>25.86877419354838</v>
      </c>
      <c r="V20" t="n">
        <v>25.86877419354838</v>
      </c>
      <c r="W20" t="n">
        <v>6.451506774193542</v>
      </c>
      <c r="X20" t="n">
        <v>6.451506774193542</v>
      </c>
    </row>
    <row r="21">
      <c r="A21" t="n">
        <v>19</v>
      </c>
      <c r="B21" s="3" t="n">
        <v>44774</v>
      </c>
      <c r="C21" t="inlineStr">
        <is>
          <t>Actual</t>
        </is>
      </c>
      <c r="D21" t="n">
        <v>7.078322580645161</v>
      </c>
      <c r="E21" t="n">
        <v>5.306225806451613</v>
      </c>
      <c r="F21" t="n">
        <v>0.1731290322580645</v>
      </c>
      <c r="G21" t="n">
        <v>0.3629354838709677</v>
      </c>
      <c r="H21" t="n">
        <v>0.003483870967741936</v>
      </c>
      <c r="I21" t="n">
        <v>2.229507096774194</v>
      </c>
      <c r="J21" t="n">
        <v>2.790903225806451</v>
      </c>
      <c r="K21" t="n">
        <v>17.9445070967742</v>
      </c>
      <c r="L21" t="n">
        <v>2.229507096774194</v>
      </c>
      <c r="M21" t="n">
        <v>17.9445070967742</v>
      </c>
      <c r="N21" t="n">
        <v>25.02229032258064</v>
      </c>
      <c r="O21" t="n">
        <v>25.02229032258064</v>
      </c>
      <c r="P21" t="n">
        <v>7.077783225806446</v>
      </c>
      <c r="Q21" t="n">
        <v>7.077783225806446</v>
      </c>
      <c r="R21" t="n">
        <v>1.73141935483871</v>
      </c>
      <c r="S21" t="n">
        <v>1.743612903225806</v>
      </c>
      <c r="T21" t="inlineStr">
        <is>
          <t>EIA</t>
        </is>
      </c>
      <c r="U21" t="n">
        <v>26.76590322580645</v>
      </c>
      <c r="V21" t="n">
        <v>26.76590322580645</v>
      </c>
      <c r="W21" t="n">
        <v>7.089976774193541</v>
      </c>
      <c r="X21" t="n">
        <v>7.089976774193541</v>
      </c>
    </row>
    <row r="22">
      <c r="A22" t="n">
        <v>20</v>
      </c>
      <c r="B22" s="3" t="n">
        <v>44805</v>
      </c>
      <c r="C22" t="inlineStr">
        <is>
          <t>Actual</t>
        </is>
      </c>
      <c r="D22" t="n">
        <v>6.03</v>
      </c>
      <c r="E22" t="n">
        <v>5.1567</v>
      </c>
      <c r="F22" t="n">
        <v>0.1889666666666667</v>
      </c>
      <c r="G22" t="n">
        <v>0.3755333333333334</v>
      </c>
      <c r="H22" t="n">
        <v>0.0035</v>
      </c>
      <c r="I22" t="n">
        <v>2.173133</v>
      </c>
      <c r="J22" t="n">
        <v>2.759933333333333</v>
      </c>
      <c r="K22" t="n">
        <v>16.68776633333334</v>
      </c>
      <c r="L22" t="n">
        <v>2.173133</v>
      </c>
      <c r="M22" t="n">
        <v>16.68776633333334</v>
      </c>
      <c r="N22" t="n">
        <v>25.65153333333333</v>
      </c>
      <c r="O22" t="n">
        <v>25.65153333333333</v>
      </c>
      <c r="P22" t="n">
        <v>8.963766999999994</v>
      </c>
      <c r="Q22" t="n">
        <v>8.963766999999994</v>
      </c>
      <c r="R22" t="n">
        <v>2.6006</v>
      </c>
      <c r="S22" t="n">
        <v>1.136133333333333</v>
      </c>
      <c r="T22" t="inlineStr">
        <is>
          <t>EIA</t>
        </is>
      </c>
      <c r="U22" t="n">
        <v>26.78766666666666</v>
      </c>
      <c r="V22" t="n">
        <v>26.78766666666666</v>
      </c>
      <c r="W22" t="n">
        <v>7.499300333333327</v>
      </c>
      <c r="X22" t="n">
        <v>7.499300333333327</v>
      </c>
    </row>
    <row r="23">
      <c r="A23" t="n">
        <v>21</v>
      </c>
      <c r="B23" s="3" t="n">
        <v>44835</v>
      </c>
      <c r="C23" t="inlineStr">
        <is>
          <t>Actual</t>
        </is>
      </c>
      <c r="D23" t="n">
        <v>4.475677419354839</v>
      </c>
      <c r="E23" t="n">
        <v>5.268645161290323</v>
      </c>
      <c r="F23" t="n">
        <v>0.2959032258064516</v>
      </c>
      <c r="G23" t="n">
        <v>0.4337741935483871</v>
      </c>
      <c r="H23" t="n">
        <v>0.003483870967741936</v>
      </c>
      <c r="I23" t="n">
        <v>2.348281935483871</v>
      </c>
      <c r="J23" t="n">
        <v>2.740677419354839</v>
      </c>
      <c r="K23" t="n">
        <v>15.56644322580645</v>
      </c>
      <c r="L23" t="n">
        <v>2.348281935483871</v>
      </c>
      <c r="M23" t="n">
        <v>15.56644322580645</v>
      </c>
      <c r="N23" t="n">
        <v>25.33190322580645</v>
      </c>
      <c r="O23" t="n">
        <v>25.33190322580645</v>
      </c>
      <c r="P23" t="n">
        <v>9.765459999999997</v>
      </c>
      <c r="Q23" t="n">
        <v>9.765459999999997</v>
      </c>
      <c r="R23" t="n">
        <v>2.467064516129032</v>
      </c>
      <c r="S23" t="n">
        <v>0.4530645161290323</v>
      </c>
      <c r="T23" t="inlineStr">
        <is>
          <t>EIA</t>
        </is>
      </c>
      <c r="U23" t="n">
        <v>25.78496774193548</v>
      </c>
      <c r="V23" t="n">
        <v>25.78496774193548</v>
      </c>
      <c r="W23" t="n">
        <v>7.751459999999998</v>
      </c>
      <c r="X23" t="n">
        <v>7.751459999999998</v>
      </c>
    </row>
    <row r="24">
      <c r="A24" t="n">
        <v>22</v>
      </c>
      <c r="B24" s="3" t="n">
        <v>44866</v>
      </c>
      <c r="C24" t="inlineStr">
        <is>
          <t>Actual</t>
        </is>
      </c>
      <c r="D24" t="n">
        <v>4.325966666666666</v>
      </c>
      <c r="E24" t="n">
        <v>5.461066666666667</v>
      </c>
      <c r="F24" t="n">
        <v>0.8497333333333333</v>
      </c>
      <c r="G24" t="n">
        <v>0.7006</v>
      </c>
      <c r="H24" t="n">
        <v>0.0035</v>
      </c>
      <c r="I24" t="n">
        <v>2.072017333333334</v>
      </c>
      <c r="J24" t="n">
        <v>2.750966666666667</v>
      </c>
      <c r="K24" t="n">
        <v>16.16385066666667</v>
      </c>
      <c r="L24" t="n">
        <v>2.072017333333334</v>
      </c>
      <c r="M24" t="n">
        <v>16.16385066666667</v>
      </c>
      <c r="N24" t="n">
        <v>25.37643333333333</v>
      </c>
      <c r="O24" t="n">
        <v>25.37643333333333</v>
      </c>
      <c r="P24" t="n">
        <v>9.212582666666663</v>
      </c>
      <c r="Q24" t="n">
        <v>9.212582666666663</v>
      </c>
      <c r="R24" t="n">
        <v>1.554566666666667</v>
      </c>
      <c r="S24" t="n">
        <v>1.4176</v>
      </c>
      <c r="T24" t="inlineStr">
        <is>
          <t>EIA</t>
        </is>
      </c>
      <c r="U24" t="n">
        <v>26.79403333333333</v>
      </c>
      <c r="V24" t="n">
        <v>26.79403333333333</v>
      </c>
      <c r="W24" t="n">
        <v>9.075615999999997</v>
      </c>
      <c r="X24" t="n">
        <v>9.075615999999997</v>
      </c>
    </row>
    <row r="25">
      <c r="A25" t="n">
        <v>23</v>
      </c>
      <c r="B25" s="3" t="n">
        <v>44896</v>
      </c>
      <c r="C25" t="inlineStr">
        <is>
          <t>Actual</t>
        </is>
      </c>
      <c r="D25" t="n">
        <v>4.625387096774193</v>
      </c>
      <c r="E25" t="n">
        <v>5.226</v>
      </c>
      <c r="F25" t="n">
        <v>1.168129032258065</v>
      </c>
      <c r="G25" t="n">
        <v>0.7404838709677419</v>
      </c>
      <c r="H25" t="n">
        <v>0.003483870967741936</v>
      </c>
      <c r="I25" t="n">
        <v>2.254506774193549</v>
      </c>
      <c r="J25" t="n">
        <v>2.523516129032258</v>
      </c>
      <c r="K25" t="n">
        <v>16.54150677419355</v>
      </c>
      <c r="L25" t="n">
        <v>2.254506774193549</v>
      </c>
      <c r="M25" t="n">
        <v>16.54150677419355</v>
      </c>
      <c r="N25" t="n">
        <v>25.55032258064516</v>
      </c>
      <c r="O25" t="n">
        <v>25.55032258064516</v>
      </c>
      <c r="P25" t="n">
        <v>9.008815806451612</v>
      </c>
      <c r="Q25" t="n">
        <v>9.008815806451612</v>
      </c>
      <c r="R25" t="n">
        <v>1.395903225806452</v>
      </c>
      <c r="S25" t="n">
        <v>2.284096774193548</v>
      </c>
      <c r="T25" t="inlineStr">
        <is>
          <t>EIA</t>
        </is>
      </c>
      <c r="U25" t="n">
        <v>27.83441935483871</v>
      </c>
      <c r="V25" t="n">
        <v>27.83441935483871</v>
      </c>
      <c r="W25" t="n">
        <v>9.897009354838707</v>
      </c>
      <c r="X25" t="n">
        <v>9.897009354838707</v>
      </c>
    </row>
    <row r="26">
      <c r="A26" t="n">
        <v>24</v>
      </c>
      <c r="B26" s="3" t="n">
        <v>44927</v>
      </c>
      <c r="C26" t="inlineStr">
        <is>
          <t>Actual</t>
        </is>
      </c>
      <c r="D26" t="n">
        <v>4.131806451612904</v>
      </c>
      <c r="E26" t="n">
        <v>5.51583870967742</v>
      </c>
      <c r="F26" t="n">
        <v>1.208774193548387</v>
      </c>
      <c r="G26" t="n">
        <v>0.7606774193548387</v>
      </c>
      <c r="H26" t="n">
        <v>0.002548387096774193</v>
      </c>
      <c r="I26" t="n">
        <v>2.199971612903226</v>
      </c>
      <c r="J26" t="n">
        <v>2.707741935483871</v>
      </c>
      <c r="K26" t="n">
        <v>16.52735870967742</v>
      </c>
      <c r="L26" t="n">
        <v>2.199971612903226</v>
      </c>
      <c r="M26" t="n">
        <v>16.52735870967742</v>
      </c>
      <c r="N26" t="n">
        <v>25.18170967741936</v>
      </c>
      <c r="O26" t="n">
        <v>25.18170967741936</v>
      </c>
      <c r="P26" t="n">
        <v>8.654350967741937</v>
      </c>
      <c r="Q26" t="n">
        <v>8.654350967741937</v>
      </c>
      <c r="R26" t="n">
        <v>1.189967741935484</v>
      </c>
      <c r="S26" t="n">
        <v>1.932354838709677</v>
      </c>
      <c r="T26" t="inlineStr">
        <is>
          <t>EIA</t>
        </is>
      </c>
      <c r="U26" t="n">
        <v>27.11406451612904</v>
      </c>
      <c r="V26" t="n">
        <v>27.11406451612904</v>
      </c>
      <c r="W26" t="n">
        <v>9.396738064516132</v>
      </c>
      <c r="X26" t="n">
        <v>9.396738064516132</v>
      </c>
    </row>
    <row r="27">
      <c r="A27" t="n">
        <v>25</v>
      </c>
      <c r="B27" s="3" t="n">
        <v>44958</v>
      </c>
      <c r="C27" t="inlineStr">
        <is>
          <t>Actual</t>
        </is>
      </c>
      <c r="D27" t="n">
        <v>4.249357142857143</v>
      </c>
      <c r="E27" t="n">
        <v>5.526035714285714</v>
      </c>
      <c r="F27" t="n">
        <v>1.250571428571429</v>
      </c>
      <c r="G27" t="n">
        <v>0.8006071428571429</v>
      </c>
      <c r="H27" t="n">
        <v>0.002535714285714286</v>
      </c>
      <c r="I27" t="n">
        <v>2.945725</v>
      </c>
      <c r="J27" t="n">
        <v>2.707571428571429</v>
      </c>
      <c r="K27" t="n">
        <v>17.48240357142857</v>
      </c>
      <c r="L27" t="n">
        <v>2.945725</v>
      </c>
      <c r="M27" t="n">
        <v>17.48240357142857</v>
      </c>
      <c r="N27" t="n">
        <v>25.22707142857143</v>
      </c>
      <c r="O27" t="n">
        <v>25.22707142857143</v>
      </c>
      <c r="P27" t="n">
        <v>7.744667857142858</v>
      </c>
      <c r="Q27" t="n">
        <v>7.744667857142858</v>
      </c>
      <c r="R27" t="n">
        <v>1.318821428571429</v>
      </c>
      <c r="S27" t="n">
        <v>1.893642857142857</v>
      </c>
      <c r="T27" t="inlineStr">
        <is>
          <t>EIA</t>
        </is>
      </c>
      <c r="U27" t="n">
        <v>27.12071428571429</v>
      </c>
      <c r="V27" t="n">
        <v>27.12071428571429</v>
      </c>
      <c r="W27" t="n">
        <v>8.319489285714287</v>
      </c>
      <c r="X27" t="n">
        <v>8.319489285714287</v>
      </c>
    </row>
    <row r="28">
      <c r="A28" t="n">
        <v>26</v>
      </c>
      <c r="B28" s="3" t="n">
        <v>44986</v>
      </c>
      <c r="C28" t="inlineStr">
        <is>
          <t>Actual</t>
        </is>
      </c>
      <c r="D28" t="n">
        <v>3.893903225806452</v>
      </c>
      <c r="E28" t="n">
        <v>5.402161290322581</v>
      </c>
      <c r="F28" t="n">
        <v>0.694516129032258</v>
      </c>
      <c r="G28" t="n">
        <v>0.615225806451613</v>
      </c>
      <c r="H28" t="n">
        <v>0.002548387096774193</v>
      </c>
      <c r="I28" t="n">
        <v>3.37980870967742</v>
      </c>
      <c r="J28" t="n">
        <v>2.856064516129032</v>
      </c>
      <c r="K28" t="n">
        <v>16.84422806451613</v>
      </c>
      <c r="L28" t="n">
        <v>3.37980870967742</v>
      </c>
      <c r="M28" t="n">
        <v>16.84422806451613</v>
      </c>
      <c r="N28" t="n">
        <v>26.69438709677419</v>
      </c>
      <c r="O28" t="n">
        <v>26.69438709677419</v>
      </c>
      <c r="P28" t="n">
        <v>9.850159032258059</v>
      </c>
      <c r="Q28" t="n">
        <v>9.850159032258059</v>
      </c>
      <c r="R28" t="n">
        <v>1.539709677419355</v>
      </c>
      <c r="S28" t="n">
        <v>1.019161290322581</v>
      </c>
      <c r="T28" t="inlineStr">
        <is>
          <t>EIA</t>
        </is>
      </c>
      <c r="U28" t="n">
        <v>27.71354838709677</v>
      </c>
      <c r="V28" t="n">
        <v>27.71354838709677</v>
      </c>
      <c r="W28" t="n">
        <v>9.329610645161287</v>
      </c>
      <c r="X28" t="n">
        <v>9.329610645161287</v>
      </c>
    </row>
    <row r="29">
      <c r="A29" t="n">
        <v>27</v>
      </c>
      <c r="B29" s="3" t="n">
        <v>45017</v>
      </c>
      <c r="C29" t="inlineStr">
        <is>
          <t>Actual</t>
        </is>
      </c>
      <c r="D29" t="n">
        <v>3.9954</v>
      </c>
      <c r="E29" t="n">
        <v>5.470466666666666</v>
      </c>
      <c r="F29" t="n">
        <v>0.4013333333333333</v>
      </c>
      <c r="G29" t="n">
        <v>0.4463666666666667</v>
      </c>
      <c r="H29" t="n">
        <v>0.002533333333333333</v>
      </c>
      <c r="I29" t="n">
        <v>4.289840333333334</v>
      </c>
      <c r="J29" t="n">
        <v>2.752766666666667</v>
      </c>
      <c r="K29" t="n">
        <v>17.358707</v>
      </c>
      <c r="L29" t="n">
        <v>4.289840333333334</v>
      </c>
      <c r="M29" t="n">
        <v>17.358707</v>
      </c>
      <c r="N29" t="n">
        <v>26.09276666666667</v>
      </c>
      <c r="O29" t="n">
        <v>26.09276666666667</v>
      </c>
      <c r="P29" t="n">
        <v>8.734059666666667</v>
      </c>
      <c r="Q29" t="n">
        <v>8.734059666666667</v>
      </c>
      <c r="R29" t="n">
        <v>1.441633333333334</v>
      </c>
      <c r="S29" t="n">
        <v>0.6953333333333334</v>
      </c>
      <c r="T29" t="inlineStr">
        <is>
          <t>EIA</t>
        </is>
      </c>
      <c r="U29" t="n">
        <v>26.7881</v>
      </c>
      <c r="V29" t="n">
        <v>26.7881</v>
      </c>
      <c r="W29" t="n">
        <v>7.987759666666667</v>
      </c>
      <c r="X29" t="n">
        <v>7.987759666666667</v>
      </c>
    </row>
    <row r="30">
      <c r="A30" t="n">
        <v>28</v>
      </c>
      <c r="B30" s="3" t="n">
        <v>45047</v>
      </c>
      <c r="C30" t="inlineStr">
        <is>
          <t>Actual</t>
        </is>
      </c>
      <c r="D30" t="n">
        <v>5.581419354838709</v>
      </c>
      <c r="E30" t="n">
        <v>5.328387096774193</v>
      </c>
      <c r="F30" t="n">
        <v>0.2346774193548387</v>
      </c>
      <c r="G30" t="n">
        <v>0.4124516129032258</v>
      </c>
      <c r="H30" t="n">
        <v>0.002548387096774193</v>
      </c>
      <c r="I30" t="n">
        <v>4.435456129032259</v>
      </c>
      <c r="J30" t="n">
        <v>2.939967741935484</v>
      </c>
      <c r="K30" t="n">
        <v>18.93490774193548</v>
      </c>
      <c r="L30" t="n">
        <v>4.435456129032259</v>
      </c>
      <c r="M30" t="n">
        <v>18.93490774193548</v>
      </c>
      <c r="N30" t="n">
        <v>26.302</v>
      </c>
      <c r="O30" t="n">
        <v>26.302</v>
      </c>
      <c r="P30" t="n">
        <v>7.367092258064517</v>
      </c>
      <c r="Q30" t="n">
        <v>7.367092258064517</v>
      </c>
      <c r="R30" t="n">
        <v>1.817225806451613</v>
      </c>
      <c r="S30" t="n">
        <v>0.7054838709677419</v>
      </c>
      <c r="T30" t="inlineStr">
        <is>
          <t>EIA</t>
        </is>
      </c>
      <c r="U30" t="n">
        <v>27.00748387096774</v>
      </c>
      <c r="V30" t="n">
        <v>27.00748387096774</v>
      </c>
      <c r="W30" t="n">
        <v>6.255350322580647</v>
      </c>
      <c r="X30" t="n">
        <v>6.255350322580647</v>
      </c>
    </row>
    <row r="31">
      <c r="A31" t="n">
        <v>29</v>
      </c>
      <c r="B31" s="3" t="n">
        <v>45078</v>
      </c>
      <c r="C31" t="inlineStr">
        <is>
          <t>Actual</t>
        </is>
      </c>
      <c r="D31" t="n">
        <v>7.014966666666666</v>
      </c>
      <c r="E31" t="n">
        <v>5.343</v>
      </c>
      <c r="F31" t="n">
        <v>0.2256666666666667</v>
      </c>
      <c r="G31" t="n">
        <v>0.4073333333333333</v>
      </c>
      <c r="H31" t="n">
        <v>0.002533333333333333</v>
      </c>
      <c r="I31" t="n">
        <v>4.568444333333334</v>
      </c>
      <c r="J31" t="n">
        <v>3.368</v>
      </c>
      <c r="K31" t="n">
        <v>20.92994433333334</v>
      </c>
      <c r="L31" t="n">
        <v>4.568444333333334</v>
      </c>
      <c r="M31" t="n">
        <v>20.92994433333333</v>
      </c>
      <c r="N31" t="n">
        <v>25.9884</v>
      </c>
      <c r="O31" t="n">
        <v>25.9884</v>
      </c>
      <c r="P31" t="n">
        <v>5.058455666666664</v>
      </c>
      <c r="Q31" t="n">
        <v>5.058455666666667</v>
      </c>
      <c r="R31" t="n">
        <v>1.372766666666667</v>
      </c>
      <c r="S31" t="n">
        <v>1.0153</v>
      </c>
      <c r="T31" t="inlineStr">
        <is>
          <t>EIA</t>
        </is>
      </c>
      <c r="U31" t="n">
        <v>27.0037</v>
      </c>
      <c r="V31" t="n">
        <v>27.0037</v>
      </c>
      <c r="W31" t="n">
        <v>4.700988999999996</v>
      </c>
      <c r="X31" t="n">
        <v>4.700989</v>
      </c>
    </row>
    <row r="32">
      <c r="A32" t="n">
        <v>30</v>
      </c>
      <c r="B32" s="3" t="n">
        <v>45108</v>
      </c>
      <c r="C32" t="inlineStr">
        <is>
          <t>Actual</t>
        </is>
      </c>
      <c r="D32" t="n">
        <v>7.577548387096774</v>
      </c>
      <c r="E32" t="n">
        <v>5.342064516129033</v>
      </c>
      <c r="F32" t="n">
        <v>0.2085161290322581</v>
      </c>
      <c r="G32" t="n">
        <v>0.4069354838709677</v>
      </c>
      <c r="H32" t="n">
        <v>0.002548387096774193</v>
      </c>
      <c r="I32" t="n">
        <v>4.154693225806452</v>
      </c>
      <c r="J32" t="n">
        <v>3.123096774193549</v>
      </c>
      <c r="K32" t="n">
        <v>20.81540290322581</v>
      </c>
      <c r="L32" t="n">
        <v>4.154693225806452</v>
      </c>
      <c r="M32" t="n">
        <v>20.81540290322581</v>
      </c>
      <c r="N32" t="n">
        <v>26.24264516129032</v>
      </c>
      <c r="O32" t="n">
        <v>26.24264516129032</v>
      </c>
      <c r="P32" t="n">
        <v>5.42724225806451</v>
      </c>
      <c r="Q32" t="n">
        <v>5.42724225806451</v>
      </c>
      <c r="R32" t="n">
        <v>0.9224516129032259</v>
      </c>
      <c r="S32" t="n">
        <v>1.486451612903226</v>
      </c>
      <c r="T32" t="inlineStr">
        <is>
          <t>EIA</t>
        </is>
      </c>
      <c r="U32" t="n">
        <v>27.72909677419355</v>
      </c>
      <c r="V32" t="n">
        <v>27.72909677419355</v>
      </c>
      <c r="W32" t="n">
        <v>5.991242258064512</v>
      </c>
      <c r="X32" t="n">
        <v>5.991242258064512</v>
      </c>
    </row>
    <row r="33">
      <c r="A33" t="n">
        <v>31</v>
      </c>
      <c r="B33" s="3" t="n">
        <v>45139</v>
      </c>
      <c r="C33" t="inlineStr">
        <is>
          <t>Actual</t>
        </is>
      </c>
      <c r="D33" t="n">
        <v>8.656483870967742</v>
      </c>
      <c r="E33" t="n">
        <v>5.447580645161291</v>
      </c>
      <c r="F33" t="n">
        <v>0.1878064516129032</v>
      </c>
      <c r="G33" t="n">
        <v>0.3826774193548387</v>
      </c>
      <c r="H33" t="n">
        <v>0.002548387096774193</v>
      </c>
      <c r="I33" t="n">
        <v>4.355429032258065</v>
      </c>
      <c r="J33" t="n">
        <v>3.173225806451613</v>
      </c>
      <c r="K33" t="n">
        <v>22.20575161290322</v>
      </c>
      <c r="L33" t="n">
        <v>4.355429032258065</v>
      </c>
      <c r="M33" t="n">
        <v>22.20575161290322</v>
      </c>
      <c r="N33" t="n">
        <v>26.59361290322581</v>
      </c>
      <c r="O33" t="n">
        <v>26.59361290322581</v>
      </c>
      <c r="P33" t="n">
        <v>4.387861290322586</v>
      </c>
      <c r="Q33" t="n">
        <v>4.387861290322586</v>
      </c>
      <c r="R33" t="n">
        <v>1.958129032258065</v>
      </c>
      <c r="S33" t="n">
        <v>3.372032258064516</v>
      </c>
      <c r="T33" t="inlineStr">
        <is>
          <t>EIA</t>
        </is>
      </c>
      <c r="U33" t="n">
        <v>29.96564516129033</v>
      </c>
      <c r="V33" t="n">
        <v>29.96564516129033</v>
      </c>
      <c r="W33" t="n">
        <v>5.801764516129037</v>
      </c>
      <c r="X33" t="n">
        <v>5.801764516129037</v>
      </c>
    </row>
    <row r="34">
      <c r="A34" t="n">
        <v>32</v>
      </c>
      <c r="B34" s="3" t="n">
        <v>45170</v>
      </c>
      <c r="C34" t="inlineStr">
        <is>
          <t>Actual</t>
        </is>
      </c>
      <c r="D34" t="n">
        <v>7.155399999999999</v>
      </c>
      <c r="E34" t="n">
        <v>5.445399999999999</v>
      </c>
      <c r="F34" t="n">
        <v>0.1764</v>
      </c>
      <c r="G34" t="n">
        <v>0.3765</v>
      </c>
      <c r="H34" t="n">
        <v>0.002533333333333333</v>
      </c>
      <c r="I34" t="n">
        <v>4.119473333333334</v>
      </c>
      <c r="J34" t="n">
        <v>3.124733333333333</v>
      </c>
      <c r="K34" t="n">
        <v>20.40044</v>
      </c>
      <c r="L34" t="n">
        <v>4.119473333333334</v>
      </c>
      <c r="M34" t="n">
        <v>20.40044</v>
      </c>
      <c r="N34" t="n">
        <v>26.9492</v>
      </c>
      <c r="O34" t="n">
        <v>26.9492</v>
      </c>
      <c r="P34" t="n">
        <v>6.548760000000001</v>
      </c>
      <c r="Q34" t="n">
        <v>6.548760000000001</v>
      </c>
      <c r="R34" t="n">
        <v>3.023566666666667</v>
      </c>
      <c r="S34" t="n">
        <v>2.7875</v>
      </c>
      <c r="T34" t="inlineStr">
        <is>
          <t>EIA</t>
        </is>
      </c>
      <c r="U34" t="n">
        <v>29.7367</v>
      </c>
      <c r="V34" t="n">
        <v>29.7367</v>
      </c>
      <c r="W34" t="n">
        <v>6.312693333333336</v>
      </c>
      <c r="X34" t="n">
        <v>6.312693333333336</v>
      </c>
    </row>
    <row r="35">
      <c r="A35" t="n">
        <v>33</v>
      </c>
      <c r="B35" s="3" t="n">
        <v>45200</v>
      </c>
      <c r="C35" t="inlineStr">
        <is>
          <t>Actual</t>
        </is>
      </c>
      <c r="D35" t="n">
        <v>4.932032258064516</v>
      </c>
      <c r="E35" t="n">
        <v>5.434838709677419</v>
      </c>
      <c r="F35" t="n">
        <v>0.3194516129032258</v>
      </c>
      <c r="G35" t="n">
        <v>0.4662903225806452</v>
      </c>
      <c r="H35" t="n">
        <v>0.002548387096774193</v>
      </c>
      <c r="I35" t="n">
        <v>4.477333225806452</v>
      </c>
      <c r="J35" t="n">
        <v>3.054387096774194</v>
      </c>
      <c r="K35" t="n">
        <v>18.68688161290323</v>
      </c>
      <c r="L35" t="n">
        <v>4.477333225806452</v>
      </c>
      <c r="M35" t="n">
        <v>18.68688161290323</v>
      </c>
      <c r="N35" t="n">
        <v>26.96512903225807</v>
      </c>
      <c r="O35" t="n">
        <v>26.96512903225807</v>
      </c>
      <c r="P35" t="n">
        <v>8.278247419354841</v>
      </c>
      <c r="Q35" t="n">
        <v>8.278247419354841</v>
      </c>
      <c r="R35" t="n">
        <v>2.598548387096774</v>
      </c>
      <c r="S35" t="n">
        <v>1.050774193548387</v>
      </c>
      <c r="T35" t="inlineStr">
        <is>
          <t>EIA</t>
        </is>
      </c>
      <c r="U35" t="n">
        <v>28.01590322580646</v>
      </c>
      <c r="V35" t="n">
        <v>28.01590322580646</v>
      </c>
      <c r="W35" t="n">
        <v>6.730473225806455</v>
      </c>
      <c r="X35" t="n">
        <v>6.730473225806455</v>
      </c>
    </row>
    <row r="36">
      <c r="A36" t="n">
        <v>34</v>
      </c>
      <c r="B36" s="3" t="n">
        <v>45231</v>
      </c>
      <c r="C36" t="inlineStr">
        <is>
          <t>Actual</t>
        </is>
      </c>
      <c r="D36" t="n">
        <v>4.633666666666667</v>
      </c>
      <c r="E36" t="n">
        <v>5.712766666666666</v>
      </c>
      <c r="F36" t="n">
        <v>0.6995</v>
      </c>
      <c r="G36" t="n">
        <v>0.6163</v>
      </c>
      <c r="H36" t="n">
        <v>0.002533333333333333</v>
      </c>
      <c r="I36" t="n">
        <v>4.525462</v>
      </c>
      <c r="J36" t="n">
        <v>2.908766666666667</v>
      </c>
      <c r="K36" t="n">
        <v>19.09899533333334</v>
      </c>
      <c r="L36" t="n">
        <v>4.525462</v>
      </c>
      <c r="M36" t="n">
        <v>19.09899533333334</v>
      </c>
      <c r="N36" t="n">
        <v>27.1668</v>
      </c>
      <c r="O36" t="n">
        <v>27.1668</v>
      </c>
      <c r="P36" t="n">
        <v>8.06780466666666</v>
      </c>
      <c r="Q36" t="n">
        <v>8.06780466666666</v>
      </c>
      <c r="R36" t="n">
        <v>1.747533333333333</v>
      </c>
      <c r="S36" t="n">
        <v>1.378966666666667</v>
      </c>
      <c r="T36" t="inlineStr">
        <is>
          <t>EIA</t>
        </is>
      </c>
      <c r="U36" t="n">
        <v>28.54576666666667</v>
      </c>
      <c r="V36" t="n">
        <v>28.54576666666667</v>
      </c>
      <c r="W36" t="n">
        <v>7.699237999999994</v>
      </c>
      <c r="X36" t="n">
        <v>7.699237999999994</v>
      </c>
    </row>
    <row r="37">
      <c r="A37" t="n">
        <v>35</v>
      </c>
      <c r="B37" s="3" t="n">
        <v>45261</v>
      </c>
      <c r="C37" t="inlineStr">
        <is>
          <t>Actual</t>
        </is>
      </c>
      <c r="D37" t="n">
        <v>4.421</v>
      </c>
      <c r="E37" t="n">
        <v>5.817548387096775</v>
      </c>
      <c r="F37" t="n">
        <v>1.020774193548387</v>
      </c>
      <c r="G37" t="n">
        <v>0.7173548387096774</v>
      </c>
      <c r="H37" t="n">
        <v>0.002548387096774193</v>
      </c>
      <c r="I37" t="n">
        <v>4.761295806451614</v>
      </c>
      <c r="J37" t="n">
        <v>2.73416129032258</v>
      </c>
      <c r="K37" t="n">
        <v>19.47468290322581</v>
      </c>
      <c r="L37" t="n">
        <v>4.761295806451614</v>
      </c>
      <c r="M37" t="n">
        <v>19.47468290322581</v>
      </c>
      <c r="N37" t="n">
        <v>27.04570967741936</v>
      </c>
      <c r="O37" t="n">
        <v>27.04570967741936</v>
      </c>
      <c r="P37" t="n">
        <v>7.571026774193552</v>
      </c>
      <c r="Q37" t="n">
        <v>7.571026774193552</v>
      </c>
      <c r="R37" t="n">
        <v>1.347290322580645</v>
      </c>
      <c r="S37" t="n">
        <v>1.436451612903226</v>
      </c>
      <c r="T37" t="inlineStr">
        <is>
          <t>EIA</t>
        </is>
      </c>
      <c r="U37" t="n">
        <v>28.48216129032259</v>
      </c>
      <c r="V37" t="n">
        <v>28.48216129032259</v>
      </c>
      <c r="W37" t="n">
        <v>7.660188064516134</v>
      </c>
      <c r="X37" t="n">
        <v>7.660188064516134</v>
      </c>
    </row>
    <row r="38">
      <c r="A38" t="n">
        <v>36</v>
      </c>
      <c r="B38" s="3" t="n">
        <v>45292</v>
      </c>
      <c r="C38" t="inlineStr">
        <is>
          <t>Actual</t>
        </is>
      </c>
      <c r="D38" t="n">
        <v>5.561419354838709</v>
      </c>
      <c r="E38" t="n">
        <v>5.737903225806452</v>
      </c>
      <c r="F38" t="n">
        <v>1.718290322580645</v>
      </c>
      <c r="G38" t="n">
        <v>0.9129677419354839</v>
      </c>
      <c r="H38" t="n">
        <v>0.007419354838709677</v>
      </c>
      <c r="I38" t="n">
        <v>4.002901935483871</v>
      </c>
      <c r="J38" t="n">
        <v>3.045290322580645</v>
      </c>
      <c r="K38" t="n">
        <v>20.98619225806452</v>
      </c>
      <c r="L38" t="n">
        <v>4.002901935483871</v>
      </c>
      <c r="M38" t="n">
        <v>20.98619225806451</v>
      </c>
      <c r="N38" t="n">
        <v>25.127</v>
      </c>
      <c r="O38" t="n">
        <v>25.127</v>
      </c>
      <c r="P38" t="n">
        <v>4.140807741935483</v>
      </c>
      <c r="Q38" t="n">
        <v>4.140807741935486</v>
      </c>
      <c r="R38" t="n">
        <v>0.917741935483871</v>
      </c>
      <c r="S38" t="n">
        <v>3.95441935483871</v>
      </c>
      <c r="T38" t="inlineStr">
        <is>
          <t>EIA</t>
        </is>
      </c>
      <c r="U38" t="n">
        <v>29.08141935483871</v>
      </c>
      <c r="V38" t="n">
        <v>29.08141935483871</v>
      </c>
      <c r="W38" t="n">
        <v>7.177485161290321</v>
      </c>
      <c r="X38" t="n">
        <v>7.177485161290324</v>
      </c>
    </row>
    <row r="39">
      <c r="A39" t="n">
        <v>37</v>
      </c>
      <c r="B39" s="3" t="n">
        <v>45323</v>
      </c>
      <c r="C39" t="inlineStr">
        <is>
          <t>Actual</t>
        </is>
      </c>
      <c r="D39" t="n">
        <v>4.008068965517241</v>
      </c>
      <c r="E39" t="n">
        <v>5.536586206896551</v>
      </c>
      <c r="F39" t="n">
        <v>1.097586206896552</v>
      </c>
      <c r="G39" t="n">
        <v>0.764551724137931</v>
      </c>
      <c r="H39" t="n">
        <v>0.007413793103448276</v>
      </c>
      <c r="I39" t="n">
        <v>3.654431724137932</v>
      </c>
      <c r="J39" t="n">
        <v>2.881137931034483</v>
      </c>
      <c r="K39" t="n">
        <v>17.94977655172414</v>
      </c>
      <c r="L39" t="n">
        <v>3.654431724137932</v>
      </c>
      <c r="M39" t="n">
        <v>17.94977655172414</v>
      </c>
      <c r="N39" t="n">
        <v>26.47165517241379</v>
      </c>
      <c r="O39" t="n">
        <v>26.47165517241379</v>
      </c>
      <c r="P39" t="n">
        <v>8.521878620689652</v>
      </c>
      <c r="Q39" t="n">
        <v>8.521878620689652</v>
      </c>
      <c r="R39" t="n">
        <v>2.00796551724138</v>
      </c>
      <c r="S39" t="n">
        <v>1.601103448275862</v>
      </c>
      <c r="T39" t="inlineStr">
        <is>
          <t>EIA</t>
        </is>
      </c>
      <c r="U39" t="n">
        <v>28.07275862068965</v>
      </c>
      <c r="V39" t="n">
        <v>28.07275862068965</v>
      </c>
      <c r="W39" t="n">
        <v>8.115016551724134</v>
      </c>
      <c r="X39" t="n">
        <v>8.115016551724134</v>
      </c>
    </row>
    <row r="40">
      <c r="A40" t="n">
        <v>38</v>
      </c>
      <c r="B40" s="3" t="n">
        <v>45352</v>
      </c>
      <c r="C40" t="inlineStr">
        <is>
          <t>Actual</t>
        </is>
      </c>
      <c r="D40" t="n">
        <v>4.475806451612903</v>
      </c>
      <c r="E40" t="n">
        <v>5.56</v>
      </c>
      <c r="F40" t="n">
        <v>0.5969677419354839</v>
      </c>
      <c r="G40" t="n">
        <v>0.5730645161290323</v>
      </c>
      <c r="H40" t="n">
        <v>0.007419354838709677</v>
      </c>
      <c r="I40" t="n">
        <v>3.077456774193548</v>
      </c>
      <c r="J40" t="n">
        <v>2.966548387096774</v>
      </c>
      <c r="K40" t="n">
        <v>17.25726322580645</v>
      </c>
      <c r="L40" t="n">
        <v>3.077456774193548</v>
      </c>
      <c r="M40" t="n">
        <v>17.25726322580645</v>
      </c>
      <c r="N40" t="n">
        <v>26.71183870967742</v>
      </c>
      <c r="O40" t="n">
        <v>26.71183870967742</v>
      </c>
      <c r="P40" t="n">
        <v>9.454575483870968</v>
      </c>
      <c r="Q40" t="n">
        <v>9.454575483870968</v>
      </c>
      <c r="R40" t="n">
        <v>2.315548387096774</v>
      </c>
      <c r="S40" t="n">
        <v>1.130161290322581</v>
      </c>
      <c r="T40" t="inlineStr">
        <is>
          <t>EIA</t>
        </is>
      </c>
      <c r="U40" t="n">
        <v>27.842</v>
      </c>
      <c r="V40" t="n">
        <v>27.842</v>
      </c>
      <c r="W40" t="n">
        <v>8.269188387096774</v>
      </c>
      <c r="X40" t="n">
        <v>8.269188387096774</v>
      </c>
    </row>
    <row r="41">
      <c r="A41" t="n">
        <v>39</v>
      </c>
      <c r="B41" s="3" t="n">
        <v>45383</v>
      </c>
      <c r="C41" t="inlineStr">
        <is>
          <t>Actual</t>
        </is>
      </c>
      <c r="D41" t="n">
        <v>4.507533333333334</v>
      </c>
      <c r="E41" t="n">
        <v>5.455</v>
      </c>
      <c r="F41" t="n">
        <v>0.3352</v>
      </c>
      <c r="G41" t="n">
        <v>0.4414666666666666</v>
      </c>
      <c r="H41" t="n">
        <v>0.0074</v>
      </c>
      <c r="I41" t="n">
        <v>2.211428333333334</v>
      </c>
      <c r="J41" t="n">
        <v>3.1878</v>
      </c>
      <c r="K41" t="n">
        <v>16.14582833333333</v>
      </c>
      <c r="L41" t="n">
        <v>2.211428333333334</v>
      </c>
      <c r="M41" t="n">
        <v>16.14582833333333</v>
      </c>
      <c r="N41" t="n">
        <v>26.68763333333333</v>
      </c>
      <c r="O41" t="n">
        <v>26.68763333333333</v>
      </c>
      <c r="P41" t="n">
        <v>10.541805</v>
      </c>
      <c r="Q41" t="n">
        <v>10.541805</v>
      </c>
      <c r="R41" t="n">
        <v>2.3053</v>
      </c>
      <c r="S41" t="n">
        <v>1.326766666666667</v>
      </c>
      <c r="T41" t="inlineStr">
        <is>
          <t>EIA</t>
        </is>
      </c>
      <c r="U41" t="n">
        <v>28.0144</v>
      </c>
      <c r="V41" t="n">
        <v>28.0144</v>
      </c>
      <c r="W41" t="n">
        <v>9.563271666666664</v>
      </c>
      <c r="X41" t="n">
        <v>9.563271666666664</v>
      </c>
    </row>
    <row r="42">
      <c r="A42" t="n">
        <v>40</v>
      </c>
      <c r="B42" s="3" t="n">
        <v>45413</v>
      </c>
      <c r="C42" t="inlineStr">
        <is>
          <t>Actual</t>
        </is>
      </c>
      <c r="D42" t="n">
        <v>6.010064516129032</v>
      </c>
      <c r="E42" t="n">
        <v>5.232161290322581</v>
      </c>
      <c r="F42" t="n">
        <v>0.2444516129032258</v>
      </c>
      <c r="G42" t="n">
        <v>0.4193225806451613</v>
      </c>
      <c r="H42" t="n">
        <v>0.007419354838709677</v>
      </c>
      <c r="I42" t="n">
        <v>4.10494</v>
      </c>
      <c r="J42" t="n">
        <v>3.257677419354839</v>
      </c>
      <c r="K42" t="n">
        <v>19.27603677419355</v>
      </c>
      <c r="L42" t="n">
        <v>4.10494</v>
      </c>
      <c r="M42" t="n">
        <v>19.27603677419355</v>
      </c>
      <c r="N42" t="n">
        <v>27.57170967741936</v>
      </c>
      <c r="O42" t="n">
        <v>27.57170967741936</v>
      </c>
      <c r="P42" t="n">
        <v>8.29567290322581</v>
      </c>
      <c r="Q42" t="n">
        <v>8.29567290322581</v>
      </c>
      <c r="R42" t="n">
        <v>1.905258064516129</v>
      </c>
      <c r="S42" t="n">
        <v>1.243225806451613</v>
      </c>
      <c r="T42" t="inlineStr">
        <is>
          <t>EIA</t>
        </is>
      </c>
      <c r="U42" t="n">
        <v>28.81493548387097</v>
      </c>
      <c r="V42" t="n">
        <v>28.81493548387097</v>
      </c>
      <c r="W42" t="n">
        <v>7.633640645161293</v>
      </c>
      <c r="X42" t="n">
        <v>7.633640645161293</v>
      </c>
    </row>
    <row r="43">
      <c r="A43" t="n">
        <v>41</v>
      </c>
      <c r="B43" s="3" t="n">
        <v>45444</v>
      </c>
      <c r="C43" t="inlineStr">
        <is>
          <t>Actual</t>
        </is>
      </c>
      <c r="D43" t="n">
        <v>6.976733333333334</v>
      </c>
      <c r="E43" t="n">
        <v>5.412633333333333</v>
      </c>
      <c r="F43" t="n">
        <v>0.2411666666666667</v>
      </c>
      <c r="G43" t="n">
        <v>0.4122</v>
      </c>
      <c r="H43" t="n">
        <v>0.0074</v>
      </c>
      <c r="I43" t="n">
        <v>4.706075</v>
      </c>
      <c r="J43" t="n">
        <v>3.117133333333333</v>
      </c>
      <c r="K43" t="n">
        <v>20.87334166666666</v>
      </c>
      <c r="L43" t="n">
        <v>4.706075</v>
      </c>
      <c r="M43" t="n">
        <v>20.87334166666666</v>
      </c>
      <c r="N43" t="n">
        <v>27.7913</v>
      </c>
      <c r="O43" t="n">
        <v>27.7913</v>
      </c>
      <c r="P43" t="n">
        <v>6.917958333333335</v>
      </c>
      <c r="Q43" t="n">
        <v>6.917958333333338</v>
      </c>
      <c r="R43" t="n">
        <v>1.550366666666667</v>
      </c>
      <c r="S43" t="n">
        <v>1.3302</v>
      </c>
      <c r="T43" t="inlineStr">
        <is>
          <t>EIA</t>
        </is>
      </c>
      <c r="U43" t="n">
        <v>29.1215</v>
      </c>
      <c r="V43" t="n">
        <v>29.1215</v>
      </c>
      <c r="W43" t="n">
        <v>6.697791666666669</v>
      </c>
      <c r="X43" t="n">
        <v>6.697791666666673</v>
      </c>
    </row>
    <row r="44">
      <c r="A44" t="n">
        <v>42</v>
      </c>
      <c r="B44" s="3" t="n">
        <v>45474</v>
      </c>
      <c r="C44" t="inlineStr">
        <is>
          <t>Actual</t>
        </is>
      </c>
      <c r="D44" t="n">
        <v>7.261322580645161</v>
      </c>
      <c r="E44" t="n">
        <v>5.511741935483871</v>
      </c>
      <c r="F44" t="n">
        <v>0.2387096774193548</v>
      </c>
      <c r="G44" t="n">
        <v>0.4077096774193548</v>
      </c>
      <c r="H44" t="n">
        <v>0.007419354838709677</v>
      </c>
      <c r="I44" t="n">
        <v>2.888535161290323</v>
      </c>
      <c r="J44" t="n">
        <v>3.147096774193549</v>
      </c>
      <c r="K44" t="n">
        <v>19.46253516129033</v>
      </c>
      <c r="L44" t="n">
        <v>2.888535161290323</v>
      </c>
      <c r="M44" t="n">
        <v>19.46253516129033</v>
      </c>
      <c r="N44" t="n">
        <v>27.72906451612904</v>
      </c>
      <c r="O44" t="n">
        <v>27.72906451612904</v>
      </c>
      <c r="P44" t="n">
        <v>8.266529354838713</v>
      </c>
      <c r="Q44" t="n">
        <v>8.266529354838713</v>
      </c>
      <c r="R44" t="n">
        <v>1.135903225806452</v>
      </c>
      <c r="S44" t="n">
        <v>1.670774193548387</v>
      </c>
      <c r="T44" t="inlineStr">
        <is>
          <t>EIA</t>
        </is>
      </c>
      <c r="U44" t="n">
        <v>29.39983870967743</v>
      </c>
      <c r="V44" t="n">
        <v>29.39983870967743</v>
      </c>
      <c r="W44" t="n">
        <v>8.801400322580648</v>
      </c>
      <c r="X44" t="n">
        <v>8.801400322580648</v>
      </c>
    </row>
    <row r="45">
      <c r="A45" t="n">
        <v>43</v>
      </c>
      <c r="B45" s="3" t="n">
        <v>45505</v>
      </c>
      <c r="C45" t="inlineStr">
        <is>
          <t>Actual</t>
        </is>
      </c>
      <c r="D45" t="n">
        <v>8.358483870967742</v>
      </c>
      <c r="E45" t="n">
        <v>5.637741935483871</v>
      </c>
      <c r="F45" t="n">
        <v>0.2118709677419355</v>
      </c>
      <c r="G45" t="n">
        <v>0.3919677419354838</v>
      </c>
      <c r="H45" t="n">
        <v>0.007419354838709677</v>
      </c>
      <c r="I45" t="n">
        <v>4.445793548387098</v>
      </c>
      <c r="J45" t="n">
        <v>3.193548387096774</v>
      </c>
      <c r="K45" t="n">
        <v>22.24682580645161</v>
      </c>
      <c r="L45" t="n">
        <v>4.445793548387098</v>
      </c>
      <c r="M45" t="n">
        <v>22.24682580645161</v>
      </c>
      <c r="N45" t="n">
        <v>27.9198064516129</v>
      </c>
      <c r="O45" t="n">
        <v>27.9198064516129</v>
      </c>
      <c r="P45" t="n">
        <v>5.672980645161289</v>
      </c>
      <c r="Q45" t="n">
        <v>5.672980645161289</v>
      </c>
      <c r="R45" t="n">
        <v>1.875322580645161</v>
      </c>
      <c r="S45" t="n">
        <v>3.474741935483871</v>
      </c>
      <c r="T45" t="inlineStr">
        <is>
          <t>EIA</t>
        </is>
      </c>
      <c r="U45" t="n">
        <v>31.39454838709677</v>
      </c>
      <c r="V45" t="n">
        <v>31.39454838709677</v>
      </c>
      <c r="W45" t="n">
        <v>7.272399999999998</v>
      </c>
      <c r="X45" t="n">
        <v>7.272399999999998</v>
      </c>
    </row>
    <row r="46">
      <c r="A46" t="n">
        <v>44</v>
      </c>
      <c r="B46" s="3" t="n">
        <v>45536</v>
      </c>
      <c r="C46" t="inlineStr">
        <is>
          <t>Actual</t>
        </is>
      </c>
      <c r="D46" t="n">
        <v>6.897866666666666</v>
      </c>
      <c r="E46" t="n">
        <v>5.5316</v>
      </c>
      <c r="F46" t="n">
        <v>0.2098333333333333</v>
      </c>
      <c r="G46" t="n">
        <v>0.4142666666666667</v>
      </c>
      <c r="H46" t="n">
        <v>0.0074</v>
      </c>
      <c r="I46" t="n">
        <v>4.636932666666667</v>
      </c>
      <c r="J46" t="n">
        <v>3.0912</v>
      </c>
      <c r="K46" t="n">
        <v>20.78909933333333</v>
      </c>
      <c r="L46" t="n">
        <v>4.636932666666667</v>
      </c>
      <c r="M46" t="n">
        <v>20.78909933333333</v>
      </c>
      <c r="N46" t="n">
        <v>28.2645</v>
      </c>
      <c r="O46" t="n">
        <v>28.2645</v>
      </c>
      <c r="P46" t="n">
        <v>7.475400666666669</v>
      </c>
      <c r="Q46" t="n">
        <v>7.475400666666669</v>
      </c>
      <c r="R46" t="n">
        <v>2.5233</v>
      </c>
      <c r="S46" t="n">
        <v>2.227366666666667</v>
      </c>
      <c r="T46" t="inlineStr">
        <is>
          <t>EIA</t>
        </is>
      </c>
      <c r="U46" t="n">
        <v>30.49186666666667</v>
      </c>
      <c r="V46" t="n">
        <v>30.49186666666667</v>
      </c>
      <c r="W46" t="n">
        <v>7.179467333333333</v>
      </c>
      <c r="X46" t="n">
        <v>7.179467333333333</v>
      </c>
    </row>
    <row r="47">
      <c r="A47" t="n">
        <v>45</v>
      </c>
      <c r="B47" s="3" t="n">
        <v>45566</v>
      </c>
      <c r="C47" t="inlineStr">
        <is>
          <t>Actual</t>
        </is>
      </c>
      <c r="D47" t="n">
        <v>5.92516129032258</v>
      </c>
      <c r="E47" t="n">
        <v>5.303709677419355</v>
      </c>
      <c r="F47" t="n">
        <v>0.2420322580645161</v>
      </c>
      <c r="G47" t="n">
        <v>0.4293548387096774</v>
      </c>
      <c r="H47" t="n">
        <v>0.007419354838709677</v>
      </c>
      <c r="I47" t="n">
        <v>4.77529</v>
      </c>
      <c r="J47" t="n">
        <v>2.869387096774194</v>
      </c>
      <c r="K47" t="n">
        <v>19.55235451612903</v>
      </c>
      <c r="L47" t="n">
        <v>4.77529</v>
      </c>
      <c r="M47" t="n">
        <v>19.55235451612903</v>
      </c>
      <c r="N47" t="n">
        <v>28.559</v>
      </c>
      <c r="O47" t="n">
        <v>28.559</v>
      </c>
      <c r="P47" t="n">
        <v>9.006645483870969</v>
      </c>
      <c r="Q47" t="n">
        <v>9.006645483870969</v>
      </c>
      <c r="R47" t="n">
        <v>2.784935483870968</v>
      </c>
      <c r="S47" t="n">
        <v>0.9893548387096774</v>
      </c>
      <c r="T47" t="inlineStr">
        <is>
          <t>EIA</t>
        </is>
      </c>
      <c r="U47" t="n">
        <v>29.54835483870968</v>
      </c>
      <c r="V47" t="n">
        <v>29.54835483870968</v>
      </c>
      <c r="W47" t="n">
        <v>7.211064838709678</v>
      </c>
      <c r="X47" t="n">
        <v>7.211064838709678</v>
      </c>
    </row>
    <row r="48">
      <c r="A48" t="n">
        <v>46</v>
      </c>
      <c r="B48" s="3" t="n">
        <v>45597</v>
      </c>
      <c r="C48" t="inlineStr">
        <is>
          <t>Actual</t>
        </is>
      </c>
      <c r="D48" t="n">
        <v>4.806333333333333</v>
      </c>
      <c r="E48" t="n">
        <v>5.701866666666667</v>
      </c>
      <c r="F48" t="n">
        <v>0.4328666666666667</v>
      </c>
      <c r="G48" t="n">
        <v>0.5004</v>
      </c>
      <c r="H48" t="n">
        <v>0.0074</v>
      </c>
      <c r="I48" t="n">
        <v>4.40033</v>
      </c>
      <c r="J48" t="n">
        <v>2.7428</v>
      </c>
      <c r="K48" t="n">
        <v>18.59199666666667</v>
      </c>
      <c r="L48" t="n">
        <v>4.40033</v>
      </c>
      <c r="M48" t="n">
        <v>18.59199666666667</v>
      </c>
      <c r="N48" t="n">
        <v>28.28536666666666</v>
      </c>
      <c r="O48" t="n">
        <v>28.28536666666666</v>
      </c>
      <c r="P48" t="n">
        <v>9.693369999999994</v>
      </c>
      <c r="Q48" t="n">
        <v>9.693369999999994</v>
      </c>
      <c r="R48" t="n">
        <v>1.816766666666667</v>
      </c>
      <c r="S48" t="n">
        <v>1.256833333333333</v>
      </c>
      <c r="T48" t="inlineStr">
        <is>
          <t>EIA</t>
        </is>
      </c>
      <c r="U48" t="n">
        <v>29.54219999999999</v>
      </c>
      <c r="V48" t="n">
        <v>29.54219999999999</v>
      </c>
      <c r="W48" t="n">
        <v>9.133436666666661</v>
      </c>
      <c r="X48" t="n">
        <v>9.133436666666661</v>
      </c>
    </row>
    <row r="49">
      <c r="A49" t="n">
        <v>47</v>
      </c>
      <c r="B49" s="3" t="n">
        <v>45627</v>
      </c>
      <c r="C49" t="inlineStr">
        <is>
          <t>Actual</t>
        </is>
      </c>
      <c r="D49" t="n">
        <v>4.653419354838709</v>
      </c>
      <c r="E49" t="n">
        <v>6.043483870967742</v>
      </c>
      <c r="F49" t="n">
        <v>0.8987419354838709</v>
      </c>
      <c r="G49" t="n">
        <v>0.681483870967742</v>
      </c>
      <c r="H49" t="n">
        <v>0.007419354838709677</v>
      </c>
      <c r="I49" t="n">
        <v>4.759608064516129</v>
      </c>
      <c r="J49" t="n">
        <v>2.697645161290323</v>
      </c>
      <c r="K49" t="n">
        <v>19.74180161290323</v>
      </c>
      <c r="L49" t="n">
        <v>4.759608064516129</v>
      </c>
      <c r="M49" t="n">
        <v>19.74180161290323</v>
      </c>
      <c r="N49" t="n">
        <v>28.49945161290323</v>
      </c>
      <c r="O49" t="n">
        <v>28.49945161290323</v>
      </c>
      <c r="P49" t="n">
        <v>8.757649999999998</v>
      </c>
      <c r="Q49" t="n">
        <v>8.757649999999998</v>
      </c>
      <c r="R49" t="n">
        <v>1.449032258064516</v>
      </c>
      <c r="S49" t="n">
        <v>1.874064516129032</v>
      </c>
      <c r="T49" t="inlineStr">
        <is>
          <t>EIA</t>
        </is>
      </c>
      <c r="U49" t="n">
        <v>30.37351612903226</v>
      </c>
      <c r="V49" t="n">
        <v>30.37351612903226</v>
      </c>
      <c r="W49" t="n">
        <v>9.182682258064514</v>
      </c>
      <c r="X49" t="n">
        <v>9.182682258064514</v>
      </c>
    </row>
    <row r="50">
      <c r="A50" t="n">
        <v>48</v>
      </c>
      <c r="B50" s="3" t="n">
        <v>45658</v>
      </c>
      <c r="C50" t="inlineStr">
        <is>
          <t>Actual</t>
        </is>
      </c>
      <c r="D50" t="n">
        <v>5.869</v>
      </c>
      <c r="E50" t="n">
        <v>5.845741935483871</v>
      </c>
      <c r="F50" t="n">
        <v>2.010354838709677</v>
      </c>
      <c r="G50" t="n">
        <v>1.101387096774194</v>
      </c>
      <c r="H50" t="n">
        <v>0.006193548387096774</v>
      </c>
      <c r="I50" t="n">
        <v>4.154271290322582</v>
      </c>
      <c r="J50" t="n">
        <v>3.12958064516129</v>
      </c>
      <c r="K50" t="n">
        <v>22.11652935483871</v>
      </c>
      <c r="L50" t="n">
        <v>4.154271290322582</v>
      </c>
      <c r="M50" t="n">
        <v>22.11652935483871</v>
      </c>
      <c r="N50" t="n">
        <v>28.24405679752158</v>
      </c>
      <c r="O50" t="n">
        <v>28.24405679752158</v>
      </c>
      <c r="P50" t="n">
        <v>6.127527442682869</v>
      </c>
      <c r="Q50" t="n">
        <v>6.127527442682869</v>
      </c>
      <c r="R50" t="n">
        <v>1.033096774193548</v>
      </c>
      <c r="S50" t="n">
        <v>4.680032258064516</v>
      </c>
      <c r="T50" t="inlineStr">
        <is>
          <t>EIA</t>
        </is>
      </c>
      <c r="U50" t="n">
        <v>32.92408905558609</v>
      </c>
      <c r="V50" t="n">
        <v>32.92408905558609</v>
      </c>
      <c r="W50" t="n">
        <v>9.774462926553834</v>
      </c>
      <c r="X50" t="n">
        <v>9.774462926553834</v>
      </c>
    </row>
    <row r="51">
      <c r="A51" t="n">
        <v>49</v>
      </c>
      <c r="B51" s="3" t="n">
        <v>45689</v>
      </c>
      <c r="C51" t="inlineStr">
        <is>
          <t>Actual</t>
        </is>
      </c>
      <c r="D51" t="n">
        <v>5.272785714285715</v>
      </c>
      <c r="E51" t="n">
        <v>5.759535714285715</v>
      </c>
      <c r="F51" t="n">
        <v>1.569142857142857</v>
      </c>
      <c r="G51" t="n">
        <v>0.9613214285714285</v>
      </c>
      <c r="H51" t="n">
        <v>0.006214285714285715</v>
      </c>
      <c r="I51" t="n">
        <v>4.985854642857143</v>
      </c>
      <c r="J51" t="n">
        <v>3.037857142857143</v>
      </c>
      <c r="K51" t="n">
        <v>21.59271178571429</v>
      </c>
      <c r="L51" t="n">
        <v>4.985854642857143</v>
      </c>
      <c r="M51" t="n">
        <v>21.59271178571429</v>
      </c>
      <c r="N51" t="n">
        <v>28.33351354931359</v>
      </c>
      <c r="O51" t="n">
        <v>28.33351354931359</v>
      </c>
      <c r="P51" t="n">
        <v>6.740801763599304</v>
      </c>
      <c r="Q51" t="n">
        <v>6.740801763599304</v>
      </c>
      <c r="R51" t="n">
        <v>1.292535714285714</v>
      </c>
      <c r="S51" t="n">
        <v>4.061928571428572</v>
      </c>
      <c r="T51" t="inlineStr">
        <is>
          <t>EIA</t>
        </is>
      </c>
      <c r="U51" t="n">
        <v>32.39544212074216</v>
      </c>
      <c r="V51" t="n">
        <v>32.39544212074216</v>
      </c>
      <c r="W51" t="n">
        <v>9.51019462074216</v>
      </c>
      <c r="X51" t="n">
        <v>9.51019462074216</v>
      </c>
    </row>
    <row r="52">
      <c r="A52" t="n">
        <v>50</v>
      </c>
      <c r="B52" s="3" t="n">
        <v>45717</v>
      </c>
      <c r="C52" t="inlineStr">
        <is>
          <t>Actual</t>
        </is>
      </c>
      <c r="D52" t="n">
        <v>3.69841935483871</v>
      </c>
      <c r="E52" t="n">
        <v>5.697580645161291</v>
      </c>
      <c r="F52" t="n">
        <v>0.5337741935483871</v>
      </c>
      <c r="G52" t="n">
        <v>0.4649354838709677</v>
      </c>
      <c r="H52" t="n">
        <v>0.006193548387096774</v>
      </c>
      <c r="I52" t="n">
        <v>4.598463870967742</v>
      </c>
      <c r="J52" t="n">
        <v>2.864387096774194</v>
      </c>
      <c r="K52" t="n">
        <v>17.86375419354839</v>
      </c>
      <c r="L52" t="n">
        <v>4.598463870967742</v>
      </c>
      <c r="M52" t="n">
        <v>17.86375419354839</v>
      </c>
      <c r="N52" t="n">
        <v>28.42087368859537</v>
      </c>
      <c r="O52" t="n">
        <v>28.42087368859537</v>
      </c>
      <c r="P52" t="n">
        <v>10.55711949504698</v>
      </c>
      <c r="Q52" t="n">
        <v>10.55711949504698</v>
      </c>
      <c r="R52" t="n">
        <v>2.661516129032258</v>
      </c>
      <c r="S52" t="n">
        <v>1.247129032258065</v>
      </c>
      <c r="T52" t="inlineStr">
        <is>
          <t>EIA</t>
        </is>
      </c>
      <c r="U52" t="n">
        <v>29.66800272085344</v>
      </c>
      <c r="V52" t="n">
        <v>29.66800272085344</v>
      </c>
      <c r="W52" t="n">
        <v>9.142732398272791</v>
      </c>
      <c r="X52" t="n">
        <v>9.142732398272791</v>
      </c>
    </row>
    <row r="53">
      <c r="A53" t="n">
        <v>51</v>
      </c>
      <c r="B53" s="3" t="n">
        <v>45748</v>
      </c>
      <c r="C53" t="inlineStr">
        <is>
          <t>Actual</t>
        </is>
      </c>
      <c r="D53" t="n">
        <v>4.2876</v>
      </c>
      <c r="E53" t="n">
        <v>5.537833333333333</v>
      </c>
      <c r="F53" t="n">
        <v>0.4167</v>
      </c>
      <c r="G53" t="n">
        <v>0.5441666666666666</v>
      </c>
      <c r="H53" t="n">
        <v>0.0062</v>
      </c>
      <c r="I53" t="n">
        <v>4.81889</v>
      </c>
      <c r="J53" t="n">
        <v>3.252</v>
      </c>
      <c r="K53" t="n">
        <v>18.86339</v>
      </c>
      <c r="L53" t="n">
        <v>4.81889</v>
      </c>
      <c r="M53" t="n">
        <v>18.86339</v>
      </c>
      <c r="N53" t="n">
        <v>28.66872758850139</v>
      </c>
      <c r="O53" t="n">
        <v>28.66872758850139</v>
      </c>
      <c r="P53" t="n">
        <v>9.805337588501391</v>
      </c>
      <c r="Q53" t="n">
        <v>9.805337588501391</v>
      </c>
      <c r="R53" t="n">
        <v>2.422766666666667</v>
      </c>
      <c r="S53" t="n">
        <v>1.021366666666667</v>
      </c>
      <c r="T53" t="inlineStr">
        <is>
          <t>EIA</t>
        </is>
      </c>
      <c r="U53" t="n">
        <v>29.69009425516806</v>
      </c>
      <c r="V53" t="n">
        <v>29.69009425516806</v>
      </c>
      <c r="W53" t="n">
        <v>8.403937588501389</v>
      </c>
      <c r="X53" t="n">
        <v>8.403937588501389</v>
      </c>
    </row>
    <row r="54">
      <c r="A54" t="n">
        <v>52</v>
      </c>
      <c r="B54" s="3" t="n">
        <v>45778</v>
      </c>
      <c r="C54" t="inlineStr">
        <is>
          <t>Actual</t>
        </is>
      </c>
      <c r="D54" t="n">
        <v>5.777741935483871</v>
      </c>
      <c r="E54" t="n">
        <v>5.462096774193548</v>
      </c>
      <c r="F54" t="n">
        <v>0.2829032258064516</v>
      </c>
      <c r="G54" t="n">
        <v>0.4228387096774193</v>
      </c>
      <c r="H54" t="n">
        <v>0.006193548387096774</v>
      </c>
      <c r="I54" t="n">
        <v>4.495722580645161</v>
      </c>
      <c r="J54" t="n">
        <v>3.523838709677419</v>
      </c>
      <c r="K54" t="n">
        <v>19.97133548387097</v>
      </c>
      <c r="L54" t="n">
        <v>4.495722580645161</v>
      </c>
      <c r="M54" t="n">
        <v>19.97133548387097</v>
      </c>
      <c r="N54" t="n">
        <v>28.39991141756023</v>
      </c>
      <c r="O54" t="n">
        <v>28.39991141756023</v>
      </c>
      <c r="P54" t="n">
        <v>8.428575933689263</v>
      </c>
      <c r="Q54" t="n">
        <v>8.428575933689263</v>
      </c>
      <c r="R54" t="n">
        <v>2.441677419354839</v>
      </c>
      <c r="S54" t="n">
        <v>0.8430322580645161</v>
      </c>
      <c r="T54" t="inlineStr">
        <is>
          <t>EIA</t>
        </is>
      </c>
      <c r="U54" t="n">
        <v>29.24294367562474</v>
      </c>
      <c r="V54" t="n">
        <v>29.24294367562474</v>
      </c>
      <c r="W54" t="n">
        <v>6.829930772398939</v>
      </c>
      <c r="X54" t="n">
        <v>6.829930772398939</v>
      </c>
    </row>
    <row r="55">
      <c r="A55" t="n">
        <v>53</v>
      </c>
      <c r="B55" s="3" t="n">
        <v>45809</v>
      </c>
      <c r="C55" t="inlineStr">
        <is>
          <t>Actual</t>
        </is>
      </c>
      <c r="D55" t="n">
        <v>6.4434</v>
      </c>
      <c r="E55" t="n">
        <v>5.411233333333334</v>
      </c>
      <c r="F55" t="n">
        <v>0.2359</v>
      </c>
      <c r="G55" t="n">
        <v>0.419</v>
      </c>
      <c r="H55" t="n">
        <v>0.0062</v>
      </c>
      <c r="I55" t="n">
        <v>4.700261666666666</v>
      </c>
      <c r="J55" t="n">
        <v>3.446133333333333</v>
      </c>
      <c r="K55" t="n">
        <v>20.66212833333333</v>
      </c>
      <c r="L55" t="n">
        <v>4.700261666666666</v>
      </c>
      <c r="M55" t="n">
        <v>20.66212833333333</v>
      </c>
      <c r="N55" t="n">
        <v>28.79030246552894</v>
      </c>
      <c r="O55" t="n">
        <v>28.79030246552894</v>
      </c>
      <c r="P55" t="n">
        <v>8.128174132195607</v>
      </c>
      <c r="Q55" t="n">
        <v>8.128174132195607</v>
      </c>
      <c r="R55" t="n">
        <v>2.011666666666667</v>
      </c>
      <c r="S55" t="n">
        <v>0.7972</v>
      </c>
      <c r="T55" t="inlineStr">
        <is>
          <t>EIA</t>
        </is>
      </c>
      <c r="U55" t="n">
        <v>29.58750246552894</v>
      </c>
      <c r="V55" t="n">
        <v>29.58750246552894</v>
      </c>
      <c r="W55" t="n">
        <v>6.91370746552894</v>
      </c>
      <c r="X55" t="n">
        <v>6.91370746552894</v>
      </c>
    </row>
    <row r="56">
      <c r="A56" t="n">
        <v>54</v>
      </c>
      <c r="B56" s="3" t="n">
        <v>45839</v>
      </c>
      <c r="C56" t="inlineStr">
        <is>
          <t>Actual</t>
        </is>
      </c>
      <c r="D56" t="n">
        <v>7.139032258064516</v>
      </c>
      <c r="E56" t="n">
        <v>5.410709677419355</v>
      </c>
      <c r="F56" t="n">
        <v>0.2180645161290322</v>
      </c>
      <c r="G56" t="n">
        <v>0.4039032258064516</v>
      </c>
      <c r="H56" t="n">
        <v>0.006193548387096774</v>
      </c>
      <c r="I56" t="n">
        <v>4.497199354838711</v>
      </c>
      <c r="J56" t="n">
        <v>3.09458064516129</v>
      </c>
      <c r="K56" t="n">
        <v>20.76968322580645</v>
      </c>
      <c r="L56" t="n">
        <v>4.497199354838711</v>
      </c>
      <c r="M56" t="n">
        <v>20.76968322580645</v>
      </c>
      <c r="N56" t="n">
        <v>29.17521868269277</v>
      </c>
      <c r="O56" t="n">
        <v>29.17521868269277</v>
      </c>
      <c r="P56" t="n">
        <v>8.405535456886316</v>
      </c>
      <c r="Q56" t="n">
        <v>8.405535456886316</v>
      </c>
      <c r="R56" t="n">
        <v>1.676290322580645</v>
      </c>
      <c r="S56" t="n">
        <v>1.450903225806452</v>
      </c>
      <c r="T56" t="inlineStr">
        <is>
          <t>EIA</t>
        </is>
      </c>
      <c r="U56" t="n">
        <v>30.62612190849922</v>
      </c>
      <c r="V56" t="n">
        <v>30.62612190849922</v>
      </c>
      <c r="W56" t="n">
        <v>8.180148360112124</v>
      </c>
      <c r="X56" t="n">
        <v>8.180148360112124</v>
      </c>
    </row>
    <row r="57">
      <c r="A57" t="n">
        <v>55</v>
      </c>
      <c r="B57" s="3" t="n">
        <v>45870</v>
      </c>
      <c r="C57" t="inlineStr">
        <is>
          <t>Actual</t>
        </is>
      </c>
      <c r="D57" t="n">
        <v>7.713354838709678</v>
      </c>
      <c r="E57" t="n">
        <v>5.538838709677419</v>
      </c>
      <c r="F57" t="n">
        <v>0.1949677419354839</v>
      </c>
      <c r="G57" t="n">
        <v>0.383</v>
      </c>
      <c r="H57" t="n">
        <v>0.006193548387096774</v>
      </c>
      <c r="I57" t="n">
        <v>4.468156129032257</v>
      </c>
      <c r="J57" t="n">
        <v>3.350290322580645</v>
      </c>
      <c r="K57" t="n">
        <v>21.65480129032258</v>
      </c>
      <c r="L57" t="n">
        <v>4.468156129032257</v>
      </c>
      <c r="M57" t="n">
        <v>21.65480129032258</v>
      </c>
      <c r="N57" t="n">
        <v>29.48895130800512</v>
      </c>
      <c r="O57" t="n">
        <v>29.48895130800512</v>
      </c>
      <c r="P57" t="n">
        <v>7.834150017682539</v>
      </c>
      <c r="Q57" t="n">
        <v>7.834150017682539</v>
      </c>
      <c r="R57" t="n">
        <v>1.391838709677419</v>
      </c>
      <c r="S57" t="n">
        <v>1.803870967741935</v>
      </c>
      <c r="T57" t="inlineStr">
        <is>
          <t>EIA</t>
        </is>
      </c>
      <c r="U57" t="n">
        <v>31.29282227574706</v>
      </c>
      <c r="V57" t="n">
        <v>31.29282227574706</v>
      </c>
      <c r="W57" t="n">
        <v>8.246182275747056</v>
      </c>
      <c r="X57" t="n">
        <v>8.246182275747056</v>
      </c>
    </row>
    <row r="58">
      <c r="A58" t="n">
        <v>56</v>
      </c>
      <c r="B58" s="3" t="n">
        <v>45901</v>
      </c>
      <c r="C58" t="inlineStr">
        <is>
          <t>Actual</t>
        </is>
      </c>
      <c r="D58" t="n">
        <v>6.913966666666666</v>
      </c>
      <c r="E58" t="n">
        <v>5.562266666666666</v>
      </c>
      <c r="F58" t="n">
        <v>0.1994</v>
      </c>
      <c r="G58" t="n">
        <v>0.3982666666666667</v>
      </c>
      <c r="H58" t="n">
        <v>0.0062</v>
      </c>
      <c r="I58" t="n">
        <v>4.724750333333334</v>
      </c>
      <c r="J58" t="n">
        <v>2.949933333333334</v>
      </c>
      <c r="K58" t="n">
        <v>20.75478366666667</v>
      </c>
      <c r="L58" t="n">
        <v>4.724750333333334</v>
      </c>
      <c r="M58" t="n">
        <v>20.75478366666667</v>
      </c>
      <c r="N58" t="n">
        <v>29.45501958725445</v>
      </c>
      <c r="O58" t="n">
        <v>29.45501958725445</v>
      </c>
      <c r="P58" t="n">
        <v>8.700235920587783</v>
      </c>
      <c r="Q58" t="n">
        <v>8.700235920587783</v>
      </c>
      <c r="R58" t="n">
        <v>1.689533333333333</v>
      </c>
      <c r="S58" t="n">
        <v>1.2997</v>
      </c>
      <c r="T58" t="inlineStr">
        <is>
          <t>EIA</t>
        </is>
      </c>
      <c r="U58" t="n">
        <v>30.75471958725445</v>
      </c>
      <c r="V58" t="n">
        <v>30.75471958725445</v>
      </c>
      <c r="W58" t="n">
        <v>8.310402587254451</v>
      </c>
      <c r="X58" t="n">
        <v>8.310402587254451</v>
      </c>
    </row>
    <row r="59">
      <c r="A59" t="n">
        <v>57</v>
      </c>
      <c r="B59" s="3" t="n">
        <v>45931</v>
      </c>
      <c r="C59" t="inlineStr">
        <is>
          <t>Actual</t>
        </is>
      </c>
      <c r="D59" t="n">
        <v>5.629225806451613</v>
      </c>
      <c r="E59" t="n">
        <v>5.351806451612903</v>
      </c>
      <c r="F59" t="n">
        <v>0.2535806451612903</v>
      </c>
      <c r="G59" t="n">
        <v>0.410258064516129</v>
      </c>
      <c r="H59" t="n">
        <v>0.006193548387096774</v>
      </c>
      <c r="I59" t="n">
        <v>5.143850645161292</v>
      </c>
      <c r="J59" t="n">
        <v>2.833483870967742</v>
      </c>
      <c r="K59" t="n">
        <v>19.62839903225807</v>
      </c>
      <c r="L59" t="n">
        <v>5.143850645161292</v>
      </c>
      <c r="M59" t="n">
        <v>19.62839903225807</v>
      </c>
      <c r="N59" t="n">
        <v>29.14146861697209</v>
      </c>
      <c r="O59" t="n">
        <v>29.14146861697209</v>
      </c>
      <c r="P59" t="n">
        <v>9.513069584714021</v>
      </c>
      <c r="Q59" t="n">
        <v>9.513069584714021</v>
      </c>
      <c r="R59" t="n">
        <v>2.187</v>
      </c>
      <c r="S59" t="n">
        <v>1.130225806451613</v>
      </c>
      <c r="T59" t="inlineStr">
        <is>
          <t>EIA</t>
        </is>
      </c>
      <c r="U59" t="n">
        <v>30.2716944234237</v>
      </c>
      <c r="V59" t="n">
        <v>30.2716944234237</v>
      </c>
      <c r="W59" t="n">
        <v>8.456295391165634</v>
      </c>
      <c r="X59" t="n">
        <v>8.456295391165634</v>
      </c>
    </row>
    <row r="60">
      <c r="A60" t="n">
        <v>58</v>
      </c>
      <c r="B60" s="3" t="n">
        <v>45962</v>
      </c>
      <c r="C60" t="inlineStr">
        <is>
          <t>Actual</t>
        </is>
      </c>
      <c r="D60" t="n">
        <v>4.648733333333333</v>
      </c>
      <c r="E60" t="n">
        <v>5.8022</v>
      </c>
      <c r="F60" t="n">
        <v>0.4432</v>
      </c>
      <c r="G60" t="n">
        <v>0.5220333333333333</v>
      </c>
      <c r="H60" t="n">
        <v>0.0062</v>
      </c>
      <c r="I60" t="n">
        <v>5.420533666666667</v>
      </c>
      <c r="J60" t="n">
        <v>2.9201</v>
      </c>
      <c r="K60" t="n">
        <v>19.76300033333333</v>
      </c>
      <c r="L60" t="n">
        <v>5.420533666666667</v>
      </c>
      <c r="M60" t="n">
        <v>19.76300033333333</v>
      </c>
      <c r="N60" t="n">
        <v>29.76337540353552</v>
      </c>
      <c r="O60" t="n">
        <v>29.76337540353552</v>
      </c>
      <c r="P60" t="n">
        <v>10.00037507020219</v>
      </c>
      <c r="Q60" t="n">
        <v>10.00037507020219</v>
      </c>
      <c r="R60" t="n">
        <v>2.081066666666667</v>
      </c>
      <c r="S60" t="n">
        <v>1.227233333333333</v>
      </c>
      <c r="T60" t="inlineStr">
        <is>
          <t>EIA</t>
        </is>
      </c>
      <c r="U60" t="n">
        <v>30.99060873686885</v>
      </c>
      <c r="V60" t="n">
        <v>30.99060873686885</v>
      </c>
      <c r="W60" t="n">
        <v>9.146541736868853</v>
      </c>
      <c r="X60" t="n">
        <v>9.146541736868853</v>
      </c>
    </row>
    <row r="61">
      <c r="A61" t="n">
        <v>59</v>
      </c>
      <c r="B61" s="3" t="n">
        <v>45992</v>
      </c>
      <c r="C61" t="inlineStr">
        <is>
          <t>Actual</t>
        </is>
      </c>
      <c r="D61" t="n">
        <v>4.848451612903226</v>
      </c>
      <c r="E61" t="n">
        <v>5.93</v>
      </c>
      <c r="F61" t="n">
        <v>0.9796451612903225</v>
      </c>
      <c r="G61" t="n">
        <v>0.6952903225806452</v>
      </c>
      <c r="H61" t="n">
        <v>0.006193548387096774</v>
      </c>
      <c r="I61" t="n">
        <v>5.626580000000001</v>
      </c>
      <c r="J61" t="n">
        <v>2.764451612903226</v>
      </c>
      <c r="K61" t="n">
        <v>20.85061225806452</v>
      </c>
      <c r="L61" t="n">
        <v>5.626580000000001</v>
      </c>
      <c r="M61" t="n">
        <v>20.85061225806452</v>
      </c>
      <c r="N61" t="n">
        <v>30.07883555019745</v>
      </c>
      <c r="O61" t="n">
        <v>30.07883555019745</v>
      </c>
      <c r="P61" t="n">
        <v>9.228223292132931</v>
      </c>
      <c r="Q61" t="n">
        <v>9.228223292132931</v>
      </c>
      <c r="R61" t="n">
        <v>1.341290322580645</v>
      </c>
      <c r="S61" t="n">
        <v>3.165806451612903</v>
      </c>
      <c r="T61" t="inlineStr">
        <is>
          <t>EIA</t>
        </is>
      </c>
      <c r="U61" t="n">
        <v>33.24464200181036</v>
      </c>
      <c r="V61" t="n">
        <v>33.24464200181036</v>
      </c>
      <c r="W61" t="n">
        <v>11.05273942116519</v>
      </c>
      <c r="X61" t="n">
        <v>11.05273942116519</v>
      </c>
    </row>
    <row r="62">
      <c r="A62" t="n">
        <v>60</v>
      </c>
      <c r="B62" s="3" t="n">
        <v>46023</v>
      </c>
      <c r="C62" t="inlineStr">
        <is>
          <t>Actual</t>
        </is>
      </c>
      <c r="D62" t="n">
        <v>5.437354838709677</v>
      </c>
      <c r="E62" t="n">
        <v>5.787548387096774</v>
      </c>
      <c r="F62" t="n">
        <v>1.498</v>
      </c>
      <c r="G62" t="n">
        <v>0.921258064516129</v>
      </c>
      <c r="H62" t="n">
        <v>0.006193548387096774</v>
      </c>
      <c r="I62" t="n">
        <v>5.1775</v>
      </c>
      <c r="J62" t="n">
        <v>2.873354838709677</v>
      </c>
      <c r="K62" t="n">
        <v>21.70120967741935</v>
      </c>
      <c r="L62" t="n">
        <v>5.1775</v>
      </c>
      <c r="M62" t="n">
        <v>21.70120967741936</v>
      </c>
      <c r="N62" t="n">
        <v>29.03649539097756</v>
      </c>
      <c r="O62" t="n">
        <v>29.03649539097756</v>
      </c>
      <c r="P62" t="n">
        <v>7.335285713558207</v>
      </c>
      <c r="Q62" t="n">
        <v>7.335285713558203</v>
      </c>
      <c r="R62" t="n">
        <v>1.035096774193548</v>
      </c>
      <c r="S62" t="n">
        <v>4.671580645161291</v>
      </c>
      <c r="T62" t="inlineStr">
        <is>
          <t>EIA</t>
        </is>
      </c>
      <c r="U62" t="n">
        <v>33.70807603613885</v>
      </c>
      <c r="V62" t="n">
        <v>33.70807603613885</v>
      </c>
      <c r="W62" t="n">
        <v>10.97176958452595</v>
      </c>
      <c r="X62" t="n">
        <v>10.97176958452594</v>
      </c>
    </row>
    <row r="63">
      <c r="A63" t="n">
        <v>61</v>
      </c>
      <c r="B63" s="3" t="n">
        <v>46054</v>
      </c>
      <c r="C63" t="inlineStr">
        <is>
          <t>Actual</t>
        </is>
      </c>
      <c r="D63" t="n">
        <v>4.554392857142857</v>
      </c>
      <c r="E63" t="n">
        <v>5.705857142857143</v>
      </c>
      <c r="F63" t="n">
        <v>1.006357142857143</v>
      </c>
      <c r="G63" t="n">
        <v>0.6013214285714286</v>
      </c>
      <c r="H63" t="n">
        <v>0.006214285714285715</v>
      </c>
      <c r="I63" t="n">
        <v>5.757808214285715</v>
      </c>
      <c r="J63" t="n">
        <v>2.989107142857143</v>
      </c>
      <c r="K63" t="n">
        <v>20.62105821428572</v>
      </c>
      <c r="L63" t="n">
        <v>5.757808214285715</v>
      </c>
      <c r="M63" t="n">
        <v>20.62105821428572</v>
      </c>
      <c r="N63" t="n">
        <v>29.89721649149912</v>
      </c>
      <c r="O63" t="n">
        <v>29.89721649149912</v>
      </c>
      <c r="P63" t="n">
        <v>9.276158277213401</v>
      </c>
      <c r="Q63" t="n">
        <v>9.276158277213401</v>
      </c>
      <c r="R63" t="n">
        <v>1.613321428571429</v>
      </c>
      <c r="S63" t="n">
        <v>2.895678571428572</v>
      </c>
      <c r="T63" t="inlineStr">
        <is>
          <t>EIA</t>
        </is>
      </c>
      <c r="U63" t="n">
        <v>32.79289506292769</v>
      </c>
      <c r="V63" t="n">
        <v>32.79289506292769</v>
      </c>
      <c r="W63" t="n">
        <v>10.55851542007055</v>
      </c>
      <c r="X63" t="n">
        <v>10.55851542007055</v>
      </c>
    </row>
    <row r="64">
      <c r="A64" t="n">
        <v>62</v>
      </c>
      <c r="B64" s="3" t="n">
        <v>46082</v>
      </c>
      <c r="C64" t="inlineStr">
        <is>
          <t>Actual</t>
        </is>
      </c>
      <c r="D64" t="n">
        <v>4.129</v>
      </c>
      <c r="E64" t="n">
        <v>5.653225806451613</v>
      </c>
      <c r="F64" t="n">
        <v>0.5390967741935484</v>
      </c>
      <c r="G64" t="n">
        <v>0.5518387096774194</v>
      </c>
      <c r="H64" t="n">
        <v>0.006193548387096774</v>
      </c>
      <c r="I64" t="n">
        <v>5.815642258064516</v>
      </c>
      <c r="J64" t="n">
        <v>2.768580645161291</v>
      </c>
      <c r="K64" t="n">
        <v>19.46357774193548</v>
      </c>
      <c r="L64" t="n">
        <v>5.815642258064516</v>
      </c>
      <c r="M64" t="n">
        <v>19.46357774193548</v>
      </c>
      <c r="N64" t="n">
        <v>30.04411425956394</v>
      </c>
      <c r="O64" t="n">
        <v>30.04411425956394</v>
      </c>
      <c r="P64" t="n">
        <v>10.58053651762846</v>
      </c>
      <c r="Q64" t="n">
        <v>10.58053651762846</v>
      </c>
      <c r="R64" t="n">
        <v>2.199451612903226</v>
      </c>
      <c r="S64" t="n">
        <v>1.184516129032258</v>
      </c>
      <c r="T64" t="inlineStr">
        <is>
          <t>EIA</t>
        </is>
      </c>
      <c r="U64" t="n">
        <v>31.2286303885962</v>
      </c>
      <c r="V64" t="n">
        <v>31.2286303885962</v>
      </c>
      <c r="W64" t="n">
        <v>9.565601033757488</v>
      </c>
      <c r="X64" t="n">
        <v>9.565601033757488</v>
      </c>
    </row>
    <row r="65">
      <c r="A65" t="n">
        <v>63</v>
      </c>
      <c r="B65" s="3" t="n">
        <v>46113</v>
      </c>
      <c r="C65" t="inlineStr">
        <is>
          <t>Actual</t>
        </is>
      </c>
      <c r="D65" t="n">
        <v>4.808033333333333</v>
      </c>
      <c r="E65" t="n">
        <v>5.719533333333334</v>
      </c>
      <c r="F65" t="n">
        <v>0.3398</v>
      </c>
      <c r="G65" t="n">
        <v>0.4702333333333333</v>
      </c>
      <c r="H65" t="n">
        <v>0.0062</v>
      </c>
      <c r="I65" t="n">
        <v>5.796038666666668</v>
      </c>
      <c r="J65" t="n">
        <v>2.837666666666667</v>
      </c>
      <c r="K65" t="n">
        <v>19.97750533333334</v>
      </c>
      <c r="L65" t="n">
        <v>5.796038666666668</v>
      </c>
      <c r="M65" t="n">
        <v>19.97750533333334</v>
      </c>
      <c r="N65" t="n">
        <v>30.27805446331141</v>
      </c>
      <c r="O65" t="n">
        <v>30.27805446331141</v>
      </c>
      <c r="P65" t="n">
        <v>10.30054912997807</v>
      </c>
      <c r="Q65" t="n">
        <v>10.30054912997807</v>
      </c>
      <c r="R65" t="n">
        <v>2.0877</v>
      </c>
      <c r="S65" t="n">
        <v>1.130866666666666</v>
      </c>
      <c r="T65" t="inlineStr">
        <is>
          <t>EIA</t>
        </is>
      </c>
      <c r="U65" t="n">
        <v>31.40892112997808</v>
      </c>
      <c r="V65" t="n">
        <v>31.40892112997808</v>
      </c>
      <c r="W65" t="n">
        <v>9.343715796644739</v>
      </c>
      <c r="X65" t="n">
        <v>9.343715796644739</v>
      </c>
    </row>
    <row r="66">
      <c r="A66" t="n">
        <v>64</v>
      </c>
      <c r="B66" s="3" t="n">
        <v>46143</v>
      </c>
      <c r="C66" t="inlineStr">
        <is>
          <t>Actual</t>
        </is>
      </c>
      <c r="D66" t="n">
        <v>5.746419354838709</v>
      </c>
      <c r="E66" t="n">
        <v>5.633806451612903</v>
      </c>
      <c r="F66" t="n">
        <v>0.2309032258064516</v>
      </c>
      <c r="G66" t="n">
        <v>0.3834838709677419</v>
      </c>
      <c r="H66" t="n">
        <v>0.006193548387096774</v>
      </c>
      <c r="I66" t="n">
        <v>5.236957741935484</v>
      </c>
      <c r="J66" t="n">
        <v>3.316451612903226</v>
      </c>
      <c r="K66" t="n">
        <v>20.55421580645161</v>
      </c>
      <c r="L66" t="n">
        <v>5.236957741935484</v>
      </c>
      <c r="M66" t="n">
        <v>20.55421580645161</v>
      </c>
      <c r="N66" t="n">
        <v>30.03561604157672</v>
      </c>
      <c r="O66" t="n">
        <v>30.03561604157672</v>
      </c>
      <c r="P66" t="n">
        <v>9.481400235125108</v>
      </c>
      <c r="Q66" t="n">
        <v>9.481400235125108</v>
      </c>
      <c r="R66" t="n">
        <v>2.190806451612903</v>
      </c>
      <c r="S66" t="n">
        <v>1.282838709677419</v>
      </c>
      <c r="T66" t="inlineStr">
        <is>
          <t>EIA</t>
        </is>
      </c>
      <c r="U66" t="n">
        <v>31.31845475125414</v>
      </c>
      <c r="V66" t="n">
        <v>31.31845475125414</v>
      </c>
      <c r="W66" t="n">
        <v>8.573432493189625</v>
      </c>
      <c r="X66" t="n">
        <v>8.573432493189625</v>
      </c>
    </row>
    <row r="67">
      <c r="A67" t="n">
        <v>65</v>
      </c>
      <c r="B67" s="3" t="n">
        <v>46174</v>
      </c>
      <c r="C67" t="inlineStr">
        <is>
          <t>Actual</t>
        </is>
      </c>
      <c r="D67" t="n">
        <v>6.806066666666666</v>
      </c>
      <c r="E67" t="n">
        <v>5.6723</v>
      </c>
      <c r="F67" t="n">
        <v>0.2417</v>
      </c>
      <c r="G67" t="n">
        <v>0.4054</v>
      </c>
      <c r="H67" t="n">
        <v>0.0062</v>
      </c>
      <c r="I67" t="n">
        <v>5.555875333333335</v>
      </c>
      <c r="J67" t="n">
        <v>3.3545</v>
      </c>
      <c r="K67" t="n">
        <v>22.042042</v>
      </c>
      <c r="L67" t="n">
        <v>5.555875333333335</v>
      </c>
      <c r="M67" t="n">
        <v>22.042042</v>
      </c>
      <c r="N67" t="n">
        <v>30.44816450679276</v>
      </c>
      <c r="O67" t="n">
        <v>30.44816450679276</v>
      </c>
      <c r="P67" t="n">
        <v>8.406122506792759</v>
      </c>
      <c r="Q67" t="n">
        <v>8.406122506792759</v>
      </c>
      <c r="R67" t="n">
        <v>1.944366666666667</v>
      </c>
      <c r="S67" t="n">
        <v>1.320233333333333</v>
      </c>
      <c r="T67" t="inlineStr">
        <is>
          <t>EIA</t>
        </is>
      </c>
      <c r="U67" t="n">
        <v>31.7683978401261</v>
      </c>
      <c r="V67" t="n">
        <v>31.7683978401261</v>
      </c>
      <c r="W67" t="n">
        <v>7.781989173459427</v>
      </c>
      <c r="X67" t="n">
        <v>7.781989173459427</v>
      </c>
    </row>
    <row r="68">
      <c r="A68" t="n">
        <v>66</v>
      </c>
      <c r="B68" s="3" t="n">
        <v>46204</v>
      </c>
      <c r="C68" t="inlineStr">
        <is>
          <t>Actual</t>
        </is>
      </c>
      <c r="D68" t="n">
        <v>7.621806451612904</v>
      </c>
      <c r="E68" t="n">
        <v>5.519354838709677</v>
      </c>
      <c r="F68" t="n">
        <v>0.2176451612903226</v>
      </c>
      <c r="G68" t="n">
        <v>0.3741290322580645</v>
      </c>
      <c r="H68" t="n">
        <v>0.006193548387096774</v>
      </c>
      <c r="I68" t="n">
        <v>5.482489032258065</v>
      </c>
      <c r="J68" t="n">
        <v>3.236774193548387</v>
      </c>
      <c r="K68" t="n">
        <v>22.45839225806452</v>
      </c>
      <c r="L68" t="n">
        <v>5.482489032258065</v>
      </c>
      <c r="M68" t="n">
        <v>22.45839225806452</v>
      </c>
      <c r="N68" t="n">
        <v>31.2355644213723</v>
      </c>
      <c r="O68" t="n">
        <v>31.2355644213723</v>
      </c>
      <c r="P68" t="n">
        <v>8.777172163307782</v>
      </c>
      <c r="Q68" t="n">
        <v>8.777172163307782</v>
      </c>
      <c r="R68" t="n">
        <v>1.523032258064516</v>
      </c>
      <c r="S68" t="n">
        <v>1.442483870967742</v>
      </c>
      <c r="T68" t="inlineStr">
        <is>
          <t>EIA</t>
        </is>
      </c>
      <c r="U68" t="n">
        <v>32.67804829234004</v>
      </c>
      <c r="V68" t="n">
        <v>32.67804829234004</v>
      </c>
      <c r="W68" t="n">
        <v>8.696623776211011</v>
      </c>
      <c r="X68" t="n">
        <v>8.696623776211011</v>
      </c>
    </row>
    <row r="69">
      <c r="A69" t="n">
        <v>67</v>
      </c>
      <c r="B69" s="3" t="n">
        <v>46235</v>
      </c>
      <c r="C69" t="inlineStr">
        <is>
          <t>Forecast</t>
        </is>
      </c>
      <c r="D69" t="n">
        <v>8.226357563120109</v>
      </c>
      <c r="E69" t="n">
        <v>5.621485403354847</v>
      </c>
      <c r="F69" t="n">
        <v>0.1779486860462226</v>
      </c>
      <c r="G69" t="n">
        <v>0.3609947179446857</v>
      </c>
      <c r="H69" t="n">
        <v>0.005248137433832125</v>
      </c>
      <c r="I69" t="n">
        <v>5.887831766063428</v>
      </c>
      <c r="J69" t="n">
        <v>3.173172980830325</v>
      </c>
      <c r="K69" t="n">
        <v>23.45303925479345</v>
      </c>
      <c r="L69" t="n">
        <v>5.887831766063428</v>
      </c>
      <c r="M69" t="n">
        <v>23.45303925479345</v>
      </c>
      <c r="N69" t="n">
        <v>31.28109757745621</v>
      </c>
      <c r="O69" t="n">
        <v>30.87589445028458</v>
      </c>
      <c r="P69" t="n">
        <v>7.828058322662759</v>
      </c>
      <c r="Q69" t="n">
        <v>7.422855195491127</v>
      </c>
      <c r="R69" t="n">
        <v>1.741763440860215</v>
      </c>
      <c r="S69" t="n">
        <v>2.883548387096774</v>
      </c>
      <c r="T69" t="inlineStr">
        <is>
          <t>seasonal pattern of Aug/23-Jul/26</t>
        </is>
      </c>
      <c r="U69" t="n">
        <v>34.16464596455298</v>
      </c>
      <c r="V69" t="n">
        <v>33.75944283738135</v>
      </c>
      <c r="W69" t="n">
        <v>8.969843268899318</v>
      </c>
      <c r="X69" t="n">
        <v>8.564640141727686</v>
      </c>
    </row>
    <row r="70">
      <c r="A70" t="n">
        <v>68</v>
      </c>
      <c r="B70" s="3" t="n">
        <v>46266</v>
      </c>
      <c r="C70" t="inlineStr">
        <is>
          <t>Forecast</t>
        </is>
      </c>
      <c r="D70" t="n">
        <v>6.972881215060556</v>
      </c>
      <c r="E70" t="n">
        <v>5.596456138285548</v>
      </c>
      <c r="F70" t="n">
        <v>0.175046874031219</v>
      </c>
      <c r="G70" t="n">
        <v>0.3698039882017338</v>
      </c>
      <c r="H70" t="n">
        <v>0.005225411877332316</v>
      </c>
      <c r="I70" t="n">
        <v>6.196107924570369</v>
      </c>
      <c r="J70" t="n">
        <v>2.987072935842459</v>
      </c>
      <c r="K70" t="n">
        <v>22.30259448786921</v>
      </c>
      <c r="L70" t="n">
        <v>6.196107924570369</v>
      </c>
      <c r="M70" t="n">
        <v>22.30259448786921</v>
      </c>
      <c r="N70" t="n">
        <v>31.31724698954871</v>
      </c>
      <c r="O70" t="n">
        <v>30.91204386237709</v>
      </c>
      <c r="P70" t="n">
        <v>9.014652501679496</v>
      </c>
      <c r="Q70" t="n">
        <v>8.609449374507872</v>
      </c>
      <c r="R70" t="n">
        <v>2.412133333333333</v>
      </c>
      <c r="S70" t="n">
        <v>2.104855555555555</v>
      </c>
      <c r="T70" t="inlineStr">
        <is>
          <t>seasonal pattern of Aug/23-Jul/26</t>
        </is>
      </c>
      <c r="U70" t="n">
        <v>33.42210254510427</v>
      </c>
      <c r="V70" t="n">
        <v>33.01689941793264</v>
      </c>
      <c r="W70" t="n">
        <v>8.707374723901719</v>
      </c>
      <c r="X70" t="n">
        <v>8.302171596730094</v>
      </c>
    </row>
    <row r="71">
      <c r="A71" t="n">
        <v>69</v>
      </c>
      <c r="B71" s="3" t="n">
        <v>46296</v>
      </c>
      <c r="C71" t="inlineStr">
        <is>
          <t>Forecast</t>
        </is>
      </c>
      <c r="D71" t="n">
        <v>5.479411440179787</v>
      </c>
      <c r="E71" t="n">
        <v>5.449022447701622</v>
      </c>
      <c r="F71" t="n">
        <v>0.2429498514645628</v>
      </c>
      <c r="G71" t="n">
        <v>0.4048979509691186</v>
      </c>
      <c r="H71" t="n">
        <v>0.005221562593783915</v>
      </c>
      <c r="I71" t="n">
        <v>6.396777187440787</v>
      </c>
      <c r="J71" t="n">
        <v>2.849358403364498</v>
      </c>
      <c r="K71" t="n">
        <v>20.82763884371415</v>
      </c>
      <c r="L71" t="n">
        <v>6.396777187440787</v>
      </c>
      <c r="M71" t="n">
        <v>20.82763884371415</v>
      </c>
      <c r="N71" t="n">
        <v>31.53641690756494</v>
      </c>
      <c r="O71" t="n">
        <v>30.94471932546564</v>
      </c>
      <c r="P71" t="n">
        <v>10.70877806385079</v>
      </c>
      <c r="Q71" t="n">
        <v>10.11708048175149</v>
      </c>
      <c r="R71" t="n">
        <v>2.523494623655914</v>
      </c>
      <c r="S71" t="n">
        <v>1.056784946236559</v>
      </c>
      <c r="T71" t="inlineStr">
        <is>
          <t>seasonal pattern of Aug/23-Jul/26</t>
        </is>
      </c>
      <c r="U71" t="n">
        <v>32.5932018538015</v>
      </c>
      <c r="V71" t="n">
        <v>32.0015042717022</v>
      </c>
      <c r="W71" t="n">
        <v>9.242068386431434</v>
      </c>
      <c r="X71" t="n">
        <v>8.650370804332134</v>
      </c>
    </row>
    <row r="72">
      <c r="A72" t="n">
        <v>70</v>
      </c>
      <c r="B72" s="3" t="n">
        <v>46327</v>
      </c>
      <c r="C72" t="inlineStr">
        <is>
          <t>Forecast</t>
        </is>
      </c>
      <c r="D72" t="n">
        <v>4.681836989623317</v>
      </c>
      <c r="E72" t="n">
        <v>5.833597724237229</v>
      </c>
      <c r="F72" t="n">
        <v>0.4673572310198874</v>
      </c>
      <c r="G72" t="n">
        <v>0.5073680038436067</v>
      </c>
      <c r="H72" t="n">
        <v>0.005198952112019974</v>
      </c>
      <c r="I72" t="n">
        <v>6.56437371390203</v>
      </c>
      <c r="J72" t="n">
        <v>2.784950506332339</v>
      </c>
      <c r="K72" t="n">
        <v>20.84468312107043</v>
      </c>
      <c r="L72" t="n">
        <v>6.56437371390203</v>
      </c>
      <c r="M72" t="n">
        <v>20.84468312107043</v>
      </c>
      <c r="N72" t="n">
        <v>31.64860220599815</v>
      </c>
      <c r="O72" t="n">
        <v>30.97073569792525</v>
      </c>
      <c r="P72" t="n">
        <v>10.80391908492772</v>
      </c>
      <c r="Q72" t="n">
        <v>10.12605257685482</v>
      </c>
      <c r="R72" t="n">
        <v>1.881788888888889</v>
      </c>
      <c r="S72" t="n">
        <v>1.287677777777778</v>
      </c>
      <c r="T72" t="inlineStr">
        <is>
          <t>seasonal pattern of Aug/23-Jul/26</t>
        </is>
      </c>
      <c r="U72" t="n">
        <v>32.93627998377593</v>
      </c>
      <c r="V72" t="n">
        <v>32.25841347570303</v>
      </c>
      <c r="W72" t="n">
        <v>10.20980797381661</v>
      </c>
      <c r="X72" t="n">
        <v>9.531941465743714</v>
      </c>
    </row>
    <row r="73">
      <c r="A73" t="n">
        <v>71</v>
      </c>
      <c r="B73" s="3" t="n">
        <v>46357</v>
      </c>
      <c r="C73" t="inlineStr">
        <is>
          <t>Forecast</t>
        </is>
      </c>
      <c r="D73" t="n">
        <v>4.625126022211296</v>
      </c>
      <c r="E73" t="n">
        <v>6.031840489538337</v>
      </c>
      <c r="F73" t="n">
        <v>0.8618928708285389</v>
      </c>
      <c r="G73" t="n">
        <v>0.6467795879765276</v>
      </c>
      <c r="H73" t="n">
        <v>0.00519512231997611</v>
      </c>
      <c r="I73" t="n">
        <v>6.644037038101145</v>
      </c>
      <c r="J73" t="n">
        <v>2.658115350636673</v>
      </c>
      <c r="K73" t="n">
        <v>21.4729864816125</v>
      </c>
      <c r="L73" t="n">
        <v>6.506765360995336</v>
      </c>
      <c r="M73" t="n">
        <v>21.33571480450669</v>
      </c>
      <c r="N73" t="n">
        <v>31.82203171238674</v>
      </c>
      <c r="O73" t="n">
        <v>31.05278802482604</v>
      </c>
      <c r="P73" t="n">
        <v>10.34904523077424</v>
      </c>
      <c r="Q73" t="n">
        <v>9.717073220319357</v>
      </c>
      <c r="R73" t="n">
        <v>1.379204301075269</v>
      </c>
      <c r="S73" t="n">
        <v>2.158774193548387</v>
      </c>
      <c r="T73" t="inlineStr">
        <is>
          <t>seasonal pattern of Aug/23-Jul/26</t>
        </is>
      </c>
      <c r="U73" t="n">
        <v>33.98080590593513</v>
      </c>
      <c r="V73" t="n">
        <v>33.21156221837443</v>
      </c>
      <c r="W73" t="n">
        <v>11.12861512324736</v>
      </c>
      <c r="X73" t="n">
        <v>10.49664311279248</v>
      </c>
    </row>
    <row r="74">
      <c r="A74" t="n">
        <v>72</v>
      </c>
      <c r="B74" s="3" t="n">
        <v>46388</v>
      </c>
      <c r="C74" t="inlineStr">
        <is>
          <t>Forecast</t>
        </is>
      </c>
      <c r="D74" t="n">
        <v>5.60152132066198</v>
      </c>
      <c r="E74" t="n">
        <v>5.893686262858893</v>
      </c>
      <c r="F74" t="n">
        <v>1.534636697680467</v>
      </c>
      <c r="G74" t="n">
        <v>0.9017584031775656</v>
      </c>
      <c r="H74" t="n">
        <v>0.006632259070454595</v>
      </c>
      <c r="I74" t="n">
        <v>6.474365214734833</v>
      </c>
      <c r="J74" t="n">
        <v>2.928315042689603</v>
      </c>
      <c r="K74" t="n">
        <v>23.34091520087379</v>
      </c>
      <c r="L74" t="n">
        <v>6.287332068646612</v>
      </c>
      <c r="M74" t="n">
        <v>23.15388205478558</v>
      </c>
      <c r="N74" t="n">
        <v>31.34480261369272</v>
      </c>
      <c r="O74" t="n">
        <v>31.28670919583861</v>
      </c>
      <c r="P74" t="n">
        <v>8.003887412818923</v>
      </c>
      <c r="Q74" t="n">
        <v>8.132827141053035</v>
      </c>
      <c r="R74" t="n">
        <v>0.9953118279569892</v>
      </c>
      <c r="S74" t="n">
        <v>4.435344086021505</v>
      </c>
      <c r="T74" t="inlineStr">
        <is>
          <t>seasonal pattern of Aug/23-Jul/26</t>
        </is>
      </c>
      <c r="U74" t="n">
        <v>35.78014669971422</v>
      </c>
      <c r="V74" t="n">
        <v>35.72205328186011</v>
      </c>
      <c r="W74" t="n">
        <v>11.44391967088344</v>
      </c>
      <c r="X74" t="n">
        <v>11.57285939911755</v>
      </c>
    </row>
    <row r="75">
      <c r="A75" t="n">
        <v>73</v>
      </c>
      <c r="B75" s="3" t="n">
        <v>46419</v>
      </c>
      <c r="C75" t="inlineStr">
        <is>
          <t>Forecast</t>
        </is>
      </c>
      <c r="D75" t="n">
        <v>4.591665770626252</v>
      </c>
      <c r="E75" t="n">
        <v>5.771683468248021</v>
      </c>
      <c r="F75" t="n">
        <v>1.071753433222375</v>
      </c>
      <c r="G75" t="n">
        <v>0.7096739390246209</v>
      </c>
      <c r="H75" t="n">
        <v>0.006626279424245835</v>
      </c>
      <c r="I75" t="n">
        <v>6.457224532049643</v>
      </c>
      <c r="J75" t="n">
        <v>2.878761529187784</v>
      </c>
      <c r="K75" t="n">
        <v>21.48738895178294</v>
      </c>
      <c r="L75" t="n">
        <v>6.218926987892429</v>
      </c>
      <c r="M75" t="n">
        <v>21.24909140762573</v>
      </c>
      <c r="N75" t="n">
        <v>32.14974562843171</v>
      </c>
      <c r="O75" t="n">
        <v>31.50848350029321</v>
      </c>
      <c r="P75" t="n">
        <v>10.66235667664877</v>
      </c>
      <c r="Q75" t="n">
        <v>10.25939209266748</v>
      </c>
      <c r="R75" t="n">
        <v>1.637940886699507</v>
      </c>
      <c r="S75" t="n">
        <v>2.852903530377668</v>
      </c>
      <c r="T75" t="inlineStr">
        <is>
          <t>seasonal pattern of Aug/23-Jul/26</t>
        </is>
      </c>
      <c r="U75" t="n">
        <v>35.00264915880938</v>
      </c>
      <c r="V75" t="n">
        <v>34.36138703067088</v>
      </c>
      <c r="W75" t="n">
        <v>11.87731932032693</v>
      </c>
      <c r="X75" t="n">
        <v>11.47435473634564</v>
      </c>
    </row>
    <row r="76">
      <c r="A76" t="n">
        <v>74</v>
      </c>
      <c r="B76" s="3" t="n">
        <v>46447</v>
      </c>
      <c r="C76" t="inlineStr">
        <is>
          <t>Forecast</t>
        </is>
      </c>
      <c r="D76" t="n">
        <v>4.084302667522916</v>
      </c>
      <c r="E76" t="n">
        <v>5.744850592631705</v>
      </c>
      <c r="F76" t="n">
        <v>0.4915507700236296</v>
      </c>
      <c r="G76" t="n">
        <v>0.4883272060505006</v>
      </c>
      <c r="H76" t="n">
        <v>0.006598675494152</v>
      </c>
      <c r="I76" t="n">
        <v>6.475045955188901</v>
      </c>
      <c r="J76" t="n">
        <v>2.774088603050508</v>
      </c>
      <c r="K76" t="n">
        <v>20.06476446996231</v>
      </c>
      <c r="L76" t="n">
        <v>6.055831364461786</v>
      </c>
      <c r="M76" t="n">
        <v>19.6455498792352</v>
      </c>
      <c r="N76" t="n">
        <v>32.3263064166282</v>
      </c>
      <c r="O76" t="n">
        <v>31.53777286358666</v>
      </c>
      <c r="P76" t="n">
        <v>12.26154194666589</v>
      </c>
      <c r="Q76" t="n">
        <v>11.89222298435146</v>
      </c>
      <c r="R76" t="n">
        <v>2.392172043010753</v>
      </c>
      <c r="S76" t="n">
        <v>1.187268817204301</v>
      </c>
      <c r="T76" t="inlineStr">
        <is>
          <t>seasonal pattern of Aug/23-Jul/26</t>
        </is>
      </c>
      <c r="U76" t="n">
        <v>33.5135752338325</v>
      </c>
      <c r="V76" t="n">
        <v>32.72504168079096</v>
      </c>
      <c r="W76" t="n">
        <v>11.05663872085943</v>
      </c>
      <c r="X76" t="n">
        <v>10.68731975854501</v>
      </c>
    </row>
    <row r="77">
      <c r="A77" t="n">
        <v>75</v>
      </c>
      <c r="B77" s="3" t="n">
        <v>46478</v>
      </c>
      <c r="C77" t="inlineStr">
        <is>
          <t>Forecast</t>
        </is>
      </c>
      <c r="D77" t="n">
        <v>4.513549912598049</v>
      </c>
      <c r="E77" t="n">
        <v>5.680608138500108</v>
      </c>
      <c r="F77" t="n">
        <v>0.3190816123310472</v>
      </c>
      <c r="G77" t="n">
        <v>0.4440890247278849</v>
      </c>
      <c r="H77" t="n">
        <v>0.006578774034385803</v>
      </c>
      <c r="I77" t="n">
        <v>6.537792984935101</v>
      </c>
      <c r="J77" t="n">
        <v>2.986666029480982</v>
      </c>
      <c r="K77" t="n">
        <v>20.48836647660756</v>
      </c>
      <c r="L77" t="n">
        <v>5.876437039759936</v>
      </c>
      <c r="M77" t="n">
        <v>19.82701053143239</v>
      </c>
      <c r="N77" t="n">
        <v>32.51242239218128</v>
      </c>
      <c r="O77" t="n">
        <v>32.51242239218128</v>
      </c>
      <c r="P77" t="n">
        <v>12.02405591557372</v>
      </c>
      <c r="Q77" t="n">
        <v>12.68541186074889</v>
      </c>
      <c r="R77" t="n">
        <v>2.271922222222222</v>
      </c>
      <c r="S77" t="n">
        <v>1.159666666666667</v>
      </c>
      <c r="T77" t="inlineStr">
        <is>
          <t>seasonal pattern of Aug/23-Jul/26</t>
        </is>
      </c>
      <c r="U77" t="n">
        <v>33.67208905884794</v>
      </c>
      <c r="V77" t="n">
        <v>33.67208905884794</v>
      </c>
      <c r="W77" t="n">
        <v>10.91180036001816</v>
      </c>
      <c r="X77" t="n">
        <v>11.57315630519333</v>
      </c>
    </row>
    <row r="78">
      <c r="A78" t="n">
        <v>76</v>
      </c>
      <c r="B78" s="3" t="n">
        <v>46508</v>
      </c>
      <c r="C78" t="inlineStr">
        <is>
          <t>Forecast</t>
        </is>
      </c>
      <c r="D78" t="n">
        <v>5.815887213640852</v>
      </c>
      <c r="E78" t="n">
        <v>5.552993543365289</v>
      </c>
      <c r="F78" t="n">
        <v>0.2209863247505367</v>
      </c>
      <c r="G78" t="n">
        <v>0.3730742742049455</v>
      </c>
      <c r="H78" t="n">
        <v>0.006565261974022615</v>
      </c>
      <c r="I78" t="n">
        <v>6.990937874296153</v>
      </c>
      <c r="J78" t="n">
        <v>3.246131765669215</v>
      </c>
      <c r="K78" t="n">
        <v>22.20657625790102</v>
      </c>
      <c r="L78" t="n">
        <v>6.085505681462548</v>
      </c>
      <c r="M78" t="n">
        <v>21.30114406506741</v>
      </c>
      <c r="N78" t="n">
        <v>32.71624278042914</v>
      </c>
      <c r="O78" t="n">
        <v>32.71624278042914</v>
      </c>
      <c r="P78" t="n">
        <v>10.50966652252812</v>
      </c>
      <c r="Q78" t="n">
        <v>11.41509871536173</v>
      </c>
      <c r="R78" t="n">
        <v>2.179247311827957</v>
      </c>
      <c r="S78" t="n">
        <v>1.123032258064516</v>
      </c>
      <c r="T78" t="inlineStr">
        <is>
          <t>seasonal pattern of Aug/23-Jul/26</t>
        </is>
      </c>
      <c r="U78" t="n">
        <v>33.83927503849366</v>
      </c>
      <c r="V78" t="n">
        <v>33.83927503849366</v>
      </c>
      <c r="W78" t="n">
        <v>9.453451468764687</v>
      </c>
      <c r="X78" t="n">
        <v>10.35888366159829</v>
      </c>
    </row>
    <row r="79">
      <c r="A79" t="n">
        <v>77</v>
      </c>
      <c r="B79" s="3" t="n">
        <v>46539</v>
      </c>
      <c r="C79" t="inlineStr">
        <is>
          <t>Forecast</t>
        </is>
      </c>
      <c r="D79" t="n">
        <v>6.706918670559735</v>
      </c>
      <c r="E79" t="n">
        <v>5.614579908845148</v>
      </c>
      <c r="F79" t="n">
        <v>0.2102139365451465</v>
      </c>
      <c r="G79" t="n">
        <v>0.3758789561992053</v>
      </c>
      <c r="H79" t="n">
        <v>0.006545461288696243</v>
      </c>
      <c r="I79" t="n">
        <v>7.317293769208743</v>
      </c>
      <c r="J79" t="n">
        <v>3.183163621523247</v>
      </c>
      <c r="K79" t="n">
        <v>23.41459432416992</v>
      </c>
      <c r="L79" t="n">
        <v>6.30325612059886</v>
      </c>
      <c r="M79" t="n">
        <v>22.40055667556004</v>
      </c>
      <c r="N79" t="n">
        <v>32.93451173619186</v>
      </c>
      <c r="O79" t="n">
        <v>32.93451173619186</v>
      </c>
      <c r="P79" t="n">
        <v>9.51991741202194</v>
      </c>
      <c r="Q79" t="n">
        <v>10.53395506063182</v>
      </c>
      <c r="R79" t="n">
        <v>1.835466666666667</v>
      </c>
      <c r="S79" t="n">
        <v>1.149211111111111</v>
      </c>
      <c r="T79" t="inlineStr">
        <is>
          <t>seasonal pattern of Aug/23-Jul/26</t>
        </is>
      </c>
      <c r="U79" t="n">
        <v>34.08372284730297</v>
      </c>
      <c r="V79" t="n">
        <v>34.08372284730297</v>
      </c>
      <c r="W79" t="n">
        <v>8.833661856466387</v>
      </c>
      <c r="X79" t="n">
        <v>9.847699505076269</v>
      </c>
    </row>
    <row r="80">
      <c r="A80" t="n">
        <v>78</v>
      </c>
      <c r="B80" s="3" t="n">
        <v>46569</v>
      </c>
      <c r="C80" t="inlineStr">
        <is>
          <t>Forecast</t>
        </is>
      </c>
      <c r="D80" t="n">
        <v>7.299471258702761</v>
      </c>
      <c r="E80" t="n">
        <v>5.600740992260573</v>
      </c>
      <c r="F80" t="n">
        <v>0.1964829098663687</v>
      </c>
      <c r="G80" t="n">
        <v>0.3592145606960728</v>
      </c>
      <c r="H80" t="n">
        <v>0.006532017648957973</v>
      </c>
      <c r="I80" t="n">
        <v>7.490755317494782</v>
      </c>
      <c r="J80" t="n">
        <v>3.037684824395354</v>
      </c>
      <c r="K80" t="n">
        <v>23.99088188106487</v>
      </c>
      <c r="L80" t="n">
        <v>6.212198295643518</v>
      </c>
      <c r="M80" t="n">
        <v>22.71232485921361</v>
      </c>
      <c r="N80" t="n">
        <v>33.16438630289471</v>
      </c>
      <c r="O80" t="n">
        <v>33.16438630289471</v>
      </c>
      <c r="P80" t="n">
        <v>9.173504421829843</v>
      </c>
      <c r="Q80" t="n">
        <v>10.45206144368111</v>
      </c>
      <c r="R80" t="n">
        <v>1.445075268817204</v>
      </c>
      <c r="S80" t="n">
        <v>1.521387096774194</v>
      </c>
      <c r="T80" t="inlineStr">
        <is>
          <t>seasonal pattern of Aug/23-Jul/26</t>
        </is>
      </c>
      <c r="U80" t="n">
        <v>34.6857733996689</v>
      </c>
      <c r="V80" t="n">
        <v>34.6857733996689</v>
      </c>
      <c r="W80" t="n">
        <v>9.24981624978683</v>
      </c>
      <c r="X80" t="n">
        <v>10.52837327163809</v>
      </c>
    </row>
    <row r="81">
      <c r="A81" t="n">
        <v>79</v>
      </c>
      <c r="B81" s="3" t="n">
        <v>46600</v>
      </c>
      <c r="C81" t="inlineStr">
        <is>
          <t>Forecast</t>
        </is>
      </c>
      <c r="D81" t="n">
        <v>8.193937527388337</v>
      </c>
      <c r="E81" t="n">
        <v>5.666028153285912</v>
      </c>
      <c r="F81" t="n">
        <v>0.1726102254648359</v>
      </c>
      <c r="G81" t="n">
        <v>0.3501648764063452</v>
      </c>
      <c r="H81" t="n">
        <v>0.005090693310817161</v>
      </c>
      <c r="I81" t="n">
        <v>7.99559592769987</v>
      </c>
      <c r="J81" t="n">
        <v>3.108901705501789</v>
      </c>
      <c r="K81" t="n">
        <v>25.49232910905791</v>
      </c>
      <c r="L81" t="n">
        <v>6.457477979402537</v>
      </c>
      <c r="M81" t="n">
        <v>23.95421116076058</v>
      </c>
      <c r="N81" t="n">
        <v>33.39840372909472</v>
      </c>
      <c r="O81" t="n">
        <v>33.39840372909472</v>
      </c>
      <c r="P81" t="n">
        <v>7.906074620036808</v>
      </c>
      <c r="Q81" t="n">
        <v>9.444192568334142</v>
      </c>
      <c r="R81" t="n">
        <v>1.741763440860215</v>
      </c>
      <c r="S81" t="n">
        <v>2.883548387096774</v>
      </c>
      <c r="T81" t="inlineStr">
        <is>
          <t>seasonal pattern of Aug/23-Jul/26</t>
        </is>
      </c>
      <c r="U81" t="n">
        <v>36.28195211619149</v>
      </c>
      <c r="V81" t="n">
        <v>36.28195211619149</v>
      </c>
      <c r="W81" t="n">
        <v>9.047859566273367</v>
      </c>
      <c r="X81" t="n">
        <v>10.5859775145707</v>
      </c>
    </row>
    <row r="82">
      <c r="A82" t="n">
        <v>80</v>
      </c>
      <c r="B82" s="3" t="n">
        <v>46631</v>
      </c>
      <c r="C82" t="inlineStr">
        <is>
          <t>Forecast</t>
        </is>
      </c>
      <c r="D82" t="n">
        <v>6.945401123609252</v>
      </c>
      <c r="E82" t="n">
        <v>5.640800564781621</v>
      </c>
      <c r="F82" t="n">
        <v>0.1697954678102824</v>
      </c>
      <c r="G82" t="n">
        <v>0.3587098685556818</v>
      </c>
      <c r="H82" t="n">
        <v>0.005068649521012347</v>
      </c>
      <c r="I82" t="n">
        <v>8.695339501376306</v>
      </c>
      <c r="J82" t="n">
        <v>2.926571038137622</v>
      </c>
      <c r="K82" t="n">
        <v>24.74168621379178</v>
      </c>
      <c r="L82" t="n">
        <v>6.990823893421982</v>
      </c>
      <c r="M82" t="n">
        <v>23.03717060583746</v>
      </c>
      <c r="N82" t="n">
        <v>33.63099851262336</v>
      </c>
      <c r="O82" t="n">
        <v>33.63099851262336</v>
      </c>
      <c r="P82" t="n">
        <v>8.889312298831584</v>
      </c>
      <c r="Q82" t="n">
        <v>10.59382790678591</v>
      </c>
      <c r="R82" t="n">
        <v>2.412133333333333</v>
      </c>
      <c r="S82" t="n">
        <v>2.104855555555555</v>
      </c>
      <c r="T82" t="inlineStr">
        <is>
          <t>seasonal pattern of Aug/23-Jul/26</t>
        </is>
      </c>
      <c r="U82" t="n">
        <v>35.73585406817892</v>
      </c>
      <c r="V82" t="n">
        <v>35.73585406817892</v>
      </c>
      <c r="W82" t="n">
        <v>8.582034521053803</v>
      </c>
      <c r="X82" t="n">
        <v>10.28655012900813</v>
      </c>
    </row>
    <row r="83">
      <c r="A83" t="n">
        <v>81</v>
      </c>
      <c r="B83" s="3" t="n">
        <v>46661</v>
      </c>
      <c r="C83" t="inlineStr">
        <is>
          <t>Forecast</t>
        </is>
      </c>
      <c r="D83" t="n">
        <v>5.457817105953894</v>
      </c>
      <c r="E83" t="n">
        <v>5.492198659475094</v>
      </c>
      <c r="F83" t="n">
        <v>0.2356613559206259</v>
      </c>
      <c r="G83" t="n">
        <v>0.392751012440045</v>
      </c>
      <c r="H83" t="n">
        <v>0.005064915715970399</v>
      </c>
      <c r="I83" t="n">
        <v>9.396864497151917</v>
      </c>
      <c r="J83" t="n">
        <v>2.791645855212018</v>
      </c>
      <c r="K83" t="n">
        <v>23.77200340186956</v>
      </c>
      <c r="L83" t="n">
        <v>7.500412653304695</v>
      </c>
      <c r="M83" t="n">
        <v>21.87555155802234</v>
      </c>
      <c r="N83" t="n">
        <v>33.86432455900134</v>
      </c>
      <c r="O83" t="n">
        <v>33.86432455900134</v>
      </c>
      <c r="P83" t="n">
        <v>10.09232115713178</v>
      </c>
      <c r="Q83" t="n">
        <v>11.988773000979</v>
      </c>
      <c r="R83" t="n">
        <v>2.523494623655914</v>
      </c>
      <c r="S83" t="n">
        <v>1.056784946236559</v>
      </c>
      <c r="T83" t="inlineStr">
        <is>
          <t>seasonal pattern of Aug/23-Jul/26</t>
        </is>
      </c>
      <c r="U83" t="n">
        <v>34.9211095052379</v>
      </c>
      <c r="V83" t="n">
        <v>34.9211095052379</v>
      </c>
      <c r="W83" t="n">
        <v>8.625611479712425</v>
      </c>
      <c r="X83" t="n">
        <v>10.52206332355965</v>
      </c>
    </row>
    <row r="84">
      <c r="A84" t="n">
        <v>82</v>
      </c>
      <c r="B84" s="3" t="n">
        <v>46692</v>
      </c>
      <c r="C84" t="inlineStr">
        <is>
          <t>Forecast</t>
        </is>
      </c>
      <c r="D84" t="n">
        <v>4.663385892484723</v>
      </c>
      <c r="E84" t="n">
        <v>5.879821180492057</v>
      </c>
      <c r="F84" t="n">
        <v>0.4533365140892908</v>
      </c>
      <c r="G84" t="n">
        <v>0.4921469637282985</v>
      </c>
      <c r="H84" t="n">
        <v>0.005042983548659375</v>
      </c>
      <c r="I84" t="n">
        <v>10.02482796884667</v>
      </c>
      <c r="J84" t="n">
        <v>2.728542512866443</v>
      </c>
      <c r="K84" t="n">
        <v>24.24710401605615</v>
      </c>
      <c r="L84" t="n">
        <v>7.939695001545404</v>
      </c>
      <c r="M84" t="n">
        <v>22.16197104875488</v>
      </c>
      <c r="N84" t="n">
        <v>34.0936053442197</v>
      </c>
      <c r="O84" t="n">
        <v>34.0936053442197</v>
      </c>
      <c r="P84" t="n">
        <v>9.846501328163558</v>
      </c>
      <c r="Q84" t="n">
        <v>11.93163429546482</v>
      </c>
      <c r="R84" t="n">
        <v>1.881788888888889</v>
      </c>
      <c r="S84" t="n">
        <v>1.287677777777778</v>
      </c>
      <c r="T84" t="inlineStr">
        <is>
          <t>seasonal pattern of Aug/23-Jul/26</t>
        </is>
      </c>
      <c r="U84" t="n">
        <v>35.38128312199748</v>
      </c>
      <c r="V84" t="n">
        <v>35.38128312199748</v>
      </c>
      <c r="W84" t="n">
        <v>9.252390217052451</v>
      </c>
      <c r="X84" t="n">
        <v>11.33752318435372</v>
      </c>
    </row>
    <row r="85">
      <c r="A85" t="n">
        <v>83</v>
      </c>
      <c r="B85" s="3" t="n">
        <v>46722</v>
      </c>
      <c r="C85" t="inlineStr">
        <is>
          <t>Forecast</t>
        </is>
      </c>
      <c r="D85" t="n">
        <v>4.606898422723488</v>
      </c>
      <c r="E85" t="n">
        <v>6.079634754447258</v>
      </c>
      <c r="F85" t="n">
        <v>0.8360360847036827</v>
      </c>
      <c r="G85" t="n">
        <v>0.6273762003372318</v>
      </c>
      <c r="H85" t="n">
        <v>0.005039268650376826</v>
      </c>
      <c r="I85" t="n">
        <v>10.18260905034924</v>
      </c>
      <c r="J85" t="n">
        <v>2.604276349552315</v>
      </c>
      <c r="K85" t="n">
        <v>24.94187013076359</v>
      </c>
      <c r="L85" t="n">
        <v>8.077895689745533</v>
      </c>
      <c r="M85" t="n">
        <v>22.83715677015988</v>
      </c>
      <c r="N85" t="n">
        <v>34.31354508796161</v>
      </c>
      <c r="O85" t="n">
        <v>34.31354508796161</v>
      </c>
      <c r="P85" t="n">
        <v>9.371674957198024</v>
      </c>
      <c r="Q85" t="n">
        <v>11.47638831780173</v>
      </c>
      <c r="R85" t="n">
        <v>1.379204301075269</v>
      </c>
      <c r="S85" t="n">
        <v>2.158774193548387</v>
      </c>
      <c r="T85" t="inlineStr">
        <is>
          <t>seasonal pattern of Aug/23-Jul/26</t>
        </is>
      </c>
      <c r="U85" t="n">
        <v>36.47231928151</v>
      </c>
      <c r="V85" t="n">
        <v>36.47231928151</v>
      </c>
      <c r="W85" t="n">
        <v>10.15124484967114</v>
      </c>
      <c r="X85" t="n">
        <v>12.25595821027485</v>
      </c>
    </row>
    <row r="86">
      <c r="A86" t="n">
        <v>84</v>
      </c>
      <c r="B86" s="3" t="n">
        <v>46753</v>
      </c>
      <c r="C86" t="inlineStr">
        <is>
          <t>Forecast</t>
        </is>
      </c>
      <c r="D86" t="n">
        <v>5.579445751982315</v>
      </c>
      <c r="E86" t="n">
        <v>5.940385840380165</v>
      </c>
      <c r="F86" t="n">
        <v>1.488597596750053</v>
      </c>
      <c r="G86" t="n">
        <v>0.8747056510822386</v>
      </c>
      <c r="H86" t="n">
        <v>0.006433291298340957</v>
      </c>
      <c r="I86" t="n">
        <v>9.933882743400588</v>
      </c>
      <c r="J86" t="n">
        <v>2.869003261234766</v>
      </c>
      <c r="K86" t="n">
        <v>26.69245413612847</v>
      </c>
      <c r="L86" t="n">
        <v>8.136494845443632</v>
      </c>
      <c r="M86" t="n">
        <v>24.89506623817151</v>
      </c>
      <c r="N86" t="n">
        <v>33.73408061239353</v>
      </c>
      <c r="O86" t="n">
        <v>33.73408061239353</v>
      </c>
      <c r="P86" t="n">
        <v>7.041626476265066</v>
      </c>
      <c r="Q86" t="n">
        <v>8.839014374222021</v>
      </c>
      <c r="R86" t="n">
        <v>0.9953118279569892</v>
      </c>
      <c r="S86" t="n">
        <v>4.435344086021505</v>
      </c>
      <c r="T86" t="inlineStr">
        <is>
          <t>seasonal pattern of Aug/23-Jul/26</t>
        </is>
      </c>
      <c r="U86" t="n">
        <v>38.16942469841504</v>
      </c>
      <c r="V86" t="n">
        <v>38.16942469841504</v>
      </c>
      <c r="W86" t="n">
        <v>10.48165873432959</v>
      </c>
      <c r="X86" t="n">
        <v>12.27904663228654</v>
      </c>
    </row>
    <row r="87">
      <c r="A87" t="n">
        <v>85</v>
      </c>
      <c r="B87" s="3" t="n">
        <v>46784</v>
      </c>
      <c r="C87" t="inlineStr">
        <is>
          <t>Forecast</t>
        </is>
      </c>
      <c r="D87" t="n">
        <v>4.573570037829584</v>
      </c>
      <c r="E87" t="n">
        <v>5.817416336869187</v>
      </c>
      <c r="F87" t="n">
        <v>1.039600830225704</v>
      </c>
      <c r="G87" t="n">
        <v>0.6883837208538823</v>
      </c>
      <c r="H87" t="n">
        <v>0.006427491041518459</v>
      </c>
      <c r="I87" t="n">
        <v>10.05862295544212</v>
      </c>
      <c r="J87" t="n">
        <v>2.820453433169895</v>
      </c>
      <c r="K87" t="n">
        <v>25.00447480543189</v>
      </c>
      <c r="L87" t="n">
        <v>8.296523437905869</v>
      </c>
      <c r="M87" t="n">
        <v>23.24237528789564</v>
      </c>
      <c r="N87" t="n">
        <v>34.59969540182533</v>
      </c>
      <c r="O87" t="n">
        <v>34.59969540182533</v>
      </c>
      <c r="P87" t="n">
        <v>9.595220596393439</v>
      </c>
      <c r="Q87" t="n">
        <v>11.35732011392969</v>
      </c>
      <c r="R87" t="n">
        <v>1.637940886699507</v>
      </c>
      <c r="S87" t="n">
        <v>2.852903530377668</v>
      </c>
      <c r="T87" t="inlineStr">
        <is>
          <t>seasonal pattern of Aug/23-Jul/26</t>
        </is>
      </c>
      <c r="U87" t="n">
        <v>37.452598932203</v>
      </c>
      <c r="V87" t="n">
        <v>37.452598932203</v>
      </c>
      <c r="W87" t="n">
        <v>10.8101832400716</v>
      </c>
      <c r="X87" t="n">
        <v>12.57228275760785</v>
      </c>
    </row>
    <row r="88">
      <c r="A88" t="n">
        <v>86</v>
      </c>
      <c r="B88" s="3" t="n">
        <v>46813</v>
      </c>
      <c r="C88" t="inlineStr">
        <is>
          <t>Forecast</t>
        </is>
      </c>
      <c r="D88" t="n">
        <v>4.068206450284062</v>
      </c>
      <c r="E88" t="n">
        <v>5.790370846617636</v>
      </c>
      <c r="F88" t="n">
        <v>0.4768042469229207</v>
      </c>
      <c r="G88" t="n">
        <v>0.4736773898689856</v>
      </c>
      <c r="H88" t="n">
        <v>0.00640071522932744</v>
      </c>
      <c r="I88" t="n">
        <v>9.974197376981069</v>
      </c>
      <c r="J88" t="n">
        <v>2.717900612837079</v>
      </c>
      <c r="K88" t="n">
        <v>23.50755763874108</v>
      </c>
      <c r="L88" t="n">
        <v>8.318737297851872</v>
      </c>
      <c r="M88" t="n">
        <v>21.85209755961188</v>
      </c>
      <c r="N88" t="n">
        <v>34.79017118914386</v>
      </c>
      <c r="O88" t="n">
        <v>34.79017118914386</v>
      </c>
      <c r="P88" t="n">
        <v>11.28261355040279</v>
      </c>
      <c r="Q88" t="n">
        <v>12.93807362953198</v>
      </c>
      <c r="R88" t="n">
        <v>2.392172043010753</v>
      </c>
      <c r="S88" t="n">
        <v>1.187268817204301</v>
      </c>
      <c r="T88" t="inlineStr">
        <is>
          <t>seasonal pattern of Aug/23-Jul/26</t>
        </is>
      </c>
      <c r="U88" t="n">
        <v>35.97744000634816</v>
      </c>
      <c r="V88" t="n">
        <v>35.97744000634816</v>
      </c>
      <c r="W88" t="n">
        <v>10.07771032459633</v>
      </c>
      <c r="X88" t="n">
        <v>11.73317040372553</v>
      </c>
    </row>
    <row r="89">
      <c r="A89" t="n">
        <v>87</v>
      </c>
      <c r="B89" s="3" t="n">
        <v>46844</v>
      </c>
      <c r="C89" t="inlineStr">
        <is>
          <t>Forecast</t>
        </is>
      </c>
      <c r="D89" t="n">
        <v>4.495762034023503</v>
      </c>
      <c r="E89" t="n">
        <v>5.725619356997369</v>
      </c>
      <c r="F89" t="n">
        <v>0.3095091639611158</v>
      </c>
      <c r="G89" t="n">
        <v>0.4307663539860483</v>
      </c>
      <c r="H89" t="n">
        <v>0.00638141081335423</v>
      </c>
      <c r="I89" t="n">
        <v>9.851180955530085</v>
      </c>
      <c r="J89" t="n">
        <v>2.926172373492228</v>
      </c>
      <c r="K89" t="n">
        <v>23.7453916488037</v>
      </c>
      <c r="L89" t="n">
        <v>8.421173993027676</v>
      </c>
      <c r="M89" t="n">
        <v>22.31538468630129</v>
      </c>
      <c r="N89" t="n">
        <v>34.99107076113182</v>
      </c>
      <c r="O89" t="n">
        <v>34.99107076113182</v>
      </c>
      <c r="P89" t="n">
        <v>11.24567911232812</v>
      </c>
      <c r="Q89" t="n">
        <v>12.67568607483053</v>
      </c>
      <c r="R89" t="n">
        <v>2.271922222222222</v>
      </c>
      <c r="S89" t="n">
        <v>1.159666666666667</v>
      </c>
      <c r="T89" t="inlineStr">
        <is>
          <t>seasonal pattern of Aug/23-Jul/26</t>
        </is>
      </c>
      <c r="U89" t="n">
        <v>36.15073742779849</v>
      </c>
      <c r="V89" t="n">
        <v>36.15073742779849</v>
      </c>
      <c r="W89" t="n">
        <v>10.13342355677256</v>
      </c>
      <c r="X89" t="n">
        <v>11.56343051927497</v>
      </c>
    </row>
    <row r="90">
      <c r="A90" t="n">
        <v>88</v>
      </c>
      <c r="B90" s="3" t="n">
        <v>46874</v>
      </c>
      <c r="C90" t="inlineStr">
        <is>
          <t>Forecast</t>
        </is>
      </c>
      <c r="D90" t="n">
        <v>5.792966830004295</v>
      </c>
      <c r="E90" t="n">
        <v>5.596993586952225</v>
      </c>
      <c r="F90" t="n">
        <v>0.2143567350080206</v>
      </c>
      <c r="G90" t="n">
        <v>0.3618820459787971</v>
      </c>
      <c r="H90" t="n">
        <v>0.006368304114801937</v>
      </c>
      <c r="I90" t="n">
        <v>10.37861337246806</v>
      </c>
      <c r="J90" t="n">
        <v>3.180382741041683</v>
      </c>
      <c r="K90" t="n">
        <v>25.53156361556788</v>
      </c>
      <c r="L90" t="n">
        <v>9.0380912875295</v>
      </c>
      <c r="M90" t="n">
        <v>24.19104153062932</v>
      </c>
      <c r="N90" t="n">
        <v>35.21107507190299</v>
      </c>
      <c r="O90" t="n">
        <v>35.21107507190299</v>
      </c>
      <c r="P90" t="n">
        <v>9.679511456335106</v>
      </c>
      <c r="Q90" t="n">
        <v>11.02003354127367</v>
      </c>
      <c r="R90" t="n">
        <v>2.179247311827957</v>
      </c>
      <c r="S90" t="n">
        <v>1.123032258064516</v>
      </c>
      <c r="T90" t="inlineStr">
        <is>
          <t>seasonal pattern of Aug/23-Jul/26</t>
        </is>
      </c>
      <c r="U90" t="n">
        <v>36.33410732996751</v>
      </c>
      <c r="V90" t="n">
        <v>36.33410732996751</v>
      </c>
      <c r="W90" t="n">
        <v>8.623296402571668</v>
      </c>
      <c r="X90" t="n">
        <v>9.963818487510228</v>
      </c>
    </row>
    <row r="91">
      <c r="A91" t="n">
        <v>89</v>
      </c>
      <c r="B91" s="3" t="n">
        <v>46905</v>
      </c>
      <c r="C91" t="inlineStr">
        <is>
          <t>Forecast</t>
        </is>
      </c>
      <c r="D91" t="n">
        <v>6.680486736221694</v>
      </c>
      <c r="E91" t="n">
        <v>5.659067941972197</v>
      </c>
      <c r="F91" t="n">
        <v>0.2039075184487921</v>
      </c>
      <c r="G91" t="n">
        <v>0.3646025875132291</v>
      </c>
      <c r="H91" t="n">
        <v>0.006349097450035356</v>
      </c>
      <c r="I91" t="n">
        <v>10.77479381700417</v>
      </c>
      <c r="J91" t="n">
        <v>3.118689989997125</v>
      </c>
      <c r="K91" t="n">
        <v>26.80789768860724</v>
      </c>
      <c r="L91" t="n">
        <v>9.401343619032692</v>
      </c>
      <c r="M91" t="n">
        <v>25.43444749063577</v>
      </c>
      <c r="N91" t="n">
        <v>35.44668340469384</v>
      </c>
      <c r="O91" t="n">
        <v>35.44668340469384</v>
      </c>
      <c r="P91" t="n">
        <v>8.638785716086598</v>
      </c>
      <c r="Q91" t="n">
        <v>10.01223591405807</v>
      </c>
      <c r="R91" t="n">
        <v>1.835466666666667</v>
      </c>
      <c r="S91" t="n">
        <v>1.149211111111111</v>
      </c>
      <c r="T91" t="inlineStr">
        <is>
          <t>seasonal pattern of Aug/23-Jul/26</t>
        </is>
      </c>
      <c r="U91" t="n">
        <v>36.59589451580496</v>
      </c>
      <c r="V91" t="n">
        <v>36.59589451580496</v>
      </c>
      <c r="W91" t="n">
        <v>7.952530160531046</v>
      </c>
      <c r="X91" t="n">
        <v>9.325980358502521</v>
      </c>
    </row>
    <row r="92">
      <c r="A92" t="n">
        <v>90</v>
      </c>
      <c r="B92" s="3" t="n">
        <v>46935</v>
      </c>
      <c r="C92" t="inlineStr">
        <is>
          <t>Forecast</t>
        </is>
      </c>
      <c r="D92" t="n">
        <v>7.270704077454631</v>
      </c>
      <c r="E92" t="n">
        <v>5.645119370491005</v>
      </c>
      <c r="F92" t="n">
        <v>0.1905884225703777</v>
      </c>
      <c r="G92" t="n">
        <v>0.3484381238751906</v>
      </c>
      <c r="H92" t="n">
        <v>0.006336057119489233</v>
      </c>
      <c r="I92" t="n">
        <v>10.78008861771616</v>
      </c>
      <c r="J92" t="n">
        <v>2.976157804314986</v>
      </c>
      <c r="K92" t="n">
        <v>27.21743247354184</v>
      </c>
      <c r="L92" t="n">
        <v>9.2793339875364</v>
      </c>
      <c r="M92" t="n">
        <v>25.71667784336208</v>
      </c>
      <c r="N92" t="n">
        <v>35.69475987330169</v>
      </c>
      <c r="O92" t="n">
        <v>35.69475987330169</v>
      </c>
      <c r="P92" t="n">
        <v>8.477327399759851</v>
      </c>
      <c r="Q92" t="n">
        <v>9.97808202993961</v>
      </c>
      <c r="R92" t="n">
        <v>1.445075268817204</v>
      </c>
      <c r="S92" t="n">
        <v>1.521387096774194</v>
      </c>
      <c r="T92" t="inlineStr">
        <is>
          <t>seasonal pattern of Aug/23-Jul/26</t>
        </is>
      </c>
      <c r="U92" t="n">
        <v>37.21614697007588</v>
      </c>
      <c r="V92" t="n">
        <v>37.21614697007588</v>
      </c>
      <c r="W92" t="n">
        <v>8.553639227716838</v>
      </c>
      <c r="X92" t="n">
        <v>10.0543938578966</v>
      </c>
    </row>
    <row r="93">
      <c r="A93" t="n">
        <v>91</v>
      </c>
      <c r="B93" s="3" t="n">
        <v>46966</v>
      </c>
      <c r="C93" t="inlineStr">
        <is>
          <t>Forecast</t>
        </is>
      </c>
      <c r="D93" t="n">
        <v>8.161645258862009</v>
      </c>
      <c r="E93" t="n">
        <v>5.710923844909262</v>
      </c>
      <c r="F93" t="n">
        <v>0.1674319187008908</v>
      </c>
      <c r="G93" t="n">
        <v>0.3396599301141548</v>
      </c>
      <c r="H93" t="n">
        <v>0.004937972511492646</v>
      </c>
      <c r="I93" t="n">
        <v>11.27506783682496</v>
      </c>
      <c r="J93" t="n">
        <v>3.045932217645071</v>
      </c>
      <c r="K93" t="n">
        <v>28.70559897956784</v>
      </c>
      <c r="L93" t="n">
        <v>9.796097482933424</v>
      </c>
      <c r="M93" t="n">
        <v>27.22662862567631</v>
      </c>
      <c r="N93" t="n">
        <v>35.94722820096002</v>
      </c>
      <c r="O93" t="n">
        <v>35.94722820096002</v>
      </c>
      <c r="P93" t="n">
        <v>7.241629221392177</v>
      </c>
      <c r="Q93" t="n">
        <v>8.720599575283714</v>
      </c>
      <c r="R93" t="n">
        <v>1.741763440860215</v>
      </c>
      <c r="S93" t="n">
        <v>2.883548387096774</v>
      </c>
      <c r="T93" t="inlineStr">
        <is>
          <t>seasonal pattern of Aug/23-Jul/26</t>
        </is>
      </c>
      <c r="U93" t="n">
        <v>38.83077658805679</v>
      </c>
      <c r="V93" t="n">
        <v>38.83077658805679</v>
      </c>
      <c r="W93" t="n">
        <v>8.383414167628736</v>
      </c>
      <c r="X93" t="n">
        <v>9.862384521520273</v>
      </c>
    </row>
    <row r="94">
      <c r="A94" t="n">
        <v>92</v>
      </c>
      <c r="B94" s="3" t="n">
        <v>46997</v>
      </c>
      <c r="C94" t="inlineStr">
        <is>
          <t>Forecast</t>
        </is>
      </c>
      <c r="D94" t="n">
        <v>6.918029331066658</v>
      </c>
      <c r="E94" t="n">
        <v>5.685496361522128</v>
      </c>
      <c r="F94" t="n">
        <v>0.1647016037759739</v>
      </c>
      <c r="G94" t="n">
        <v>0.3479485724990113</v>
      </c>
      <c r="H94" t="n">
        <v>0.004916590035381976</v>
      </c>
      <c r="I94" t="n">
        <v>12.09451430971443</v>
      </c>
      <c r="J94" t="n">
        <v>2.867294580756643</v>
      </c>
      <c r="K94" t="n">
        <v>28.08290134937022</v>
      </c>
      <c r="L94" t="n">
        <v>10.49639681199225</v>
      </c>
      <c r="M94" t="n">
        <v>26.48478385164805</v>
      </c>
      <c r="N94" t="n">
        <v>36.1981811852821</v>
      </c>
      <c r="O94" t="n">
        <v>36.1981811852821</v>
      </c>
      <c r="P94" t="n">
        <v>8.115279835911878</v>
      </c>
      <c r="Q94" t="n">
        <v>9.713397333634056</v>
      </c>
      <c r="R94" t="n">
        <v>2.412133333333333</v>
      </c>
      <c r="S94" t="n">
        <v>2.104855555555555</v>
      </c>
      <c r="T94" t="inlineStr">
        <is>
          <t>seasonal pattern of Aug/23-Jul/26</t>
        </is>
      </c>
      <c r="U94" t="n">
        <v>38.30303674083765</v>
      </c>
      <c r="V94" t="n">
        <v>38.30303674083765</v>
      </c>
      <c r="W94" t="n">
        <v>7.808002058134097</v>
      </c>
      <c r="X94" t="n">
        <v>9.406119555856275</v>
      </c>
    </row>
    <row r="95">
      <c r="A95" t="n">
        <v>93</v>
      </c>
      <c r="B95" s="3" t="n">
        <v>47027</v>
      </c>
      <c r="C95" t="inlineStr">
        <is>
          <t>Forecast</t>
        </is>
      </c>
      <c r="D95" t="n">
        <v>5.436307874895696</v>
      </c>
      <c r="E95" t="n">
        <v>5.535716984954465</v>
      </c>
      <c r="F95" t="n">
        <v>0.2285915152430072</v>
      </c>
      <c r="G95" t="n">
        <v>0.3809684820668436</v>
      </c>
      <c r="H95" t="n">
        <v>0.004912968244491286</v>
      </c>
      <c r="I95" t="n">
        <v>12.69228003083021</v>
      </c>
      <c r="J95" t="n">
        <v>2.735102250289116</v>
      </c>
      <c r="K95" t="n">
        <v>27.01388010652383</v>
      </c>
      <c r="L95" t="n">
        <v>11.02796803524681</v>
      </c>
      <c r="M95" t="n">
        <v>25.34956811094043</v>
      </c>
      <c r="N95" t="n">
        <v>36.4497772919081</v>
      </c>
      <c r="O95" t="n">
        <v>36.4497772919081</v>
      </c>
      <c r="P95" t="n">
        <v>9.435897185384267</v>
      </c>
      <c r="Q95" t="n">
        <v>11.10020918096767</v>
      </c>
      <c r="R95" t="n">
        <v>2.523494623655914</v>
      </c>
      <c r="S95" t="n">
        <v>1.056784946236559</v>
      </c>
      <c r="T95" t="inlineStr">
        <is>
          <t>seasonal pattern of Aug/23-Jul/26</t>
        </is>
      </c>
      <c r="U95" t="n">
        <v>37.50656223814466</v>
      </c>
      <c r="V95" t="n">
        <v>37.50656223814466</v>
      </c>
      <c r="W95" t="n">
        <v>7.969187507964914</v>
      </c>
      <c r="X95" t="n">
        <v>9.633499503548315</v>
      </c>
    </row>
    <row r="96">
      <c r="A96" t="n">
        <v>94</v>
      </c>
      <c r="B96" s="3" t="n">
        <v>47058</v>
      </c>
      <c r="C96" t="inlineStr">
        <is>
          <t>Forecast</t>
        </is>
      </c>
      <c r="D96" t="n">
        <v>4.645007511031529</v>
      </c>
      <c r="E96" t="n">
        <v>5.926410895787899</v>
      </c>
      <c r="F96" t="n">
        <v>0.4397364186666121</v>
      </c>
      <c r="G96" t="n">
        <v>0.4773825548164495</v>
      </c>
      <c r="H96" t="n">
        <v>0.004891694042199594</v>
      </c>
      <c r="I96" t="n">
        <v>13.09400310968609</v>
      </c>
      <c r="J96" t="n">
        <v>2.673277039427246</v>
      </c>
      <c r="K96" t="n">
        <v>27.26070922345803</v>
      </c>
      <c r="L96" t="n">
        <v>11.51170200700679</v>
      </c>
      <c r="M96" t="n">
        <v>25.67840812077873</v>
      </c>
      <c r="N96" t="n">
        <v>36.69687435930132</v>
      </c>
      <c r="O96" t="n">
        <v>36.69687435930132</v>
      </c>
      <c r="P96" t="n">
        <v>9.436165135843289</v>
      </c>
      <c r="Q96" t="n">
        <v>11.01846623852259</v>
      </c>
      <c r="R96" t="n">
        <v>1.881788888888889</v>
      </c>
      <c r="S96" t="n">
        <v>1.287677777777778</v>
      </c>
      <c r="T96" t="inlineStr">
        <is>
          <t>seasonal pattern of Aug/23-Jul/26</t>
        </is>
      </c>
      <c r="U96" t="n">
        <v>37.9845521370791</v>
      </c>
      <c r="V96" t="n">
        <v>37.9845521370791</v>
      </c>
      <c r="W96" t="n">
        <v>8.842054024732182</v>
      </c>
      <c r="X96" t="n">
        <v>10.42435512741148</v>
      </c>
    </row>
    <row r="97">
      <c r="A97" t="n">
        <v>95</v>
      </c>
      <c r="B97" s="3" t="n">
        <v>47088</v>
      </c>
      <c r="C97" t="inlineStr">
        <is>
          <t>Forecast</t>
        </is>
      </c>
      <c r="D97" t="n">
        <v>4.588742658117908</v>
      </c>
      <c r="E97" t="n">
        <v>6.127807724953939</v>
      </c>
      <c r="F97" t="n">
        <v>0.8109550021625722</v>
      </c>
      <c r="G97" t="n">
        <v>0.6085549143271148</v>
      </c>
      <c r="H97" t="n">
        <v>0.004888090590865522</v>
      </c>
      <c r="I97" t="n">
        <v>13.04702460392215</v>
      </c>
      <c r="J97" t="n">
        <v>2.55152783464158</v>
      </c>
      <c r="K97" t="n">
        <v>27.73950082871613</v>
      </c>
      <c r="L97" t="n">
        <v>11.67019497240357</v>
      </c>
      <c r="M97" t="n">
        <v>26.36267119719755</v>
      </c>
      <c r="N97" t="n">
        <v>36.93394943284404</v>
      </c>
      <c r="O97" t="n">
        <v>36.93394943284404</v>
      </c>
      <c r="P97" t="n">
        <v>9.19444860412791</v>
      </c>
      <c r="Q97" t="n">
        <v>10.57127823564649</v>
      </c>
      <c r="R97" t="n">
        <v>1.379204301075269</v>
      </c>
      <c r="S97" t="n">
        <v>2.158774193548387</v>
      </c>
      <c r="T97" t="inlineStr">
        <is>
          <t>seasonal pattern of Aug/23-Jul/26</t>
        </is>
      </c>
      <c r="U97" t="n">
        <v>39.09272362639243</v>
      </c>
      <c r="V97" t="n">
        <v>39.09272362639243</v>
      </c>
      <c r="W97" t="n">
        <v>9.97401849660103</v>
      </c>
      <c r="X97" t="n">
        <v>11.35084812811961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67"/>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74" customWidth="1" min="1" max="1"/>
    <col width="12" customWidth="1" min="2" max="2"/>
    <col width="12" customWidth="1" min="3" max="3"/>
    <col width="12" customWidth="1" min="4" max="4"/>
    <col width="16" customWidth="1" min="5" max="5"/>
    <col width="15" customWidth="1" min="6" max="6"/>
    <col width="12" customWidth="1" min="7" max="7"/>
    <col width="120" customWidth="1" min="8" max="8"/>
    <col width="60" customWidth="1" min="9" max="9"/>
    <col width="36" customWidth="1" min="10" max="10"/>
  </cols>
  <sheetData>
    <row r="1">
      <c r="A1" s="4" t="inlineStr">
        <is>
          <t>Texas data-centre assumptions (yellow cells are editable; 'Data centres' recalculates in Excel, 'Demand to 2033' and the charts follow on the next run)</t>
        </is>
      </c>
    </row>
    <row r="2" ht="48" customHeight="1">
      <c r="A2" s="5" t="inlineStr">
        <is>
          <t>Every input has a STATUS: SOURCED = a published figure (publisher, document, as-of, URL in the Sources block below); DERIVED = arithmetic on sourced figures; PROXY = an observed number used for something it does not strictly measure; ASSUMPTION = no source, a pure scenario input. Count: 10 of 17 sourced, 3 derived, 1 proxy, 3 assumption. Forecasts are labelled as forecasts: none of the sourced US figures is observed Texas load.</t>
        </is>
      </c>
    </row>
    <row r="3">
      <c r="A3" s="6" t="inlineStr">
        <is>
          <t>layout v2 (sourced anchors, Oct 2026)</t>
        </is>
      </c>
    </row>
    <row r="4">
      <c r="A4" s="7" t="inlineStr">
        <is>
          <t>Input</t>
        </is>
      </c>
      <c r="B4" s="7" t="inlineStr">
        <is>
          <t>LOW</t>
        </is>
      </c>
      <c r="C4" s="7" t="inlineStr">
        <is>
          <t>BASE</t>
        </is>
      </c>
      <c r="D4" s="7" t="inlineStr">
        <is>
          <t>HIGH</t>
        </is>
      </c>
      <c r="E4" s="7" t="inlineStr">
        <is>
          <t>Unit</t>
        </is>
      </c>
      <c r="F4" s="7" t="inlineStr">
        <is>
          <t>Status</t>
        </is>
      </c>
      <c r="G4" s="7" t="inlineStr">
        <is>
          <t>Source</t>
        </is>
      </c>
      <c r="H4" s="7" t="inlineStr">
        <is>
          <t>Note</t>
        </is>
      </c>
    </row>
    <row r="5">
      <c r="A5" t="inlineStr">
        <is>
          <t>US data-centre electricity, 2024</t>
        </is>
      </c>
      <c r="B5" s="8" t="n">
        <v>183</v>
      </c>
      <c r="C5" s="8" t="n">
        <v>183</v>
      </c>
      <c r="D5" s="8" t="n">
        <v>183</v>
      </c>
      <c r="E5" t="inlineStr">
        <is>
          <t>TWh</t>
        </is>
      </c>
      <c r="F5" s="9" t="inlineStr">
        <is>
          <t>SOURCED</t>
        </is>
      </c>
      <c r="G5" t="inlineStr">
        <is>
          <t>S1</t>
        </is>
      </c>
      <c r="H5" t="inlineStr">
        <is>
          <t>IEA Base Case estimate (the text rounds to 'around 180'); LBNL has 176 TWh for 2023, IEA 154</t>
        </is>
      </c>
    </row>
    <row r="6">
      <c r="A6" t="inlineStr">
        <is>
          <t>US data-centre electricity, 2030, IEA Base Case</t>
        </is>
      </c>
      <c r="B6" s="8" t="n">
        <v>426</v>
      </c>
      <c r="C6" s="8" t="n">
        <v>426</v>
      </c>
      <c r="D6" s="8" t="n">
        <v>426</v>
      </c>
      <c r="E6" t="inlineStr">
        <is>
          <t>TWh</t>
        </is>
      </c>
      <c r="F6" s="9" t="inlineStr">
        <is>
          <t>SOURCED</t>
        </is>
      </c>
      <c r="G6" t="inlineStr">
        <is>
          <t>S1</t>
        </is>
      </c>
      <c r="H6" t="inlineStr">
        <is>
          <t>the IEA publishes the US only for its Base Case</t>
        </is>
      </c>
    </row>
    <row r="7">
      <c r="A7" t="inlineStr">
        <is>
          <t>IEA WORLD data-centre electricity 2030 by case (LOW = Headwinds, BASE = Base, HIGH = Lift-Off)</t>
        </is>
      </c>
      <c r="B7" s="10" t="n">
        <v>669</v>
      </c>
      <c r="C7" s="10" t="n">
        <v>946</v>
      </c>
      <c r="D7" s="10" t="n">
        <v>1264</v>
      </c>
      <c r="E7" t="inlineStr">
        <is>
          <t>TWh</t>
        </is>
      </c>
      <c r="F7" s="9" t="inlineStr">
        <is>
          <t>SOURCED</t>
        </is>
      </c>
      <c r="G7" t="inlineStr">
        <is>
          <t>S2</t>
        </is>
      </c>
      <c r="H7" t="inlineStr">
        <is>
          <t>used only as a ratio to the Base Case. High Efficiency (792) not used</t>
        </is>
      </c>
    </row>
    <row r="8">
      <c r="A8" t="inlineStr">
        <is>
          <t>IEA WORLD data-centre electricity 2035 by case</t>
        </is>
      </c>
      <c r="B8" s="10" t="n">
        <v>707</v>
      </c>
      <c r="C8" s="10" t="n">
        <v>1193</v>
      </c>
      <c r="D8" s="10" t="n">
        <v>1719</v>
      </c>
      <c r="E8" t="inlineStr">
        <is>
          <t>TWh</t>
        </is>
      </c>
      <c r="F8" s="9" t="inlineStr">
        <is>
          <t>SOURCED</t>
        </is>
      </c>
      <c r="G8" t="inlineStr">
        <is>
          <t>S2</t>
        </is>
      </c>
      <c r="H8" t="inlineStr">
        <is>
          <t>IEA calls the 2035 numbers 'exploratory scenarios'</t>
        </is>
      </c>
    </row>
    <row r="9">
      <c r="A9" t="inlineStr">
        <is>
          <t>US data-centre installed capacity, 2024</t>
        </is>
      </c>
      <c r="B9" s="8" t="n">
        <v>42</v>
      </c>
      <c r="C9" s="8" t="n">
        <v>42</v>
      </c>
      <c r="D9" s="8" t="n">
        <v>42</v>
      </c>
      <c r="E9" t="inlineStr">
        <is>
          <t>GW</t>
        </is>
      </c>
      <c r="F9" s="9" t="inlineStr">
        <is>
          <t>SOURCED</t>
        </is>
      </c>
      <c r="G9" t="inlineStr">
        <is>
          <t>S3</t>
        </is>
      </c>
      <c r="H9" t="inlineStr">
        <is>
          <t>IEA convention: includes cooling and other overhead (PUE)</t>
        </is>
      </c>
    </row>
    <row r="10">
      <c r="A10" t="inlineStr">
        <is>
          <t>US data-centre installed capacity, 2030, IEA Base Case</t>
        </is>
      </c>
      <c r="B10" s="8" t="n">
        <v>100</v>
      </c>
      <c r="C10" s="8" t="n">
        <v>100</v>
      </c>
      <c r="D10" s="8" t="n">
        <v>100</v>
      </c>
      <c r="E10" t="inlineStr">
        <is>
          <t>GW</t>
        </is>
      </c>
      <c r="F10" s="9" t="inlineStr">
        <is>
          <t>SOURCED</t>
        </is>
      </c>
      <c r="G10" t="inlineStr">
        <is>
          <t>S3</t>
        </is>
      </c>
    </row>
    <row r="11">
      <c r="A11" t="inlineStr">
        <is>
          <t>Load factor (average load / installed capacity)</t>
        </is>
      </c>
      <c r="B11" s="11" t="n">
        <v>0.49</v>
      </c>
      <c r="C11" s="11" t="n">
        <v>0.49</v>
      </c>
      <c r="D11" s="11" t="n">
        <v>0.49</v>
      </c>
      <c r="E11" t="inlineStr">
        <is>
          <t>ratio</t>
        </is>
      </c>
      <c r="F11" s="9" t="inlineStr">
        <is>
          <t>SOURCED</t>
        </is>
      </c>
      <c r="G11" t="inlineStr">
        <is>
          <t>S4</t>
        </is>
      </c>
      <c r="H11" t="inlineStr">
        <is>
          <t>IEA US value for 2030 (50% in 2024); LBNL uses 50% for its GW range</t>
        </is>
      </c>
    </row>
    <row r="12">
      <c r="A12" t="inlineStr">
        <is>
          <t>ERCOT data-centre forecast, summer 2030 (TSP-reported contracts + officer letters)</t>
        </is>
      </c>
      <c r="B12" s="12" t="n">
        <v>22.175</v>
      </c>
      <c r="C12" s="12" t="n">
        <v>22.175</v>
      </c>
      <c r="D12" s="12" t="n">
        <v>22.175</v>
      </c>
      <c r="E12" t="inlineStr">
        <is>
          <t>GW</t>
        </is>
      </c>
      <c r="F12" s="9" t="inlineStr">
        <is>
          <t>SOURCED</t>
        </is>
      </c>
      <c r="G12" t="inlineStr">
        <is>
          <t>S6</t>
        </is>
      </c>
      <c r="H12" t="inlineStr">
        <is>
          <t>a FORECAST of requested MW, not observed load; ERCOT's own scaled variants are 2.4x higher and are not used</t>
        </is>
      </c>
    </row>
    <row r="13">
      <c r="A13" t="inlineStr">
        <is>
          <t>Realisation ratio applied to the ERCOT forecast</t>
        </is>
      </c>
      <c r="B13" s="12" t="n">
        <v>0.498</v>
      </c>
      <c r="C13" s="12" t="n">
        <v>0.749</v>
      </c>
      <c r="D13" s="12" t="n">
        <v>1</v>
      </c>
      <c r="E13" t="inlineStr">
        <is>
          <t>ratio</t>
        </is>
      </c>
      <c r="F13" s="13" t="inlineStr">
        <is>
          <t>ASSUMPTION</t>
        </is>
      </c>
      <c r="G13" t="inlineStr">
        <is>
          <t>S7</t>
        </is>
      </c>
      <c r="H13" t="inlineStr">
        <is>
          <t>LOW = ERCOT's observed site peak / requested MW (S7); HIGH = the ERCOT forecast at face value; BASE = midpoint of the two: a judgement, not a measurement</t>
        </is>
      </c>
    </row>
    <row r="14">
      <c r="A14" t="inlineStr">
        <is>
          <t>Texas share of the US 2024 data-centre stock</t>
        </is>
      </c>
      <c r="B14" s="11" t="n">
        <v>0.1</v>
      </c>
      <c r="C14" s="11" t="n">
        <v>0.1</v>
      </c>
      <c r="D14" s="11" t="n">
        <v>0.1</v>
      </c>
      <c r="E14" t="inlineStr">
        <is>
          <t>share</t>
        </is>
      </c>
      <c r="F14" s="13" t="inlineStr">
        <is>
          <t>ASSUMPTION</t>
        </is>
      </c>
      <c r="G14" t="inlineStr">
        <is>
          <t>S5</t>
        </is>
      </c>
      <c r="H14" t="inlineStr">
        <is>
          <t>only the rank is published (LBNL: third after Virginia and California); the number is a guess. It does NOT affect the charts (only the burn ADDED after the last EIA actual month is stacked)</t>
        </is>
      </c>
    </row>
    <row r="15">
      <c r="A15" t="inlineStr">
        <is>
          <t>Gas share of the extra load (proxy: ERCOT gas share of generation)</t>
        </is>
      </c>
      <c r="B15" s="14" t="n">
        <v>0.3958803270817275</v>
      </c>
      <c r="C15" s="14" t="n">
        <v>0.3978620509918465</v>
      </c>
      <c r="D15" s="14" t="n">
        <v>0.4775728437410799</v>
      </c>
      <c r="E15" t="inlineStr">
        <is>
          <t>share</t>
        </is>
      </c>
      <c r="F15" s="15" t="inlineStr">
        <is>
          <t>PROXY</t>
        </is>
      </c>
      <c r="G15" t="inlineStr">
        <is>
          <t>S11</t>
        </is>
      </c>
      <c r="H15" t="inlineStr">
        <is>
          <t>set by the script: LOW / HIGH = lowest / highest rolling 12-month gas share of ERCOT generation since 2019, BASE = last 12 months. An AVERAGE-mix share standing in for the marginal one; EIA-930 ERCOT, 365-day windows Jan/19-01 Oct 2026: lowest 39.6% (to Sep/26), last 39.8%, highest 47.8% (to Apr/20)</t>
        </is>
      </c>
    </row>
    <row r="16">
      <c r="A16" t="inlineStr">
        <is>
          <t>Effective heat rate</t>
        </is>
      </c>
      <c r="B16" s="16" t="n">
        <v>8.54345</v>
      </c>
      <c r="C16" s="16" t="n">
        <v>8.54345</v>
      </c>
      <c r="D16" s="16" t="n">
        <v>8.54345</v>
      </c>
      <c r="E16" t="inlineStr">
        <is>
          <t>MMBtu/MWh</t>
        </is>
      </c>
      <c r="F16" s="9" t="inlineStr">
        <is>
          <t>SOURCED</t>
        </is>
      </c>
      <c r="G16" t="inlineStr">
        <is>
          <t>S12</t>
        </is>
      </c>
      <c r="H16" t="inlineStr">
        <is>
          <t>set by the script: mean of the last 12 calibrated months (EIA-923 basis); Aug/25-Jul/26 (12 months)</t>
        </is>
      </c>
    </row>
    <row r="17">
      <c r="A17" t="inlineStr">
        <is>
          <t>MMBtu per Mcf</t>
        </is>
      </c>
      <c r="B17" s="17" t="n">
        <v>1.015425</v>
      </c>
      <c r="C17" s="17" t="n">
        <v>1.015425</v>
      </c>
      <c r="D17" s="17" t="n">
        <v>1.015425</v>
      </c>
      <c r="E17" t="inlineStr">
        <is>
          <t>MMBtu/Mcf</t>
        </is>
      </c>
      <c r="F17" s="9" t="inlineStr">
        <is>
          <t>SOURCED</t>
        </is>
      </c>
      <c r="G17" t="inlineStr">
        <is>
          <t>S12</t>
        </is>
      </c>
      <c r="H17" t="inlineStr">
        <is>
          <t>set by the script: mean of the same months (EIA-923 fuel heat content); Aug/25-Jul/26 (12 months)</t>
        </is>
      </c>
    </row>
    <row r="19">
      <c r="A19" s="18" t="inlineStr">
        <is>
          <t>Derived (live formulas, not editable)</t>
        </is>
      </c>
    </row>
    <row r="20">
      <c r="A20" t="inlineStr">
        <is>
          <t>US data-centre electricity, 2030, by case</t>
        </is>
      </c>
      <c r="B20" s="19">
        <f>B6*B7/$C$7</f>
        <v/>
      </c>
      <c r="C20" s="19">
        <f>C6*C7/$C$7</f>
        <v/>
      </c>
      <c r="D20" s="19">
        <f>D6*D7/$C$7</f>
        <v/>
      </c>
      <c r="E20" t="inlineStr">
        <is>
          <t>TWh</t>
        </is>
      </c>
      <c r="F20" s="20" t="inlineStr">
        <is>
          <t>DERIVED</t>
        </is>
      </c>
      <c r="G20" t="inlineStr">
        <is>
          <t>S1, S2, S3, S6, S7</t>
        </is>
      </c>
      <c r="H20" t="inlineStr">
        <is>
          <t>IEA US Base x (case world / Base world): the US share of the world is held at its Base value</t>
        </is>
      </c>
    </row>
    <row r="21">
      <c r="A21" t="inlineStr">
        <is>
          <t>US data-centre electricity, 2035, by case</t>
        </is>
      </c>
      <c r="B21" s="19">
        <f>B6*B8/$C$7</f>
        <v/>
      </c>
      <c r="C21" s="19">
        <f>C6*C8/$C$7</f>
        <v/>
      </c>
      <c r="D21" s="19">
        <f>D6*D8/$C$7</f>
        <v/>
      </c>
      <c r="E21" t="inlineStr">
        <is>
          <t>TWh</t>
        </is>
      </c>
      <c r="F21" s="20" t="inlineStr">
        <is>
          <t>DERIVED</t>
        </is>
      </c>
      <c r="G21" t="inlineStr">
        <is>
          <t>S1, S2, S3, S6, S7</t>
        </is>
      </c>
      <c r="H21" t="inlineStr">
        <is>
          <t>IEA US Base 2030 x (case world 2035 / Base world 2030)</t>
        </is>
      </c>
    </row>
    <row r="22">
      <c r="A22" t="inlineStr">
        <is>
          <t>Texas share of US data-centre GROWTH</t>
        </is>
      </c>
      <c r="B22" s="14">
        <f>B12*B13/(B10-B9)</f>
        <v/>
      </c>
      <c r="C22" s="14">
        <f>C12*C13/(C10-C9)</f>
        <v/>
      </c>
      <c r="D22" s="14">
        <f>D12*D13/(D10-D9)</f>
        <v/>
      </c>
      <c r="E22" t="inlineStr">
        <is>
          <t>share</t>
        </is>
      </c>
      <c r="F22" s="20" t="inlineStr">
        <is>
          <t>DERIVED</t>
        </is>
      </c>
      <c r="G22" t="inlineStr">
        <is>
          <t>S1, S2, S3, S6, S7</t>
        </is>
      </c>
      <c r="H22" t="inlineStr">
        <is>
          <t>ERCOT summer-2030 data-centre forecast x realisation / IEA US capacity addition 2024-30; BASE uses the ASSUMED midpoint realisation</t>
        </is>
      </c>
    </row>
    <row r="23">
      <c r="A23" s="18" t="inlineStr">
        <is>
          <t>Gas burn per GW of energised load (formula)</t>
        </is>
      </c>
      <c r="B23" s="21">
        <f>1000*B11*B15*B16*24/B17/1000000</f>
        <v/>
      </c>
      <c r="C23" s="21">
        <f>1000*C11*C15*C16*24/C17/1000000</f>
        <v/>
      </c>
      <c r="D23" s="21">
        <f>1000*D11*D15*D16*24/D17/1000000</f>
        <v/>
      </c>
      <c r="E23" t="inlineStr">
        <is>
          <t>Bcf/d per GW</t>
        </is>
      </c>
      <c r="H23">
        <f> 1000 MW/GW x load factor x gas share x heat rate x 24 h / (MMBtu per Mcf) / 1e6</f>
        <v/>
      </c>
    </row>
    <row r="24">
      <c r="A24" t="inlineStr">
        <is>
          <t>Linear interpolation of US TWh 2024-&gt;2030 and 2030-&gt;2035 (and so 2025-29, 2031-34)</t>
        </is>
      </c>
      <c r="F24" s="13" t="inlineStr">
        <is>
          <t>ASSUMPTION</t>
        </is>
      </c>
      <c r="H24" t="inlineStr">
        <is>
          <t>the IEA gives 2024, 2030 and (exploratory) 2035 only; real build-out is lumpy, so intermediate years are a convenience, not data</t>
        </is>
      </c>
    </row>
    <row r="25">
      <c r="A25" s="18" t="inlineStr">
        <is>
          <t>Other inputs (not data-centre anchors, not counted)</t>
        </is>
      </c>
    </row>
    <row r="26">
      <c r="A26" t="inlineStr">
        <is>
          <t>Electric-power sector underlying growth after Dec 2028</t>
        </is>
      </c>
      <c r="B26" s="11" t="n">
        <v>0</v>
      </c>
      <c r="E26" t="inlineStr">
        <is>
          <t>per year</t>
        </is>
      </c>
      <c r="F26" s="13" t="inlineStr">
        <is>
          <t>ASSUMPTION</t>
        </is>
      </c>
      <c r="H26" t="inlineStr">
        <is>
          <t>0 = flat: data centres are the explicit power-demand growth layer, so EIA's trend growth is not extended (avoids double counting)</t>
        </is>
      </c>
    </row>
    <row r="27">
      <c r="A27" t="inlineStr">
        <is>
          <t>Production extension after 2028: growth multiplier per year</t>
        </is>
      </c>
      <c r="B27" s="11" t="n">
        <v>0.5</v>
      </c>
      <c r="E27" t="inlineStr">
        <is>
          <t>x</t>
        </is>
      </c>
      <c r="F27" s="13" t="inlineStr">
        <is>
          <t>ASSUMPTION</t>
        </is>
      </c>
      <c r="H27" t="inlineStr">
        <is>
          <t>STEO regional growth of 2027/2026 is damped by this factor each year after 2028 (0.5 = halves every year). 'Extension, not STEO'</t>
        </is>
      </c>
    </row>
    <row r="29">
      <c r="A29" s="18" t="inlineStr">
        <is>
          <t>Cross-checks (published figures that are NOT anchors, set against this model)</t>
        </is>
      </c>
    </row>
    <row r="30">
      <c r="A30" s="7" t="inlineStr">
        <is>
          <t>Item</t>
        </is>
      </c>
      <c r="B30" s="7" t="inlineStr">
        <is>
          <t>LOW / low end</t>
        </is>
      </c>
      <c r="C30" s="7" t="inlineStr">
        <is>
          <t>BASE</t>
        </is>
      </c>
      <c r="D30" s="7" t="inlineStr">
        <is>
          <t>HIGH / high end</t>
        </is>
      </c>
      <c r="E30" s="7" t="inlineStr">
        <is>
          <t>Unit</t>
        </is>
      </c>
      <c r="F30" s="7" t="inlineStr">
        <is>
          <t>Type</t>
        </is>
      </c>
      <c r="G30" s="7" t="inlineStr">
        <is>
          <t>Source</t>
        </is>
      </c>
      <c r="H30" s="7" t="inlineStr">
        <is>
          <t>Note</t>
        </is>
      </c>
    </row>
    <row r="31">
      <c r="A31" t="inlineStr">
        <is>
          <t>US data centres 2028: LBNL range</t>
        </is>
      </c>
      <c r="B31" s="22" t="n">
        <v>325</v>
      </c>
      <c r="D31" s="22" t="n">
        <v>580</v>
      </c>
      <c r="E31" t="inlineStr">
        <is>
          <t>TWh</t>
        </is>
      </c>
      <c r="F31" t="inlineStr">
        <is>
          <t>forecast range</t>
        </is>
      </c>
      <c r="G31" t="inlineStr">
        <is>
          <t>S5</t>
        </is>
      </c>
      <c r="H31" t="inlineStr">
        <is>
          <t>LBNL scenarios for 2028 (6.7-12.0% of US electricity); 176 TWh in 2023</t>
        </is>
      </c>
    </row>
    <row r="32">
      <c r="A32" t="inlineStr">
        <is>
          <t>US data centres 2028: this model</t>
        </is>
      </c>
      <c r="B32" s="22">
        <f>'Data centres'!C11</f>
        <v/>
      </c>
      <c r="C32" s="22">
        <f>'Data centres'!H11</f>
        <v/>
      </c>
      <c r="D32" s="22">
        <f>'Data centres'!M11</f>
        <v/>
      </c>
      <c r="E32" t="inlineStr">
        <is>
          <t>TWh</t>
        </is>
      </c>
      <c r="F32" t="inlineStr">
        <is>
          <t>model</t>
        </is>
      </c>
      <c r="H32" t="inlineStr">
        <is>
          <t>BASE sits near the low end of LBNL's range: the IEA Base path is the more modest one; HIGH is below LBNL's 580</t>
        </is>
      </c>
    </row>
    <row r="33">
      <c r="A33" t="inlineStr">
        <is>
          <t>US data centres 2030: IEA Base Case</t>
        </is>
      </c>
      <c r="C33" s="22" t="n">
        <v>426</v>
      </c>
      <c r="E33" t="inlineStr">
        <is>
          <t>TWh</t>
        </is>
      </c>
      <c r="F33" t="inlineStr">
        <is>
          <t>forecast</t>
        </is>
      </c>
      <c r="G33" t="inlineStr">
        <is>
          <t>S1</t>
        </is>
      </c>
    </row>
    <row r="34">
      <c r="A34" t="inlineStr">
        <is>
          <t>US data centres 2030: this model</t>
        </is>
      </c>
      <c r="B34" s="22">
        <f>'Data centres'!C13</f>
        <v/>
      </c>
      <c r="C34" s="22">
        <f>'Data centres'!H13</f>
        <v/>
      </c>
      <c r="D34" s="22">
        <f>'Data centres'!M13</f>
        <v/>
      </c>
      <c r="E34" t="inlineStr">
        <is>
          <t>TWh</t>
        </is>
      </c>
      <c r="F34" t="inlineStr">
        <is>
          <t>model</t>
        </is>
      </c>
      <c r="H34" t="inlineStr">
        <is>
          <t>LOW / HIGH = IEA Headwinds / Lift-Off scaled to the US (derived)</t>
        </is>
      </c>
    </row>
    <row r="35">
      <c r="A35" t="inlineStr">
        <is>
          <t>EIA AEO2026 'Data Center Servers' electricity 2025 (min / max of scenarios)</t>
        </is>
      </c>
      <c r="B35" s="22" t="n">
        <v>104.828859061</v>
      </c>
      <c r="D35" s="22" t="n">
        <v>104.830910558</v>
      </c>
      <c r="E35" t="inlineStr">
        <is>
          <t>TWh</t>
        </is>
      </c>
      <c r="F35" t="inlineStr">
        <is>
          <t>forecast</t>
        </is>
      </c>
      <c r="G35" t="inlineStr">
        <is>
          <t>S10</t>
        </is>
      </c>
      <c r="H35" t="inlineStr">
        <is>
          <t>servers only, so well below IEA / LBNL totals (coverage differs): NOT used as an anchor; live from the EIA API, 11 scenarios</t>
        </is>
      </c>
    </row>
    <row r="36">
      <c r="A36" t="inlineStr">
        <is>
          <t>EIA AEO2026 'Data Center Servers' electricity 2028 (min / max of scenarios)</t>
        </is>
      </c>
      <c r="B36" s="22" t="n">
        <v>147.289864754</v>
      </c>
      <c r="D36" s="22" t="n">
        <v>153.314818372</v>
      </c>
      <c r="E36" t="inlineStr">
        <is>
          <t>TWh</t>
        </is>
      </c>
      <c r="F36" t="inlineStr">
        <is>
          <t>forecast</t>
        </is>
      </c>
      <c r="G36" t="inlineStr">
        <is>
          <t>S10</t>
        </is>
      </c>
      <c r="H36" t="inlineStr">
        <is>
          <t>see 2025 row</t>
        </is>
      </c>
    </row>
    <row r="37">
      <c r="A37" t="inlineStr">
        <is>
          <t>EIA AEO2026 'Data Center Servers' electricity 2030 (min / max of scenarios)</t>
        </is>
      </c>
      <c r="B37" s="22" t="n">
        <v>176.849298885</v>
      </c>
      <c r="D37" s="22" t="n">
        <v>190.73939893</v>
      </c>
      <c r="E37" t="inlineStr">
        <is>
          <t>TWh</t>
        </is>
      </c>
      <c r="F37" t="inlineStr">
        <is>
          <t>forecast</t>
        </is>
      </c>
      <c r="G37" t="inlineStr">
        <is>
          <t>S10</t>
        </is>
      </c>
      <c r="H37" t="inlineStr">
        <is>
          <t>see 2025 row</t>
        </is>
      </c>
    </row>
    <row r="38">
      <c r="A38" t="inlineStr">
        <is>
          <t>EIA AEO2026 'Data Center Servers' electricity 2033 (min / max of scenarios)</t>
        </is>
      </c>
      <c r="B38" s="22" t="n">
        <v>221.959666418</v>
      </c>
      <c r="D38" s="22" t="n">
        <v>254.26546889</v>
      </c>
      <c r="E38" t="inlineStr">
        <is>
          <t>TWh</t>
        </is>
      </c>
      <c r="F38" t="inlineStr">
        <is>
          <t>forecast</t>
        </is>
      </c>
      <c r="G38" t="inlineStr">
        <is>
          <t>S10</t>
        </is>
      </c>
      <c r="H38" t="inlineStr">
        <is>
          <t>see 2025 row</t>
        </is>
      </c>
    </row>
    <row r="39">
      <c r="A39" t="inlineStr">
        <is>
          <t>ERCOT data-centre forecast, summer 2030 (requested MW)</t>
        </is>
      </c>
      <c r="C39" s="19" t="n">
        <v>22.175</v>
      </c>
      <c r="E39" t="inlineStr">
        <is>
          <t>GW</t>
        </is>
      </c>
      <c r="F39" t="inlineStr">
        <is>
          <t>forecast</t>
        </is>
      </c>
      <c r="G39" t="inlineStr">
        <is>
          <t>S6</t>
        </is>
      </c>
      <c r="H39" t="inlineStr">
        <is>
          <t>yearly path on the 'Data centres' tab</t>
        </is>
      </c>
    </row>
    <row r="40">
      <c r="A40" t="inlineStr">
        <is>
          <t>this model: Texas energised data-centre GW, Dec 2030</t>
        </is>
      </c>
      <c r="B40" s="19">
        <f>'Data centres'!E13</f>
        <v/>
      </c>
      <c r="C40" s="19">
        <f>'Data centres'!J13</f>
        <v/>
      </c>
      <c r="D40" s="19">
        <f>'Data centres'!O13</f>
        <v/>
      </c>
      <c r="E40" t="inlineStr">
        <is>
          <t>GW</t>
        </is>
      </c>
      <c r="F40" t="inlineStr">
        <is>
          <t>model</t>
        </is>
      </c>
      <c r="H40" t="inlineStr">
        <is>
          <t>BASE is built from the ERCOT forecast and the IEA US capacity addition, so agreement with S6 is by construction, not independent confirmation</t>
        </is>
      </c>
    </row>
    <row r="41">
      <c r="A41" t="inlineStr">
        <is>
          <t>ERCOT large-load queue, data centres (410 GW x 87%)</t>
        </is>
      </c>
      <c r="C41" s="22">
        <f>410*0.87</f>
        <v/>
      </c>
      <c r="E41" t="inlineStr">
        <is>
          <t>GW</t>
        </is>
      </c>
      <c r="F41" t="inlineStr">
        <is>
          <t>queue (requests)</t>
        </is>
      </c>
      <c r="G41" t="inlineStr">
        <is>
          <t>S8</t>
        </is>
      </c>
      <c r="H41" t="inlineStr">
        <is>
          <t>requests under study, not load; ERCOT says ~410 GW of large loads seeking interconnection, ~87% data centres (26 Mar 2026)</t>
        </is>
      </c>
    </row>
    <row r="42">
      <c r="A42" t="inlineStr">
        <is>
          <t>this model BASE Texas GW 2030 as a share of that queue</t>
        </is>
      </c>
      <c r="C42" s="14">
        <f>'Data centres'!J13/(410*0.87)</f>
        <v/>
      </c>
      <c r="E42" t="inlineStr">
        <is>
          <t>share</t>
        </is>
      </c>
      <c r="F42" t="inlineStr">
        <is>
          <t>model</t>
        </is>
      </c>
      <c r="H42" t="inlineStr">
        <is>
          <t>queues are speculative; a small share is plausible</t>
        </is>
      </c>
    </row>
    <row r="43">
      <c r="A43" t="inlineStr">
        <is>
          <t>ERCOT large load eligible for Batch Zero (all types)</t>
        </is>
      </c>
      <c r="C43" s="22" t="n">
        <v>205</v>
      </c>
      <c r="E43" t="inlineStr">
        <is>
          <t>GW</t>
        </is>
      </c>
      <c r="F43" t="inlineStr">
        <is>
          <t>queue (requests)</t>
        </is>
      </c>
      <c r="G43" t="inlineStr">
        <is>
          <t>S9</t>
        </is>
      </c>
      <c r="H43" t="inlineStr">
        <is>
          <t>Batch Zero eligibility on existing studies, 28 Jul 2026</t>
        </is>
      </c>
    </row>
    <row r="45">
      <c r="A45" s="18" t="inlineStr">
        <is>
          <t>Sensitivity to the Texas share of US growth (BASE case; the share is the least certain input)</t>
        </is>
      </c>
    </row>
    <row r="46">
      <c r="A46" s="7" t="inlineStr">
        <is>
          <t>Texas share of US growth</t>
        </is>
      </c>
      <c r="B46" s="7" t="inlineStr">
        <is>
          <t>Texas GW 2030</t>
        </is>
      </c>
      <c r="C46" s="7" t="inlineStr">
        <is>
          <t>Burn Bcf/d 2030</t>
        </is>
      </c>
      <c r="D46" s="7" t="inlineStr">
        <is>
          <t>Burn added since Dec 2025, Bcf/d</t>
        </is>
      </c>
      <c r="E46" s="7" t="inlineStr"/>
      <c r="F46" s="7" t="inlineStr"/>
      <c r="G46" s="7" t="inlineStr"/>
      <c r="H46" s="7" t="inlineStr">
        <is>
          <t>Note</t>
        </is>
      </c>
    </row>
    <row r="47">
      <c r="A47" s="23" t="n">
        <v>0.1</v>
      </c>
      <c r="B47" s="19">
        <f>($C$5*$C$14+$A47*('Data centres'!H13-$C$5))/8.76/$C$11</f>
        <v/>
      </c>
      <c r="C47" s="16">
        <f>B47*$C$23</f>
        <v/>
      </c>
      <c r="D47" s="16">
        <f>C47-($C$5*$C$14+$A47*('Data centres'!H8-$C$5))/8.76/$C$11*$C$23</f>
        <v/>
      </c>
      <c r="H47" t="inlineStr">
        <is>
          <t>BASE TWh path, BASE gas factors; the model's BASE share is in the Derived block</t>
        </is>
      </c>
    </row>
    <row r="48">
      <c r="A48" s="23" t="n">
        <v>0.2</v>
      </c>
      <c r="B48" s="19">
        <f>($C$5*$C$14+$A48*('Data centres'!H13-$C$5))/8.76/$C$11</f>
        <v/>
      </c>
      <c r="C48" s="16">
        <f>B48*$C$23</f>
        <v/>
      </c>
      <c r="D48" s="16">
        <f>C48-($C$5*$C$14+$A48*('Data centres'!H8-$C$5))/8.76/$C$11*$C$23</f>
        <v/>
      </c>
    </row>
    <row r="49">
      <c r="A49" s="23" t="n">
        <v>0.3</v>
      </c>
      <c r="B49" s="19">
        <f>($C$5*$C$14+$A49*('Data centres'!H13-$C$5))/8.76/$C$11</f>
        <v/>
      </c>
      <c r="C49" s="16">
        <f>B49*$C$23</f>
        <v/>
      </c>
      <c r="D49" s="16">
        <f>C49-($C$5*$C$14+$A49*('Data centres'!H8-$C$5))/8.76/$C$11*$C$23</f>
        <v/>
      </c>
    </row>
    <row r="50">
      <c r="A50" s="23" t="n">
        <v>0.4</v>
      </c>
      <c r="B50" s="19">
        <f>($C$5*$C$14+$A50*('Data centres'!H13-$C$5))/8.76/$C$11</f>
        <v/>
      </c>
      <c r="C50" s="16">
        <f>B50*$C$23</f>
        <v/>
      </c>
      <c r="D50" s="16">
        <f>C50-($C$5*$C$14+$A50*('Data centres'!H8-$C$5))/8.76/$C$11*$C$23</f>
        <v/>
      </c>
    </row>
    <row r="53">
      <c r="A53" s="18" t="inlineStr">
        <is>
          <t>SOURCES (exact figure, unit, as-of, publisher, URL, observed or forecast)</t>
        </is>
      </c>
    </row>
    <row r="54">
      <c r="A54" s="7" t="inlineStr">
        <is>
          <t>Source (id, publisher, document)</t>
        </is>
      </c>
      <c r="B54" s="7" t="inlineStr"/>
      <c r="C54" s="7" t="inlineStr"/>
      <c r="D54" s="7" t="inlineStr"/>
      <c r="E54" s="7" t="inlineStr">
        <is>
          <t>Unit</t>
        </is>
      </c>
      <c r="F54" s="7" t="inlineStr">
        <is>
          <t>As-of</t>
        </is>
      </c>
      <c r="G54" s="7" t="inlineStr">
        <is>
          <t>Id</t>
        </is>
      </c>
      <c r="H54" s="7" t="inlineStr">
        <is>
          <t>Exact figure(s)</t>
        </is>
      </c>
      <c r="I54" s="7" t="inlineStr">
        <is>
          <t>URL</t>
        </is>
      </c>
      <c r="J54" s="7" t="inlineStr">
        <is>
          <t>Observed or forecast</t>
        </is>
      </c>
    </row>
    <row r="55" ht="48" customHeight="1">
      <c r="A55" s="24" t="inlineStr">
        <is>
          <t>S1  IEA: Energy and AI, Annex A, Table A.4 (p260), Base Case</t>
        </is>
      </c>
      <c r="E55" t="inlineStr">
        <is>
          <t>TWh a year</t>
        </is>
      </c>
      <c r="F55" s="24" t="inlineStr">
        <is>
          <t>Apr 2025</t>
        </is>
      </c>
      <c r="G55" t="inlineStr">
        <is>
          <t>S1</t>
        </is>
      </c>
      <c r="H55" s="24" t="inlineStr">
        <is>
          <t>US data centres: 154 (2023), 183 (2024), 426 (2030)</t>
        </is>
      </c>
      <c r="I55" t="inlineStr">
        <is>
          <t>https://iea.blob.core.windows.net/assets/dd7c2387-2f60-4b60-8c5f-6563b6aa1e4c/EnergyandAI.pdf</t>
        </is>
      </c>
      <c r="J55" s="24" t="inlineStr">
        <is>
          <t>estimate 2023-24 / Base Case forecast 2030</t>
        </is>
      </c>
    </row>
    <row r="56" ht="48" customHeight="1">
      <c r="A56" s="24" t="inlineStr">
        <is>
          <t>S2  IEA: Energy and AI, Annex A, Table A.1 (p258), WORLD data centres by case</t>
        </is>
      </c>
      <c r="E56" t="inlineStr">
        <is>
          <t>TWh a year</t>
        </is>
      </c>
      <c r="F56" s="24" t="inlineStr">
        <is>
          <t>Apr 2025</t>
        </is>
      </c>
      <c r="G56" t="inlineStr">
        <is>
          <t>S2</t>
        </is>
      </c>
      <c r="H56" s="24" t="inlineStr">
        <is>
          <t>2030: Headwinds 669, High Efficiency 792, Base 946, Lift-Off 1,264; 2035: Headwinds 707, High Efficiency 972, Base 1,193, Lift-Off 1,719 (2035 'exploratory scenarios')</t>
        </is>
      </c>
      <c r="I56" t="inlineStr">
        <is>
          <t>https://iea.blob.core.windows.net/assets/dd7c2387-2f60-4b60-8c5f-6563b6aa1e4c/EnergyandAI.pdf</t>
        </is>
      </c>
      <c r="J56" s="24" t="inlineStr">
        <is>
          <t>forecast (scenarios)</t>
        </is>
      </c>
    </row>
    <row r="57" ht="48" customHeight="1">
      <c r="A57" s="24" t="inlineStr">
        <is>
          <t>S3  IEA: Energy and AI, Annex A, Table A.2 (p259)</t>
        </is>
      </c>
      <c r="E57" t="inlineStr">
        <is>
          <t>GW</t>
        </is>
      </c>
      <c r="F57" s="24" t="inlineStr">
        <is>
          <t>Apr 2025</t>
        </is>
      </c>
      <c r="G57" t="inlineStr">
        <is>
          <t>S3</t>
        </is>
      </c>
      <c r="H57" s="24" t="inlineStr">
        <is>
          <t>US total installed capacity: 35 (2023), 42 (2024), 100 (2030, Base)</t>
        </is>
      </c>
      <c r="I57" t="inlineStr">
        <is>
          <t>https://iea.blob.core.windows.net/assets/dd7c2387-2f60-4b60-8c5f-6563b6aa1e4c/EnergyandAI.pdf</t>
        </is>
      </c>
      <c r="J57" s="24" t="inlineStr">
        <is>
          <t>estimate 2023-24 / Base Case forecast 2030</t>
        </is>
      </c>
    </row>
    <row r="58" ht="48" customHeight="1">
      <c r="A58" s="24" t="inlineStr">
        <is>
          <t>S4  IEA: Energy and AI, Annex A, Table A.3 (p259)</t>
        </is>
      </c>
      <c r="E58" t="inlineStr">
        <is>
          <t>% of installed capacity</t>
        </is>
      </c>
      <c r="F58" s="24" t="inlineStr">
        <is>
          <t>Apr 2025</t>
        </is>
      </c>
      <c r="G58" t="inlineStr">
        <is>
          <t>S4</t>
        </is>
      </c>
      <c r="H58" s="24" t="inlineStr">
        <is>
          <t>US load factor: 53 (2020), 51 (2023), 50 (2024), 49 (2030)</t>
        </is>
      </c>
      <c r="I58" t="inlineStr">
        <is>
          <t>https://iea.blob.core.windows.net/assets/dd7c2387-2f60-4b60-8c5f-6563b6aa1e4c/EnergyandAI.pdf</t>
        </is>
      </c>
      <c r="J58" s="24" t="inlineStr">
        <is>
          <t>estimate / Base Case forecast</t>
        </is>
      </c>
    </row>
    <row r="59" ht="48" customHeight="1">
      <c r="A59" s="24" t="inlineStr">
        <is>
          <t>S5  Lawrence Berkeley National Laboratory (for US DOE): 2024 United States Data Center Energy Usage Report (Shehabi et al.)</t>
        </is>
      </c>
      <c r="E59" t="inlineStr">
        <is>
          <t>TWh a year / GW</t>
        </is>
      </c>
      <c r="F59" s="24" t="inlineStr">
        <is>
          <t>Dec 2024</t>
        </is>
      </c>
      <c r="G59" t="inlineStr">
        <is>
          <t>S5</t>
        </is>
      </c>
      <c r="H59" s="24" t="inlineStr">
        <is>
          <t>176 TWh in 2023 (4.4% of US electricity); 325 to 580 TWh in 2028 (6.7-12.0%); 74-132 GW at 50% utilisation; Texas is the third-largest state after Virginia and California (no figure)</t>
        </is>
      </c>
      <c r="I59" t="inlineStr">
        <is>
          <t>https://escholarship.org/uc/item/32d6m0d1</t>
        </is>
      </c>
      <c r="J59" s="24" t="inlineStr">
        <is>
          <t>estimate 2023 / scenario range 2028</t>
        </is>
      </c>
    </row>
    <row r="60" ht="48" customHeight="1">
      <c r="A60" s="24" t="inlineStr">
        <is>
          <t>S6  ERCOT: Capacity, Demand and Reserves report Dec 2025, tab LoadResourceScenarios, Scenario 1, 'Data Centers' (summer peak load hour)</t>
        </is>
      </c>
      <c r="E60" t="inlineStr">
        <is>
          <t>MW</t>
        </is>
      </c>
      <c r="F60" s="24" t="inlineStr">
        <is>
          <t>19 Dec 2025</t>
        </is>
      </c>
      <c r="G60" t="inlineStr">
        <is>
          <t>S6</t>
        </is>
      </c>
      <c r="H60" s="24" t="inlineStr">
        <is>
          <t>2026 2,433; 2027 6,660; 2028 13,903; 2029 17,995; 2030 22,175 (winter 2030/31: 24,150)</t>
        </is>
      </c>
      <c r="I60" t="inlineStr">
        <is>
          <t>https://www.ercot.com/files/docs/2025/12/19/CapacityDemandandReservesReport_December2025.xlsx</t>
        </is>
      </c>
      <c r="J60" s="24" t="inlineStr">
        <is>
          <t>FORECAST (TSP-reported contracts + officer letters), not observed load</t>
        </is>
      </c>
    </row>
    <row r="61" ht="48" customHeight="1">
      <c r="A61" s="24" t="inlineStr">
        <is>
          <t>S7  ERCOT (as read by texas_demand_regression.xlsx 'Load sources' S9; not re-read here): 2025 Long-Term Demand and Energy Forecast report</t>
        </is>
      </c>
      <c r="E61" t="inlineStr">
        <is>
          <t>ratio</t>
        </is>
      </c>
      <c r="F61" s="24" t="inlineStr">
        <is>
          <t>Apr 2025</t>
        </is>
      </c>
      <c r="G61" t="inlineStr">
        <is>
          <t>S7</t>
        </is>
      </c>
      <c r="H61" s="24" t="inlineStr">
        <is>
          <t>0.498 = average data-centre site peak consumption / requested MW, sites in service 2022-24</t>
        </is>
      </c>
      <c r="I61" t="inlineStr">
        <is>
          <t>https://www.ercot.com/files/docs/2025/04/08/2025_LTLF_Report.docx</t>
        </is>
      </c>
      <c r="J61" s="24" t="inlineStr">
        <is>
          <t>OBSERVED</t>
        </is>
      </c>
    </row>
    <row r="62" ht="48" customHeight="1">
      <c r="A62" s="24" t="inlineStr">
        <is>
          <t>S8  ERCOT: Large Load Update, House Committee on State Affairs hearing (Pablo Vegas), p1/p3</t>
        </is>
      </c>
      <c r="E62" t="inlineStr">
        <is>
          <t>GW</t>
        </is>
      </c>
      <c r="F62" s="24" t="inlineStr">
        <is>
          <t>26 Mar 2026 (hearing 9 Apr 2026)</t>
        </is>
      </c>
      <c r="G62" t="inlineStr">
        <is>
          <t>S8</t>
        </is>
      </c>
      <c r="H62" s="24" t="inlineStr">
        <is>
          <t>approx. 410 GW of large loads seeking interconnection, ~87% data centres (about 357 GW)</t>
        </is>
      </c>
      <c r="I62" t="inlineStr">
        <is>
          <t>https://www.ercot.com/files/docs/2026/04/09/ERCOTLargeLoadUpdate-April9HouseStateAffairsHearing.pdf</t>
        </is>
      </c>
      <c r="J62" s="24" t="inlineStr">
        <is>
          <t>QUEUE (requests, not load)</t>
        </is>
      </c>
    </row>
    <row r="63" ht="48" customHeight="1">
      <c r="A63" s="24" t="inlineStr">
        <is>
          <t>S9  ERCOT: Data centres panel, House Committee on State Affairs, p3 (Batch Zero eligibility)</t>
        </is>
      </c>
      <c r="E63" t="inlineStr">
        <is>
          <t>GW</t>
        </is>
      </c>
      <c r="F63" s="24" t="inlineStr">
        <is>
          <t>28 Jul 2026 (hearing 19 Aug 2026)</t>
        </is>
      </c>
      <c r="G63" t="inlineStr">
        <is>
          <t>S9</t>
        </is>
      </c>
      <c r="H63" s="24" t="inlineStr">
        <is>
          <t>approx. 205 GW of large load eligible for Batch Zero based on existing studies</t>
        </is>
      </c>
      <c r="I63" t="inlineStr">
        <is>
          <t>https://www.ercot.com/files/docs/2026/08/19/ERCOTPanel1DataCenters.pdf</t>
        </is>
      </c>
      <c r="J63" s="24" t="inlineStr">
        <is>
          <t>QUEUE (requests, not load)</t>
        </is>
      </c>
    </row>
    <row r="64" ht="48" customHeight="1">
      <c r="A64" s="24" t="inlineStr">
        <is>
          <t>S10  US Energy Information Administration: Annual Energy Outlook 2026, API v2 route aeo/2026, series cnsm_NA_comm_NA_prc_datactrserv_usa_qbtu (Commercial: Purchased Electricity: Data Center Servers)</t>
        </is>
      </c>
      <c r="E64" t="inlineStr">
        <is>
          <t>quads</t>
        </is>
      </c>
      <c r="F64" s="24" t="inlineStr">
        <is>
          <t>AEO2026</t>
        </is>
      </c>
      <c r="G64" t="inlineStr">
        <is>
          <t>S10</t>
        </is>
      </c>
      <c r="H64" s="24" t="inlineStr">
        <is>
          <t>see the cross-check block (quads x 293.071 = TWh)</t>
        </is>
      </c>
      <c r="I64" t="inlineStr">
        <is>
          <t>https://www.eia.gov/outlooks/aeo/</t>
        </is>
      </c>
      <c r="J64" s="24" t="inlineStr">
        <is>
          <t>FORECAST. 'Data Center Servers' end use only: far below the IEA/LBNL totals, so coverage differs; shown for comparison, NOT used as an anchor</t>
        </is>
      </c>
    </row>
    <row r="65" ht="48" customHeight="1">
      <c r="A65" s="24" t="inlineStr">
        <is>
          <t>S11  US Energy Information Administration, Form EIA-930: eia930_fuel_mix_daily.xlsx sheet ERCOT (this repo): Natural_Gas_MWh / Total_MWh</t>
        </is>
      </c>
      <c r="E65" t="inlineStr">
        <is>
          <t>share of generation</t>
        </is>
      </c>
      <c r="F65" s="24" t="inlineStr">
        <is>
          <t>to yesterday</t>
        </is>
      </c>
      <c r="G65" t="inlineStr">
        <is>
          <t>S11</t>
        </is>
      </c>
      <c r="H65" s="24" t="inlineStr">
        <is>
          <t>set by the script on every run (see the gas share row)</t>
        </is>
      </c>
      <c r="I65" t="inlineStr">
        <is>
          <t>https://www.eia.gov/opendata/ (Form EIA-930, hourly electric grid monitor)</t>
        </is>
      </c>
      <c r="J65" s="24" t="inlineStr">
        <is>
          <t>OBSERVED (average mix)</t>
        </is>
      </c>
    </row>
    <row r="66" ht="48" customHeight="1">
      <c r="A66" s="24" t="inlineStr">
        <is>
          <t>S12  US EIA Form EIA-923 via this repo: ercot_gas_burn_daily.xlsx sheet Monthly: Heat_rate_used_MMBtu_per_MWh, MMBtu_per_Mcf_used (calibrated months)</t>
        </is>
      </c>
      <c r="E66" t="inlineStr">
        <is>
          <t>MMBtu/MWh, MMBtu/Mcf</t>
        </is>
      </c>
      <c r="F66" s="24" t="inlineStr">
        <is>
          <t>last 12 calibrated months</t>
        </is>
      </c>
      <c r="G66" t="inlineStr">
        <is>
          <t>S12</t>
        </is>
      </c>
      <c r="H66" s="24" t="inlineStr">
        <is>
          <t>set by the script on every run (see the heat-rate rows)</t>
        </is>
      </c>
      <c r="I66" t="inlineStr">
        <is>
          <t>https://www.eia.gov/electricity/data/eia923/</t>
        </is>
      </c>
      <c r="J66" s="24" t="inlineStr">
        <is>
          <t>ESTIMATE calibrated on EIA-923</t>
        </is>
      </c>
    </row>
    <row r="67" ht="62" customHeight="1">
      <c r="A67" s="24" t="inlineStr">
        <is>
          <t>Tried, not found: the IEA web pages (iea.org) return 403 from Actions - the report PDF on iea.blob.core.windows.net was readable; the LBNL web PDF (eta-publications.lbl.gov) returns HTTP 202 with no body - the escholarship.org copy was readable; ERCOT publishes no observed data-centre GW (only the large-load aggregate: see texas_demand_regression.xlsx 'Load sources'), no Texas data-centre share of the US total (LBNL gives only the rank) and no state-level IEA split. Probes: discovery_archive/DATACENTRE_SOURCES_PROBE*.py (5 Oct 2026).</t>
        </is>
      </c>
    </row>
  </sheetData>
  <mergeCells count="2">
    <mergeCell ref="A2:H2"/>
    <mergeCell ref="A67:J6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16"/>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c r="A1" s="4" t="inlineStr">
        <is>
          <t>Texas data-centre load (year-end energised GW) and gas burn, LOW / BASE / HIGH - live formulas on 'Assump - Data centres'</t>
        </is>
      </c>
    </row>
    <row r="2" ht="46" customHeight="1">
      <c r="A2" s="5" t="inlineStr">
        <is>
          <t>US TWh: IEA anchors 2024 / 2030 / 2035 (Base Case; LOW and HIGH scaled by the IEA's world Headwinds / Lift-Off ratio), linear in between. Texas TWh = US 2024 TWh x Texas stock share (ASSUMPTION) + Texas share of growth (DERIVED from ERCOT's CDR forecast) x (US TWh - US 2024 TWh); energised GW = TWh / 8.76 / load factor (IEA 49%); gas Bcf/d = GW x gas burn per GW (assumption tab).</t>
        </is>
      </c>
    </row>
    <row r="3" ht="46" customHeight="1">
      <c r="A3" s="5" t="inlineStr">
        <is>
          <t>Data-centre inputs: 10 of 17 sourced, 3 derived, 1 proxy, 3 assumption. EIA's electric-power history already contains the 2024-26 data-centre burn: the charts stack only the burn ADDED after the last EIA actual month (see 'Demand to 2033'); this tab shows the total. Last column = ERCOT's own data-centre forecast (requested MW, FORECAST) for comparison.</t>
        </is>
      </c>
    </row>
    <row r="6" ht="62" customHeight="1">
      <c r="A6" s="7" t="inlineStr">
        <is>
          <t>Year (year-end)</t>
        </is>
      </c>
      <c r="B6" s="7" t="inlineStr">
        <is>
          <t>Basis</t>
        </is>
      </c>
      <c r="C6" s="7" t="inlineStr">
        <is>
          <t>LOW: US TWh</t>
        </is>
      </c>
      <c r="D6" s="7" t="inlineStr">
        <is>
          <t>LOW: Texas TWh</t>
        </is>
      </c>
      <c r="E6" s="7" t="inlineStr">
        <is>
          <t>LOW: Texas energised GW</t>
        </is>
      </c>
      <c r="F6" s="7" t="inlineStr">
        <is>
          <t>LOW: gas burn Bcf/d</t>
        </is>
      </c>
      <c r="G6" s="7" t="inlineStr">
        <is>
          <t>LOW: added since Dec 2025, Bcf/d</t>
        </is>
      </c>
      <c r="H6" s="7" t="inlineStr">
        <is>
          <t>BASE: US TWh</t>
        </is>
      </c>
      <c r="I6" s="7" t="inlineStr">
        <is>
          <t>BASE: Texas TWh</t>
        </is>
      </c>
      <c r="J6" s="7" t="inlineStr">
        <is>
          <t>BASE: Texas energised GW</t>
        </is>
      </c>
      <c r="K6" s="7" t="inlineStr">
        <is>
          <t>BASE: gas burn Bcf/d</t>
        </is>
      </c>
      <c r="L6" s="7" t="inlineStr">
        <is>
          <t>BASE: added since Dec 2025, Bcf/d</t>
        </is>
      </c>
      <c r="M6" s="7" t="inlineStr">
        <is>
          <t>HIGH: US TWh</t>
        </is>
      </c>
      <c r="N6" s="7" t="inlineStr">
        <is>
          <t>HIGH: Texas TWh</t>
        </is>
      </c>
      <c r="O6" s="7" t="inlineStr">
        <is>
          <t>HIGH: Texas energised GW</t>
        </is>
      </c>
      <c r="P6" s="7" t="inlineStr">
        <is>
          <t>HIGH: gas burn Bcf/d</t>
        </is>
      </c>
      <c r="Q6" s="7" t="inlineStr">
        <is>
          <t>HIGH: added since Dec 2025, Bcf/d</t>
        </is>
      </c>
      <c r="R6" s="7" t="inlineStr">
        <is>
          <t>ERCOT CDR Dec 2025: data centres, summer peak, GW (FORECAST, S6)</t>
        </is>
      </c>
    </row>
    <row r="7">
      <c r="A7" t="n">
        <v>2024</v>
      </c>
      <c r="B7" t="inlineStr">
        <is>
          <t>IEA US estimate (S1)</t>
        </is>
      </c>
      <c r="C7" s="19">
        <f>IF($A7&lt;=2030,'Assump - Data centres'!$B$5+('Assump - Data centres'!$B$20-'Assump - Data centres'!$B$5)*($A7-2024)/6,'Assump - Data centres'!$B$20+('Assump - Data centres'!$B$21-'Assump - Data centres'!$B$20)*($A7-2030)/5)</f>
        <v/>
      </c>
      <c r="D7" s="19">
        <f>'Assump - Data centres'!$B$5*'Assump - Data centres'!$B$14+'Assump - Data centres'!$B$22*(C7-'Assump - Data centres'!$B$5)</f>
        <v/>
      </c>
      <c r="E7" s="16">
        <f>D7/8.76/'Assump - Data centres'!$B$11</f>
        <v/>
      </c>
      <c r="F7" s="16">
        <f>E7*'Assump - Data centres'!$B$23</f>
        <v/>
      </c>
      <c r="G7" s="16">
        <f>F7-F$8</f>
        <v/>
      </c>
      <c r="H7" s="19">
        <f>IF($A7&lt;=2030,'Assump - Data centres'!$C$5+('Assump - Data centres'!$C$20-'Assump - Data centres'!$C$5)*($A7-2024)/6,'Assump - Data centres'!$C$20+('Assump - Data centres'!$C$21-'Assump - Data centres'!$C$20)*($A7-2030)/5)</f>
        <v/>
      </c>
      <c r="I7" s="19">
        <f>'Assump - Data centres'!$C$5*'Assump - Data centres'!$C$14+'Assump - Data centres'!$C$22*(H7-'Assump - Data centres'!$C$5)</f>
        <v/>
      </c>
      <c r="J7" s="16">
        <f>I7/8.76/'Assump - Data centres'!$C$11</f>
        <v/>
      </c>
      <c r="K7" s="16">
        <f>J7*'Assump - Data centres'!$C$23</f>
        <v/>
      </c>
      <c r="L7" s="16">
        <f>K7-K$8</f>
        <v/>
      </c>
      <c r="M7" s="19">
        <f>IF($A7&lt;=2030,'Assump - Data centres'!$D$5+('Assump - Data centres'!$D$20-'Assump - Data centres'!$D$5)*($A7-2024)/6,'Assump - Data centres'!$D$20+('Assump - Data centres'!$D$21-'Assump - Data centres'!$D$20)*($A7-2030)/5)</f>
        <v/>
      </c>
      <c r="N7" s="19">
        <f>'Assump - Data centres'!$D$5*'Assump - Data centres'!$D$14+'Assump - Data centres'!$D$22*(M7-'Assump - Data centres'!$D$5)</f>
        <v/>
      </c>
      <c r="O7" s="16">
        <f>N7/8.76/'Assump - Data centres'!$D$11</f>
        <v/>
      </c>
      <c r="P7" s="16">
        <f>O7*'Assump - Data centres'!$D$23</f>
        <v/>
      </c>
      <c r="Q7" s="16">
        <f>P7-P$8</f>
        <v/>
      </c>
    </row>
    <row r="8">
      <c r="A8" t="n">
        <v>2025</v>
      </c>
      <c r="B8" t="inlineStr">
        <is>
          <t>interpolated 2024-30 (ASSUMPTION)</t>
        </is>
      </c>
      <c r="C8" s="19">
        <f>IF($A8&lt;=2030,'Assump - Data centres'!$B$5+('Assump - Data centres'!$B$20-'Assump - Data centres'!$B$5)*($A8-2024)/6,'Assump - Data centres'!$B$20+('Assump - Data centres'!$B$21-'Assump - Data centres'!$B$20)*($A8-2030)/5)</f>
        <v/>
      </c>
      <c r="D8" s="19">
        <f>'Assump - Data centres'!$B$5*'Assump - Data centres'!$B$14+'Assump - Data centres'!$B$22*(C8-'Assump - Data centres'!$B$5)</f>
        <v/>
      </c>
      <c r="E8" s="16">
        <f>D8/8.76/'Assump - Data centres'!$B$11</f>
        <v/>
      </c>
      <c r="F8" s="16">
        <f>E8*'Assump - Data centres'!$B$23</f>
        <v/>
      </c>
      <c r="G8" s="16">
        <f>F8-F$8</f>
        <v/>
      </c>
      <c r="H8" s="19">
        <f>IF($A8&lt;=2030,'Assump - Data centres'!$C$5+('Assump - Data centres'!$C$20-'Assump - Data centres'!$C$5)*($A8-2024)/6,'Assump - Data centres'!$C$20+('Assump - Data centres'!$C$21-'Assump - Data centres'!$C$20)*($A8-2030)/5)</f>
        <v/>
      </c>
      <c r="I8" s="19">
        <f>'Assump - Data centres'!$C$5*'Assump - Data centres'!$C$14+'Assump - Data centres'!$C$22*(H8-'Assump - Data centres'!$C$5)</f>
        <v/>
      </c>
      <c r="J8" s="16">
        <f>I8/8.76/'Assump - Data centres'!$C$11</f>
        <v/>
      </c>
      <c r="K8" s="16">
        <f>J8*'Assump - Data centres'!$C$23</f>
        <v/>
      </c>
      <c r="L8" s="16">
        <f>K8-K$8</f>
        <v/>
      </c>
      <c r="M8" s="19">
        <f>IF($A8&lt;=2030,'Assump - Data centres'!$D$5+('Assump - Data centres'!$D$20-'Assump - Data centres'!$D$5)*($A8-2024)/6,'Assump - Data centres'!$D$20+('Assump - Data centres'!$D$21-'Assump - Data centres'!$D$20)*($A8-2030)/5)</f>
        <v/>
      </c>
      <c r="N8" s="19">
        <f>'Assump - Data centres'!$D$5*'Assump - Data centres'!$D$14+'Assump - Data centres'!$D$22*(M8-'Assump - Data centres'!$D$5)</f>
        <v/>
      </c>
      <c r="O8" s="16">
        <f>N8/8.76/'Assump - Data centres'!$D$11</f>
        <v/>
      </c>
      <c r="P8" s="16">
        <f>O8*'Assump - Data centres'!$D$23</f>
        <v/>
      </c>
      <c r="Q8" s="16">
        <f>P8-P$8</f>
        <v/>
      </c>
    </row>
    <row r="9">
      <c r="A9" t="n">
        <v>2026</v>
      </c>
      <c r="B9" t="inlineStr">
        <is>
          <t>interpolated 2024-30 (ASSUMPTION)</t>
        </is>
      </c>
      <c r="C9" s="19">
        <f>IF($A9&lt;=2030,'Assump - Data centres'!$B$5+('Assump - Data centres'!$B$20-'Assump - Data centres'!$B$5)*($A9-2024)/6,'Assump - Data centres'!$B$20+('Assump - Data centres'!$B$21-'Assump - Data centres'!$B$20)*($A9-2030)/5)</f>
        <v/>
      </c>
      <c r="D9" s="19">
        <f>'Assump - Data centres'!$B$5*'Assump - Data centres'!$B$14+'Assump - Data centres'!$B$22*(C9-'Assump - Data centres'!$B$5)</f>
        <v/>
      </c>
      <c r="E9" s="16">
        <f>D9/8.76/'Assump - Data centres'!$B$11</f>
        <v/>
      </c>
      <c r="F9" s="16">
        <f>E9*'Assump - Data centres'!$B$23</f>
        <v/>
      </c>
      <c r="G9" s="16">
        <f>F9-F$8</f>
        <v/>
      </c>
      <c r="H9" s="19">
        <f>IF($A9&lt;=2030,'Assump - Data centres'!$C$5+('Assump - Data centres'!$C$20-'Assump - Data centres'!$C$5)*($A9-2024)/6,'Assump - Data centres'!$C$20+('Assump - Data centres'!$C$21-'Assump - Data centres'!$C$20)*($A9-2030)/5)</f>
        <v/>
      </c>
      <c r="I9" s="19">
        <f>'Assump - Data centres'!$C$5*'Assump - Data centres'!$C$14+'Assump - Data centres'!$C$22*(H9-'Assump - Data centres'!$C$5)</f>
        <v/>
      </c>
      <c r="J9" s="16">
        <f>I9/8.76/'Assump - Data centres'!$C$11</f>
        <v/>
      </c>
      <c r="K9" s="16">
        <f>J9*'Assump - Data centres'!$C$23</f>
        <v/>
      </c>
      <c r="L9" s="16">
        <f>K9-K$8</f>
        <v/>
      </c>
      <c r="M9" s="19">
        <f>IF($A9&lt;=2030,'Assump - Data centres'!$D$5+('Assump - Data centres'!$D$20-'Assump - Data centres'!$D$5)*($A9-2024)/6,'Assump - Data centres'!$D$20+('Assump - Data centres'!$D$21-'Assump - Data centres'!$D$20)*($A9-2030)/5)</f>
        <v/>
      </c>
      <c r="N9" s="19">
        <f>'Assump - Data centres'!$D$5*'Assump - Data centres'!$D$14+'Assump - Data centres'!$D$22*(M9-'Assump - Data centres'!$D$5)</f>
        <v/>
      </c>
      <c r="O9" s="16">
        <f>N9/8.76/'Assump - Data centres'!$D$11</f>
        <v/>
      </c>
      <c r="P9" s="16">
        <f>O9*'Assump - Data centres'!$D$23</f>
        <v/>
      </c>
      <c r="Q9" s="16">
        <f>P9-P$8</f>
        <v/>
      </c>
      <c r="R9" s="19" t="n">
        <v>2.433</v>
      </c>
    </row>
    <row r="10">
      <c r="A10" t="n">
        <v>2027</v>
      </c>
      <c r="B10" t="inlineStr">
        <is>
          <t>interpolated 2024-30 (ASSUMPTION)</t>
        </is>
      </c>
      <c r="C10" s="19">
        <f>IF($A10&lt;=2030,'Assump - Data centres'!$B$5+('Assump - Data centres'!$B$20-'Assump - Data centres'!$B$5)*($A10-2024)/6,'Assump - Data centres'!$B$20+('Assump - Data centres'!$B$21-'Assump - Data centres'!$B$20)*($A10-2030)/5)</f>
        <v/>
      </c>
      <c r="D10" s="19">
        <f>'Assump - Data centres'!$B$5*'Assump - Data centres'!$B$14+'Assump - Data centres'!$B$22*(C10-'Assump - Data centres'!$B$5)</f>
        <v/>
      </c>
      <c r="E10" s="16">
        <f>D10/8.76/'Assump - Data centres'!$B$11</f>
        <v/>
      </c>
      <c r="F10" s="16">
        <f>E10*'Assump - Data centres'!$B$23</f>
        <v/>
      </c>
      <c r="G10" s="16">
        <f>F10-F$8</f>
        <v/>
      </c>
      <c r="H10" s="19">
        <f>IF($A10&lt;=2030,'Assump - Data centres'!$C$5+('Assump - Data centres'!$C$20-'Assump - Data centres'!$C$5)*($A10-2024)/6,'Assump - Data centres'!$C$20+('Assump - Data centres'!$C$21-'Assump - Data centres'!$C$20)*($A10-2030)/5)</f>
        <v/>
      </c>
      <c r="I10" s="19">
        <f>'Assump - Data centres'!$C$5*'Assump - Data centres'!$C$14+'Assump - Data centres'!$C$22*(H10-'Assump - Data centres'!$C$5)</f>
        <v/>
      </c>
      <c r="J10" s="16">
        <f>I10/8.76/'Assump - Data centres'!$C$11</f>
        <v/>
      </c>
      <c r="K10" s="16">
        <f>J10*'Assump - Data centres'!$C$23</f>
        <v/>
      </c>
      <c r="L10" s="16">
        <f>K10-K$8</f>
        <v/>
      </c>
      <c r="M10" s="19">
        <f>IF($A10&lt;=2030,'Assump - Data centres'!$D$5+('Assump - Data centres'!$D$20-'Assump - Data centres'!$D$5)*($A10-2024)/6,'Assump - Data centres'!$D$20+('Assump - Data centres'!$D$21-'Assump - Data centres'!$D$20)*($A10-2030)/5)</f>
        <v/>
      </c>
      <c r="N10" s="19">
        <f>'Assump - Data centres'!$D$5*'Assump - Data centres'!$D$14+'Assump - Data centres'!$D$22*(M10-'Assump - Data centres'!$D$5)</f>
        <v/>
      </c>
      <c r="O10" s="16">
        <f>N10/8.76/'Assump - Data centres'!$D$11</f>
        <v/>
      </c>
      <c r="P10" s="16">
        <f>O10*'Assump - Data centres'!$D$23</f>
        <v/>
      </c>
      <c r="Q10" s="16">
        <f>P10-P$8</f>
        <v/>
      </c>
      <c r="R10" s="19" t="n">
        <v>6.66</v>
      </c>
    </row>
    <row r="11">
      <c r="A11" t="n">
        <v>2028</v>
      </c>
      <c r="B11" t="inlineStr">
        <is>
          <t>interpolated 2024-30 (ASSUMPTION)</t>
        </is>
      </c>
      <c r="C11" s="19">
        <f>IF($A11&lt;=2030,'Assump - Data centres'!$B$5+('Assump - Data centres'!$B$20-'Assump - Data centres'!$B$5)*($A11-2024)/6,'Assump - Data centres'!$B$20+('Assump - Data centres'!$B$21-'Assump - Data centres'!$B$20)*($A11-2030)/5)</f>
        <v/>
      </c>
      <c r="D11" s="19">
        <f>'Assump - Data centres'!$B$5*'Assump - Data centres'!$B$14+'Assump - Data centres'!$B$22*(C11-'Assump - Data centres'!$B$5)</f>
        <v/>
      </c>
      <c r="E11" s="16">
        <f>D11/8.76/'Assump - Data centres'!$B$11</f>
        <v/>
      </c>
      <c r="F11" s="16">
        <f>E11*'Assump - Data centres'!$B$23</f>
        <v/>
      </c>
      <c r="G11" s="16">
        <f>F11-F$8</f>
        <v/>
      </c>
      <c r="H11" s="19">
        <f>IF($A11&lt;=2030,'Assump - Data centres'!$C$5+('Assump - Data centres'!$C$20-'Assump - Data centres'!$C$5)*($A11-2024)/6,'Assump - Data centres'!$C$20+('Assump - Data centres'!$C$21-'Assump - Data centres'!$C$20)*($A11-2030)/5)</f>
        <v/>
      </c>
      <c r="I11" s="19">
        <f>'Assump - Data centres'!$C$5*'Assump - Data centres'!$C$14+'Assump - Data centres'!$C$22*(H11-'Assump - Data centres'!$C$5)</f>
        <v/>
      </c>
      <c r="J11" s="16">
        <f>I11/8.76/'Assump - Data centres'!$C$11</f>
        <v/>
      </c>
      <c r="K11" s="16">
        <f>J11*'Assump - Data centres'!$C$23</f>
        <v/>
      </c>
      <c r="L11" s="16">
        <f>K11-K$8</f>
        <v/>
      </c>
      <c r="M11" s="19">
        <f>IF($A11&lt;=2030,'Assump - Data centres'!$D$5+('Assump - Data centres'!$D$20-'Assump - Data centres'!$D$5)*($A11-2024)/6,'Assump - Data centres'!$D$20+('Assump - Data centres'!$D$21-'Assump - Data centres'!$D$20)*($A11-2030)/5)</f>
        <v/>
      </c>
      <c r="N11" s="19">
        <f>'Assump - Data centres'!$D$5*'Assump - Data centres'!$D$14+'Assump - Data centres'!$D$22*(M11-'Assump - Data centres'!$D$5)</f>
        <v/>
      </c>
      <c r="O11" s="16">
        <f>N11/8.76/'Assump - Data centres'!$D$11</f>
        <v/>
      </c>
      <c r="P11" s="16">
        <f>O11*'Assump - Data centres'!$D$23</f>
        <v/>
      </c>
      <c r="Q11" s="16">
        <f>P11-P$8</f>
        <v/>
      </c>
      <c r="R11" s="19" t="n">
        <v>13.903</v>
      </c>
    </row>
    <row r="12">
      <c r="A12" t="n">
        <v>2029</v>
      </c>
      <c r="B12" t="inlineStr">
        <is>
          <t>interpolated 2024-30 (ASSUMPTION)</t>
        </is>
      </c>
      <c r="C12" s="19">
        <f>IF($A12&lt;=2030,'Assump - Data centres'!$B$5+('Assump - Data centres'!$B$20-'Assump - Data centres'!$B$5)*($A12-2024)/6,'Assump - Data centres'!$B$20+('Assump - Data centres'!$B$21-'Assump - Data centres'!$B$20)*($A12-2030)/5)</f>
        <v/>
      </c>
      <c r="D12" s="19">
        <f>'Assump - Data centres'!$B$5*'Assump - Data centres'!$B$14+'Assump - Data centres'!$B$22*(C12-'Assump - Data centres'!$B$5)</f>
        <v/>
      </c>
      <c r="E12" s="16">
        <f>D12/8.76/'Assump - Data centres'!$B$11</f>
        <v/>
      </c>
      <c r="F12" s="16">
        <f>E12*'Assump - Data centres'!$B$23</f>
        <v/>
      </c>
      <c r="G12" s="16">
        <f>F12-F$8</f>
        <v/>
      </c>
      <c r="H12" s="19">
        <f>IF($A12&lt;=2030,'Assump - Data centres'!$C$5+('Assump - Data centres'!$C$20-'Assump - Data centres'!$C$5)*($A12-2024)/6,'Assump - Data centres'!$C$20+('Assump - Data centres'!$C$21-'Assump - Data centres'!$C$20)*($A12-2030)/5)</f>
        <v/>
      </c>
      <c r="I12" s="19">
        <f>'Assump - Data centres'!$C$5*'Assump - Data centres'!$C$14+'Assump - Data centres'!$C$22*(H12-'Assump - Data centres'!$C$5)</f>
        <v/>
      </c>
      <c r="J12" s="16">
        <f>I12/8.76/'Assump - Data centres'!$C$11</f>
        <v/>
      </c>
      <c r="K12" s="16">
        <f>J12*'Assump - Data centres'!$C$23</f>
        <v/>
      </c>
      <c r="L12" s="16">
        <f>K12-K$8</f>
        <v/>
      </c>
      <c r="M12" s="19">
        <f>IF($A12&lt;=2030,'Assump - Data centres'!$D$5+('Assump - Data centres'!$D$20-'Assump - Data centres'!$D$5)*($A12-2024)/6,'Assump - Data centres'!$D$20+('Assump - Data centres'!$D$21-'Assump - Data centres'!$D$20)*($A12-2030)/5)</f>
        <v/>
      </c>
      <c r="N12" s="19">
        <f>'Assump - Data centres'!$D$5*'Assump - Data centres'!$D$14+'Assump - Data centres'!$D$22*(M12-'Assump - Data centres'!$D$5)</f>
        <v/>
      </c>
      <c r="O12" s="16">
        <f>N12/8.76/'Assump - Data centres'!$D$11</f>
        <v/>
      </c>
      <c r="P12" s="16">
        <f>O12*'Assump - Data centres'!$D$23</f>
        <v/>
      </c>
      <c r="Q12" s="16">
        <f>P12-P$8</f>
        <v/>
      </c>
      <c r="R12" s="19" t="n">
        <v>17.995</v>
      </c>
    </row>
    <row r="13">
      <c r="A13" t="n">
        <v>2030</v>
      </c>
      <c r="B13" t="inlineStr">
        <is>
          <t>IEA anchor 2030 (S1, S2)</t>
        </is>
      </c>
      <c r="C13" s="19">
        <f>IF($A13&lt;=2030,'Assump - Data centres'!$B$5+('Assump - Data centres'!$B$20-'Assump - Data centres'!$B$5)*($A13-2024)/6,'Assump - Data centres'!$B$20+('Assump - Data centres'!$B$21-'Assump - Data centres'!$B$20)*($A13-2030)/5)</f>
        <v/>
      </c>
      <c r="D13" s="19">
        <f>'Assump - Data centres'!$B$5*'Assump - Data centres'!$B$14+'Assump - Data centres'!$B$22*(C13-'Assump - Data centres'!$B$5)</f>
        <v/>
      </c>
      <c r="E13" s="16">
        <f>D13/8.76/'Assump - Data centres'!$B$11</f>
        <v/>
      </c>
      <c r="F13" s="16">
        <f>E13*'Assump - Data centres'!$B$23</f>
        <v/>
      </c>
      <c r="G13" s="16">
        <f>F13-F$8</f>
        <v/>
      </c>
      <c r="H13" s="19">
        <f>IF($A13&lt;=2030,'Assump - Data centres'!$C$5+('Assump - Data centres'!$C$20-'Assump - Data centres'!$C$5)*($A13-2024)/6,'Assump - Data centres'!$C$20+('Assump - Data centres'!$C$21-'Assump - Data centres'!$C$20)*($A13-2030)/5)</f>
        <v/>
      </c>
      <c r="I13" s="19">
        <f>'Assump - Data centres'!$C$5*'Assump - Data centres'!$C$14+'Assump - Data centres'!$C$22*(H13-'Assump - Data centres'!$C$5)</f>
        <v/>
      </c>
      <c r="J13" s="16">
        <f>I13/8.76/'Assump - Data centres'!$C$11</f>
        <v/>
      </c>
      <c r="K13" s="16">
        <f>J13*'Assump - Data centres'!$C$23</f>
        <v/>
      </c>
      <c r="L13" s="16">
        <f>K13-K$8</f>
        <v/>
      </c>
      <c r="M13" s="19">
        <f>IF($A13&lt;=2030,'Assump - Data centres'!$D$5+('Assump - Data centres'!$D$20-'Assump - Data centres'!$D$5)*($A13-2024)/6,'Assump - Data centres'!$D$20+('Assump - Data centres'!$D$21-'Assump - Data centres'!$D$20)*($A13-2030)/5)</f>
        <v/>
      </c>
      <c r="N13" s="19">
        <f>'Assump - Data centres'!$D$5*'Assump - Data centres'!$D$14+'Assump - Data centres'!$D$22*(M13-'Assump - Data centres'!$D$5)</f>
        <v/>
      </c>
      <c r="O13" s="16">
        <f>N13/8.76/'Assump - Data centres'!$D$11</f>
        <v/>
      </c>
      <c r="P13" s="16">
        <f>O13*'Assump - Data centres'!$D$23</f>
        <v/>
      </c>
      <c r="Q13" s="16">
        <f>P13-P$8</f>
        <v/>
      </c>
      <c r="R13" s="19" t="n">
        <v>22.175</v>
      </c>
    </row>
    <row r="14">
      <c r="A14" s="25" t="n">
        <v>2031</v>
      </c>
      <c r="B14" s="25" t="inlineStr">
        <is>
          <t>interpolated 2030-35 (ASSUMPTION)</t>
        </is>
      </c>
      <c r="C14" s="26">
        <f>IF($A14&lt;=2030,'Assump - Data centres'!$B$5+('Assump - Data centres'!$B$20-'Assump - Data centres'!$B$5)*($A14-2024)/6,'Assump - Data centres'!$B$20+('Assump - Data centres'!$B$21-'Assump - Data centres'!$B$20)*($A14-2030)/5)</f>
        <v/>
      </c>
      <c r="D14" s="26">
        <f>'Assump - Data centres'!$B$5*'Assump - Data centres'!$B$14+'Assump - Data centres'!$B$22*(C14-'Assump - Data centres'!$B$5)</f>
        <v/>
      </c>
      <c r="E14" s="27">
        <f>D14/8.76/'Assump - Data centres'!$B$11</f>
        <v/>
      </c>
      <c r="F14" s="27">
        <f>E14*'Assump - Data centres'!$B$23</f>
        <v/>
      </c>
      <c r="G14" s="27">
        <f>F14-F$8</f>
        <v/>
      </c>
      <c r="H14" s="26">
        <f>IF($A14&lt;=2030,'Assump - Data centres'!$C$5+('Assump - Data centres'!$C$20-'Assump - Data centres'!$C$5)*($A14-2024)/6,'Assump - Data centres'!$C$20+('Assump - Data centres'!$C$21-'Assump - Data centres'!$C$20)*($A14-2030)/5)</f>
        <v/>
      </c>
      <c r="I14" s="26">
        <f>'Assump - Data centres'!$C$5*'Assump - Data centres'!$C$14+'Assump - Data centres'!$C$22*(H14-'Assump - Data centres'!$C$5)</f>
        <v/>
      </c>
      <c r="J14" s="27">
        <f>I14/8.76/'Assump - Data centres'!$C$11</f>
        <v/>
      </c>
      <c r="K14" s="27">
        <f>J14*'Assump - Data centres'!$C$23</f>
        <v/>
      </c>
      <c r="L14" s="27">
        <f>K14-K$8</f>
        <v/>
      </c>
      <c r="M14" s="26">
        <f>IF($A14&lt;=2030,'Assump - Data centres'!$D$5+('Assump - Data centres'!$D$20-'Assump - Data centres'!$D$5)*($A14-2024)/6,'Assump - Data centres'!$D$20+('Assump - Data centres'!$D$21-'Assump - Data centres'!$D$20)*($A14-2030)/5)</f>
        <v/>
      </c>
      <c r="N14" s="26">
        <f>'Assump - Data centres'!$D$5*'Assump - Data centres'!$D$14+'Assump - Data centres'!$D$22*(M14-'Assump - Data centres'!$D$5)</f>
        <v/>
      </c>
      <c r="O14" s="27">
        <f>N14/8.76/'Assump - Data centres'!$D$11</f>
        <v/>
      </c>
      <c r="P14" s="27">
        <f>O14*'Assump - Data centres'!$D$23</f>
        <v/>
      </c>
      <c r="Q14" s="27">
        <f>P14-P$8</f>
        <v/>
      </c>
      <c r="R14" s="25" t="n"/>
    </row>
    <row r="15">
      <c r="A15" s="25" t="n">
        <v>2032</v>
      </c>
      <c r="B15" s="25" t="inlineStr">
        <is>
          <t>interpolated 2030-35 (ASSUMPTION)</t>
        </is>
      </c>
      <c r="C15" s="26">
        <f>IF($A15&lt;=2030,'Assump - Data centres'!$B$5+('Assump - Data centres'!$B$20-'Assump - Data centres'!$B$5)*($A15-2024)/6,'Assump - Data centres'!$B$20+('Assump - Data centres'!$B$21-'Assump - Data centres'!$B$20)*($A15-2030)/5)</f>
        <v/>
      </c>
      <c r="D15" s="26">
        <f>'Assump - Data centres'!$B$5*'Assump - Data centres'!$B$14+'Assump - Data centres'!$B$22*(C15-'Assump - Data centres'!$B$5)</f>
        <v/>
      </c>
      <c r="E15" s="27">
        <f>D15/8.76/'Assump - Data centres'!$B$11</f>
        <v/>
      </c>
      <c r="F15" s="27">
        <f>E15*'Assump - Data centres'!$B$23</f>
        <v/>
      </c>
      <c r="G15" s="27">
        <f>F15-F$8</f>
        <v/>
      </c>
      <c r="H15" s="26">
        <f>IF($A15&lt;=2030,'Assump - Data centres'!$C$5+('Assump - Data centres'!$C$20-'Assump - Data centres'!$C$5)*($A15-2024)/6,'Assump - Data centres'!$C$20+('Assump - Data centres'!$C$21-'Assump - Data centres'!$C$20)*($A15-2030)/5)</f>
        <v/>
      </c>
      <c r="I15" s="26">
        <f>'Assump - Data centres'!$C$5*'Assump - Data centres'!$C$14+'Assump - Data centres'!$C$22*(H15-'Assump - Data centres'!$C$5)</f>
        <v/>
      </c>
      <c r="J15" s="27">
        <f>I15/8.76/'Assump - Data centres'!$C$11</f>
        <v/>
      </c>
      <c r="K15" s="27">
        <f>J15*'Assump - Data centres'!$C$23</f>
        <v/>
      </c>
      <c r="L15" s="27">
        <f>K15-K$8</f>
        <v/>
      </c>
      <c r="M15" s="26">
        <f>IF($A15&lt;=2030,'Assump - Data centres'!$D$5+('Assump - Data centres'!$D$20-'Assump - Data centres'!$D$5)*($A15-2024)/6,'Assump - Data centres'!$D$20+('Assump - Data centres'!$D$21-'Assump - Data centres'!$D$20)*($A15-2030)/5)</f>
        <v/>
      </c>
      <c r="N15" s="26">
        <f>'Assump - Data centres'!$D$5*'Assump - Data centres'!$D$14+'Assump - Data centres'!$D$22*(M15-'Assump - Data centres'!$D$5)</f>
        <v/>
      </c>
      <c r="O15" s="27">
        <f>N15/8.76/'Assump - Data centres'!$D$11</f>
        <v/>
      </c>
      <c r="P15" s="27">
        <f>O15*'Assump - Data centres'!$D$23</f>
        <v/>
      </c>
      <c r="Q15" s="27">
        <f>P15-P$8</f>
        <v/>
      </c>
      <c r="R15" s="25" t="n"/>
    </row>
    <row r="16">
      <c r="A16" s="25" t="n">
        <v>2033</v>
      </c>
      <c r="B16" s="25" t="inlineStr">
        <is>
          <t>interpolated 2030-35 (ASSUMPTION)</t>
        </is>
      </c>
      <c r="C16" s="26">
        <f>IF($A16&lt;=2030,'Assump - Data centres'!$B$5+('Assump - Data centres'!$B$20-'Assump - Data centres'!$B$5)*($A16-2024)/6,'Assump - Data centres'!$B$20+('Assump - Data centres'!$B$21-'Assump - Data centres'!$B$20)*($A16-2030)/5)</f>
        <v/>
      </c>
      <c r="D16" s="26">
        <f>'Assump - Data centres'!$B$5*'Assump - Data centres'!$B$14+'Assump - Data centres'!$B$22*(C16-'Assump - Data centres'!$B$5)</f>
        <v/>
      </c>
      <c r="E16" s="27">
        <f>D16/8.76/'Assump - Data centres'!$B$11</f>
        <v/>
      </c>
      <c r="F16" s="27">
        <f>E16*'Assump - Data centres'!$B$23</f>
        <v/>
      </c>
      <c r="G16" s="27">
        <f>F16-F$8</f>
        <v/>
      </c>
      <c r="H16" s="26">
        <f>IF($A16&lt;=2030,'Assump - Data centres'!$C$5+('Assump - Data centres'!$C$20-'Assump - Data centres'!$C$5)*($A16-2024)/6,'Assump - Data centres'!$C$20+('Assump - Data centres'!$C$21-'Assump - Data centres'!$C$20)*($A16-2030)/5)</f>
        <v/>
      </c>
      <c r="I16" s="26">
        <f>'Assump - Data centres'!$C$5*'Assump - Data centres'!$C$14+'Assump - Data centres'!$C$22*(H16-'Assump - Data centres'!$C$5)</f>
        <v/>
      </c>
      <c r="J16" s="27">
        <f>I16/8.76/'Assump - Data centres'!$C$11</f>
        <v/>
      </c>
      <c r="K16" s="27">
        <f>J16*'Assump - Data centres'!$C$23</f>
        <v/>
      </c>
      <c r="L16" s="27">
        <f>K16-K$8</f>
        <v/>
      </c>
      <c r="M16" s="26">
        <f>IF($A16&lt;=2030,'Assump - Data centres'!$D$5+('Assump - Data centres'!$D$20-'Assump - Data centres'!$D$5)*($A16-2024)/6,'Assump - Data centres'!$D$20+('Assump - Data centres'!$D$21-'Assump - Data centres'!$D$20)*($A16-2030)/5)</f>
        <v/>
      </c>
      <c r="N16" s="26">
        <f>'Assump - Data centres'!$D$5*'Assump - Data centres'!$D$14+'Assump - Data centres'!$D$22*(M16-'Assump - Data centres'!$D$5)</f>
        <v/>
      </c>
      <c r="O16" s="27">
        <f>N16/8.76/'Assump - Data centres'!$D$11</f>
        <v/>
      </c>
      <c r="P16" s="27">
        <f>O16*'Assump - Data centres'!$D$23</f>
        <v/>
      </c>
      <c r="Q16" s="27">
        <f>P16-P$8</f>
        <v/>
      </c>
      <c r="R16" s="25" t="n"/>
    </row>
  </sheetData>
  <mergeCells count="2">
    <mergeCell ref="A3:R3"/>
    <mergeCell ref="A2:R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J12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s>
  <sheetData>
    <row r="1" ht="62" customHeight="1">
      <c r="A1" s="7" t="inlineStr">
        <is>
          <t>Month</t>
        </is>
      </c>
      <c r="B1" s="7" t="inlineStr">
        <is>
          <t>Type</t>
        </is>
      </c>
      <c r="C1" s="7" t="inlineStr">
        <is>
          <t>Electric power</t>
        </is>
      </c>
      <c r="D1" s="7" t="inlineStr">
        <is>
          <t>Industrial</t>
        </is>
      </c>
      <c r="E1" s="7" t="inlineStr">
        <is>
          <t>Residential</t>
        </is>
      </c>
      <c r="F1" s="7" t="inlineStr">
        <is>
          <t>Commercial</t>
        </is>
      </c>
      <c r="G1" s="7" t="inlineStr">
        <is>
          <t>Vehicle fuel</t>
        </is>
      </c>
      <c r="H1" s="7" t="inlineStr">
        <is>
          <t>LNG feedgas (base case)</t>
        </is>
      </c>
      <c r="I1" s="7" t="inlineStr">
        <is>
          <t>Pipeline exports to Mexico</t>
        </is>
      </c>
      <c r="J1" s="7" t="inlineStr">
        <is>
          <t>Data centres GW (year-end path), LOW</t>
        </is>
      </c>
      <c r="K1" s="7" t="inlineStr">
        <is>
          <t>Data centres gas burn, total, LOW</t>
        </is>
      </c>
      <c r="L1" s="7" t="inlineStr">
        <is>
          <t>Data centres added gas burn, LOW</t>
        </is>
      </c>
      <c r="M1" s="7" t="inlineStr">
        <is>
          <t>Data centres GW (year-end path), BASE</t>
        </is>
      </c>
      <c r="N1" s="7" t="inlineStr">
        <is>
          <t>Data centres gas burn, total, BASE</t>
        </is>
      </c>
      <c r="O1" s="7" t="inlineStr">
        <is>
          <t>Data centres added gas burn, BASE</t>
        </is>
      </c>
      <c r="P1" s="7" t="inlineStr">
        <is>
          <t>Data centres GW (year-end path), HIGH</t>
        </is>
      </c>
      <c r="Q1" s="7" t="inlineStr">
        <is>
          <t>Data centres gas burn, total, HIGH</t>
        </is>
      </c>
      <c r="R1" s="7" t="inlineStr">
        <is>
          <t>Data centres added gas burn, HIGH</t>
        </is>
      </c>
      <c r="S1" s="7" t="inlineStr">
        <is>
          <t>Total demand incl. data centres, LOW</t>
        </is>
      </c>
      <c r="T1" s="7" t="inlineStr">
        <is>
          <t>Total demand incl. data centres, BASE</t>
        </is>
      </c>
      <c r="U1" s="7" t="inlineStr">
        <is>
          <t>Total demand incl. data centres, HIGH</t>
        </is>
      </c>
      <c r="V1" s="7" t="inlineStr">
        <is>
          <t>Dry production, base</t>
        </is>
      </c>
      <c r="W1" s="7" t="inlineStr">
        <is>
          <t>Dry production, takeaway delayed</t>
        </is>
      </c>
      <c r="X1" s="7" t="inlineStr">
        <is>
          <t>Implied net outflow before storage, LOW</t>
        </is>
      </c>
      <c r="Y1" s="7" t="inlineStr">
        <is>
          <t>Implied net outflow before storage, BASE</t>
        </is>
      </c>
      <c r="Z1" s="7" t="inlineStr">
        <is>
          <t>Implied net outflow before storage, HIGH</t>
        </is>
      </c>
      <c r="AA1" s="7" t="inlineStr">
        <is>
          <t>Storage injection (demand)</t>
        </is>
      </c>
      <c r="AB1" s="7" t="inlineStr">
        <is>
          <t>Storage withdrawal (supply)</t>
        </is>
      </c>
      <c r="AC1" s="7" t="inlineStr">
        <is>
          <t>Dry production + storage withdrawal, base</t>
        </is>
      </c>
      <c r="AD1" s="7" t="inlineStr">
        <is>
          <t>Dry production + storage withdrawal, takeaway delayed</t>
        </is>
      </c>
      <c r="AE1" s="7" t="inlineStr">
        <is>
          <t>Implied net outflow, LOW</t>
        </is>
      </c>
      <c r="AF1" s="7" t="inlineStr">
        <is>
          <t>Implied net outflow, BASE</t>
        </is>
      </c>
      <c r="AG1" s="7" t="inlineStr">
        <is>
          <t>Implied net outflow, HIGH</t>
        </is>
      </c>
      <c r="AH1" s="7" t="inlineStr">
        <is>
          <t>Permian takeaway + local demand, base (Bcf/d)</t>
        </is>
      </c>
      <c r="AI1" s="7" t="inlineStr">
        <is>
          <t>Permian STEO / extension marketed (Bcf/d)</t>
        </is>
      </c>
      <c r="AJ1" s="7" t="inlineStr">
        <is>
          <t>Data-centre inputs</t>
        </is>
      </c>
    </row>
    <row r="2">
      <c r="A2" s="29" t="n">
        <v>45292</v>
      </c>
      <c r="B2" t="inlineStr">
        <is>
          <t>Actual</t>
        </is>
      </c>
      <c r="C2" s="16" t="n">
        <v>5.561419354838709</v>
      </c>
      <c r="D2" s="16" t="n">
        <v>5.737903225806452</v>
      </c>
      <c r="E2" s="16" t="n">
        <v>1.718290322580645</v>
      </c>
      <c r="F2" s="16" t="n">
        <v>0.9129677419354839</v>
      </c>
      <c r="G2" s="16" t="n">
        <v>0.007419354838709677</v>
      </c>
      <c r="H2" s="16" t="n">
        <v>4.002901935483871</v>
      </c>
      <c r="I2" s="16" t="n">
        <v>3.045290322580645</v>
      </c>
      <c r="L2" s="16" t="n">
        <v>0</v>
      </c>
      <c r="O2" s="16" t="n">
        <v>0</v>
      </c>
      <c r="R2" s="16" t="n">
        <v>0</v>
      </c>
      <c r="S2" s="16" t="n">
        <v>20.98619225806452</v>
      </c>
      <c r="T2" s="16" t="n">
        <v>20.98619225806452</v>
      </c>
      <c r="U2" s="16" t="n">
        <v>20.98619225806452</v>
      </c>
      <c r="V2" s="16" t="n">
        <v>25.127</v>
      </c>
      <c r="W2" s="16" t="n">
        <v>25.127</v>
      </c>
      <c r="X2" s="16" t="n">
        <v>4.140807741935483</v>
      </c>
      <c r="Y2" s="16" t="n">
        <v>4.140807741935483</v>
      </c>
      <c r="Z2" s="16" t="n">
        <v>4.140807741935483</v>
      </c>
      <c r="AA2" s="16" t="n">
        <v>0.917741935483871</v>
      </c>
      <c r="AB2" s="16" t="n">
        <v>3.95441935483871</v>
      </c>
      <c r="AC2" s="16" t="n">
        <v>29.08141935483871</v>
      </c>
      <c r="AD2" s="16" t="n">
        <v>29.08141935483871</v>
      </c>
      <c r="AE2" s="16" t="n">
        <v>7.177485161290321</v>
      </c>
      <c r="AF2" s="16" t="n">
        <v>7.177485161290321</v>
      </c>
      <c r="AG2" s="16" t="n">
        <v>7.177485161290321</v>
      </c>
      <c r="AH2" s="16" t="n">
        <v>29.5</v>
      </c>
      <c r="AI2" s="16" t="n">
        <v>22.60070695</v>
      </c>
      <c r="AJ2" t="inlineStr">
        <is>
          <t>10 of 17 sourced, 3 derived, 1 proxy, 3 assumption</t>
        </is>
      </c>
    </row>
    <row r="3">
      <c r="A3" s="29" t="n">
        <v>45323</v>
      </c>
      <c r="B3" t="inlineStr">
        <is>
          <t>Actual</t>
        </is>
      </c>
      <c r="C3" s="16" t="n">
        <v>4.008068965517241</v>
      </c>
      <c r="D3" s="16" t="n">
        <v>5.536586206896551</v>
      </c>
      <c r="E3" s="16" t="n">
        <v>1.097586206896552</v>
      </c>
      <c r="F3" s="16" t="n">
        <v>0.764551724137931</v>
      </c>
      <c r="G3" s="16" t="n">
        <v>0.007413793103448276</v>
      </c>
      <c r="H3" s="16" t="n">
        <v>3.654431724137932</v>
      </c>
      <c r="I3" s="16" t="n">
        <v>2.881137931034483</v>
      </c>
      <c r="L3" s="16" t="n">
        <v>0</v>
      </c>
      <c r="O3" s="16" t="n">
        <v>0</v>
      </c>
      <c r="R3" s="16" t="n">
        <v>0</v>
      </c>
      <c r="S3" s="16" t="n">
        <v>17.94977655172414</v>
      </c>
      <c r="T3" s="16" t="n">
        <v>17.94977655172414</v>
      </c>
      <c r="U3" s="16" t="n">
        <v>17.94977655172414</v>
      </c>
      <c r="V3" s="16" t="n">
        <v>26.47165517241379</v>
      </c>
      <c r="W3" s="16" t="n">
        <v>26.47165517241379</v>
      </c>
      <c r="X3" s="16" t="n">
        <v>8.521878620689652</v>
      </c>
      <c r="Y3" s="16" t="n">
        <v>8.521878620689652</v>
      </c>
      <c r="Z3" s="16" t="n">
        <v>8.521878620689652</v>
      </c>
      <c r="AA3" s="16" t="n">
        <v>2.00796551724138</v>
      </c>
      <c r="AB3" s="16" t="n">
        <v>1.601103448275862</v>
      </c>
      <c r="AC3" s="16" t="n">
        <v>28.07275862068965</v>
      </c>
      <c r="AD3" s="16" t="n">
        <v>28.07275862068965</v>
      </c>
      <c r="AE3" s="16" t="n">
        <v>8.115016551724134</v>
      </c>
      <c r="AF3" s="16" t="n">
        <v>8.115016551724134</v>
      </c>
      <c r="AG3" s="16" t="n">
        <v>8.115016551724134</v>
      </c>
      <c r="AH3" s="16" t="n">
        <v>29.5</v>
      </c>
      <c r="AI3" s="16" t="n">
        <v>23.6885298</v>
      </c>
      <c r="AJ3" t="inlineStr">
        <is>
          <t>10 of 17 sourced, 3 derived, 1 proxy, 3 assumption</t>
        </is>
      </c>
    </row>
    <row r="4">
      <c r="A4" s="29" t="n">
        <v>45352</v>
      </c>
      <c r="B4" t="inlineStr">
        <is>
          <t>Actual</t>
        </is>
      </c>
      <c r="C4" s="16" t="n">
        <v>4.475806451612903</v>
      </c>
      <c r="D4" s="16" t="n">
        <v>5.56</v>
      </c>
      <c r="E4" s="16" t="n">
        <v>0.5969677419354839</v>
      </c>
      <c r="F4" s="16" t="n">
        <v>0.5730645161290323</v>
      </c>
      <c r="G4" s="16" t="n">
        <v>0.007419354838709677</v>
      </c>
      <c r="H4" s="16" t="n">
        <v>3.077456774193548</v>
      </c>
      <c r="I4" s="16" t="n">
        <v>2.966548387096774</v>
      </c>
      <c r="L4" s="16" t="n">
        <v>0</v>
      </c>
      <c r="O4" s="16" t="n">
        <v>0</v>
      </c>
      <c r="R4" s="16" t="n">
        <v>0</v>
      </c>
      <c r="S4" s="16" t="n">
        <v>17.25726322580645</v>
      </c>
      <c r="T4" s="16" t="n">
        <v>17.25726322580645</v>
      </c>
      <c r="U4" s="16" t="n">
        <v>17.25726322580645</v>
      </c>
      <c r="V4" s="16" t="n">
        <v>26.71183870967742</v>
      </c>
      <c r="W4" s="16" t="n">
        <v>26.71183870967742</v>
      </c>
      <c r="X4" s="16" t="n">
        <v>9.454575483870968</v>
      </c>
      <c r="Y4" s="16" t="n">
        <v>9.454575483870968</v>
      </c>
      <c r="Z4" s="16" t="n">
        <v>9.454575483870968</v>
      </c>
      <c r="AA4" s="16" t="n">
        <v>2.315548387096774</v>
      </c>
      <c r="AB4" s="16" t="n">
        <v>1.130161290322581</v>
      </c>
      <c r="AC4" s="16" t="n">
        <v>27.842</v>
      </c>
      <c r="AD4" s="16" t="n">
        <v>27.842</v>
      </c>
      <c r="AE4" s="16" t="n">
        <v>8.269188387096774</v>
      </c>
      <c r="AF4" s="16" t="n">
        <v>8.269188387096774</v>
      </c>
      <c r="AG4" s="16" t="n">
        <v>8.269188387096774</v>
      </c>
      <c r="AH4" s="16" t="n">
        <v>29.5</v>
      </c>
      <c r="AI4" s="16" t="n">
        <v>24.05583491</v>
      </c>
      <c r="AJ4" t="inlineStr">
        <is>
          <t>10 of 17 sourced, 3 derived, 1 proxy, 3 assumption</t>
        </is>
      </c>
    </row>
    <row r="5">
      <c r="A5" s="29" t="n">
        <v>45383</v>
      </c>
      <c r="B5" t="inlineStr">
        <is>
          <t>Actual</t>
        </is>
      </c>
      <c r="C5" s="16" t="n">
        <v>4.507533333333334</v>
      </c>
      <c r="D5" s="16" t="n">
        <v>5.455</v>
      </c>
      <c r="E5" s="16" t="n">
        <v>0.3352</v>
      </c>
      <c r="F5" s="16" t="n">
        <v>0.4414666666666666</v>
      </c>
      <c r="G5" s="16" t="n">
        <v>0.0074</v>
      </c>
      <c r="H5" s="16" t="n">
        <v>2.211428333333334</v>
      </c>
      <c r="I5" s="16" t="n">
        <v>3.1878</v>
      </c>
      <c r="L5" s="16" t="n">
        <v>0</v>
      </c>
      <c r="O5" s="16" t="n">
        <v>0</v>
      </c>
      <c r="R5" s="16" t="n">
        <v>0</v>
      </c>
      <c r="S5" s="16" t="n">
        <v>16.14582833333333</v>
      </c>
      <c r="T5" s="16" t="n">
        <v>16.14582833333333</v>
      </c>
      <c r="U5" s="16" t="n">
        <v>16.14582833333333</v>
      </c>
      <c r="V5" s="16" t="n">
        <v>26.68763333333333</v>
      </c>
      <c r="W5" s="16" t="n">
        <v>26.68763333333333</v>
      </c>
      <c r="X5" s="16" t="n">
        <v>10.541805</v>
      </c>
      <c r="Y5" s="16" t="n">
        <v>10.541805</v>
      </c>
      <c r="Z5" s="16" t="n">
        <v>10.541805</v>
      </c>
      <c r="AA5" s="16" t="n">
        <v>2.3053</v>
      </c>
      <c r="AB5" s="16" t="n">
        <v>1.326766666666667</v>
      </c>
      <c r="AC5" s="16" t="n">
        <v>28.0144</v>
      </c>
      <c r="AD5" s="16" t="n">
        <v>28.0144</v>
      </c>
      <c r="AE5" s="16" t="n">
        <v>9.563271666666664</v>
      </c>
      <c r="AF5" s="16" t="n">
        <v>9.563271666666664</v>
      </c>
      <c r="AG5" s="16" t="n">
        <v>9.563271666666664</v>
      </c>
      <c r="AH5" s="16" t="n">
        <v>29.5</v>
      </c>
      <c r="AI5" s="16" t="n">
        <v>24.10951118</v>
      </c>
      <c r="AJ5" t="inlineStr">
        <is>
          <t>10 of 17 sourced, 3 derived, 1 proxy, 3 assumption</t>
        </is>
      </c>
    </row>
    <row r="6">
      <c r="A6" s="29" t="n">
        <v>45413</v>
      </c>
      <c r="B6" t="inlineStr">
        <is>
          <t>Actual</t>
        </is>
      </c>
      <c r="C6" s="16" t="n">
        <v>6.010064516129032</v>
      </c>
      <c r="D6" s="16" t="n">
        <v>5.232161290322581</v>
      </c>
      <c r="E6" s="16" t="n">
        <v>0.2444516129032258</v>
      </c>
      <c r="F6" s="16" t="n">
        <v>0.4193225806451613</v>
      </c>
      <c r="G6" s="16" t="n">
        <v>0.007419354838709677</v>
      </c>
      <c r="H6" s="16" t="n">
        <v>4.104940000000001</v>
      </c>
      <c r="I6" s="16" t="n">
        <v>3.257677419354839</v>
      </c>
      <c r="L6" s="16" t="n">
        <v>0</v>
      </c>
      <c r="O6" s="16" t="n">
        <v>0</v>
      </c>
      <c r="R6" s="16" t="n">
        <v>0</v>
      </c>
      <c r="S6" s="16" t="n">
        <v>19.27603677419355</v>
      </c>
      <c r="T6" s="16" t="n">
        <v>19.27603677419355</v>
      </c>
      <c r="U6" s="16" t="n">
        <v>19.27603677419355</v>
      </c>
      <c r="V6" s="16" t="n">
        <v>27.57170967741936</v>
      </c>
      <c r="W6" s="16" t="n">
        <v>27.57170967741936</v>
      </c>
      <c r="X6" s="16" t="n">
        <v>8.29567290322581</v>
      </c>
      <c r="Y6" s="16" t="n">
        <v>8.29567290322581</v>
      </c>
      <c r="Z6" s="16" t="n">
        <v>8.29567290322581</v>
      </c>
      <c r="AA6" s="16" t="n">
        <v>1.905258064516129</v>
      </c>
      <c r="AB6" s="16" t="n">
        <v>1.243225806451613</v>
      </c>
      <c r="AC6" s="16" t="n">
        <v>28.81493548387097</v>
      </c>
      <c r="AD6" s="16" t="n">
        <v>28.81493548387097</v>
      </c>
      <c r="AE6" s="16" t="n">
        <v>7.633640645161293</v>
      </c>
      <c r="AF6" s="16" t="n">
        <v>7.633640645161293</v>
      </c>
      <c r="AG6" s="16" t="n">
        <v>7.633640645161293</v>
      </c>
      <c r="AH6" s="16" t="n">
        <v>29.5</v>
      </c>
      <c r="AI6" s="16" t="n">
        <v>24.29318</v>
      </c>
      <c r="AJ6" t="inlineStr">
        <is>
          <t>10 of 17 sourced, 3 derived, 1 proxy, 3 assumption</t>
        </is>
      </c>
    </row>
    <row r="7">
      <c r="A7" s="29" t="n">
        <v>45444</v>
      </c>
      <c r="B7" t="inlineStr">
        <is>
          <t>Actual</t>
        </is>
      </c>
      <c r="C7" s="16" t="n">
        <v>6.976733333333334</v>
      </c>
      <c r="D7" s="16" t="n">
        <v>5.412633333333333</v>
      </c>
      <c r="E7" s="16" t="n">
        <v>0.2411666666666667</v>
      </c>
      <c r="F7" s="16" t="n">
        <v>0.4122</v>
      </c>
      <c r="G7" s="16" t="n">
        <v>0.0074</v>
      </c>
      <c r="H7" s="16" t="n">
        <v>4.706075</v>
      </c>
      <c r="I7" s="16" t="n">
        <v>3.117133333333333</v>
      </c>
      <c r="L7" s="16" t="n">
        <v>0</v>
      </c>
      <c r="O7" s="16" t="n">
        <v>0</v>
      </c>
      <c r="R7" s="16" t="n">
        <v>0</v>
      </c>
      <c r="S7" s="16" t="n">
        <v>20.87334166666666</v>
      </c>
      <c r="T7" s="16" t="n">
        <v>20.87334166666666</v>
      </c>
      <c r="U7" s="16" t="n">
        <v>20.87334166666666</v>
      </c>
      <c r="V7" s="16" t="n">
        <v>27.7913</v>
      </c>
      <c r="W7" s="16" t="n">
        <v>27.7913</v>
      </c>
      <c r="X7" s="16" t="n">
        <v>6.917958333333335</v>
      </c>
      <c r="Y7" s="16" t="n">
        <v>6.917958333333335</v>
      </c>
      <c r="Z7" s="16" t="n">
        <v>6.917958333333335</v>
      </c>
      <c r="AA7" s="16" t="n">
        <v>1.550366666666667</v>
      </c>
      <c r="AB7" s="16" t="n">
        <v>1.3302</v>
      </c>
      <c r="AC7" s="16" t="n">
        <v>29.1215</v>
      </c>
      <c r="AD7" s="16" t="n">
        <v>29.1215</v>
      </c>
      <c r="AE7" s="16" t="n">
        <v>6.697791666666669</v>
      </c>
      <c r="AF7" s="16" t="n">
        <v>6.697791666666669</v>
      </c>
      <c r="AG7" s="16" t="n">
        <v>6.697791666666669</v>
      </c>
      <c r="AH7" s="16" t="n">
        <v>29.5</v>
      </c>
      <c r="AI7" s="16" t="n">
        <v>24.97049957</v>
      </c>
      <c r="AJ7" t="inlineStr">
        <is>
          <t>10 of 17 sourced, 3 derived, 1 proxy, 3 assumption</t>
        </is>
      </c>
    </row>
    <row r="8">
      <c r="A8" s="29" t="n">
        <v>45474</v>
      </c>
      <c r="B8" t="inlineStr">
        <is>
          <t>Actual</t>
        </is>
      </c>
      <c r="C8" s="16" t="n">
        <v>7.261322580645161</v>
      </c>
      <c r="D8" s="16" t="n">
        <v>5.511741935483871</v>
      </c>
      <c r="E8" s="16" t="n">
        <v>0.2387096774193548</v>
      </c>
      <c r="F8" s="16" t="n">
        <v>0.4077096774193548</v>
      </c>
      <c r="G8" s="16" t="n">
        <v>0.007419354838709677</v>
      </c>
      <c r="H8" s="16" t="n">
        <v>2.888535161290323</v>
      </c>
      <c r="I8" s="16" t="n">
        <v>3.147096774193549</v>
      </c>
      <c r="L8" s="16" t="n">
        <v>0</v>
      </c>
      <c r="O8" s="16" t="n">
        <v>0</v>
      </c>
      <c r="R8" s="16" t="n">
        <v>0</v>
      </c>
      <c r="S8" s="16" t="n">
        <v>19.46253516129033</v>
      </c>
      <c r="T8" s="16" t="n">
        <v>19.46253516129033</v>
      </c>
      <c r="U8" s="16" t="n">
        <v>19.46253516129033</v>
      </c>
      <c r="V8" s="16" t="n">
        <v>27.72906451612904</v>
      </c>
      <c r="W8" s="16" t="n">
        <v>27.72906451612904</v>
      </c>
      <c r="X8" s="16" t="n">
        <v>8.266529354838713</v>
      </c>
      <c r="Y8" s="16" t="n">
        <v>8.266529354838713</v>
      </c>
      <c r="Z8" s="16" t="n">
        <v>8.266529354838713</v>
      </c>
      <c r="AA8" s="16" t="n">
        <v>1.135903225806452</v>
      </c>
      <c r="AB8" s="16" t="n">
        <v>1.670774193548387</v>
      </c>
      <c r="AC8" s="16" t="n">
        <v>29.39983870967743</v>
      </c>
      <c r="AD8" s="16" t="n">
        <v>29.39983870967743</v>
      </c>
      <c r="AE8" s="16" t="n">
        <v>8.801400322580648</v>
      </c>
      <c r="AF8" s="16" t="n">
        <v>8.801400322580648</v>
      </c>
      <c r="AG8" s="16" t="n">
        <v>8.801400322580648</v>
      </c>
      <c r="AH8" s="16" t="n">
        <v>29.5</v>
      </c>
      <c r="AI8" s="16" t="n">
        <v>25.29604376</v>
      </c>
      <c r="AJ8" t="inlineStr">
        <is>
          <t>10 of 17 sourced, 3 derived, 1 proxy, 3 assumption</t>
        </is>
      </c>
    </row>
    <row r="9">
      <c r="A9" s="29" t="n">
        <v>45505</v>
      </c>
      <c r="B9" t="inlineStr">
        <is>
          <t>Actual</t>
        </is>
      </c>
      <c r="C9" s="16" t="n">
        <v>8.358483870967742</v>
      </c>
      <c r="D9" s="16" t="n">
        <v>5.637741935483871</v>
      </c>
      <c r="E9" s="16" t="n">
        <v>0.2118709677419355</v>
      </c>
      <c r="F9" s="16" t="n">
        <v>0.3919677419354838</v>
      </c>
      <c r="G9" s="16" t="n">
        <v>0.007419354838709677</v>
      </c>
      <c r="H9" s="16" t="n">
        <v>4.445793548387096</v>
      </c>
      <c r="I9" s="16" t="n">
        <v>3.193548387096774</v>
      </c>
      <c r="L9" s="16" t="n">
        <v>0</v>
      </c>
      <c r="O9" s="16" t="n">
        <v>0</v>
      </c>
      <c r="R9" s="16" t="n">
        <v>0</v>
      </c>
      <c r="S9" s="16" t="n">
        <v>22.24682580645161</v>
      </c>
      <c r="T9" s="16" t="n">
        <v>22.24682580645161</v>
      </c>
      <c r="U9" s="16" t="n">
        <v>22.24682580645161</v>
      </c>
      <c r="V9" s="16" t="n">
        <v>27.9198064516129</v>
      </c>
      <c r="W9" s="16" t="n">
        <v>27.9198064516129</v>
      </c>
      <c r="X9" s="16" t="n">
        <v>5.672980645161289</v>
      </c>
      <c r="Y9" s="16" t="n">
        <v>5.672980645161289</v>
      </c>
      <c r="Z9" s="16" t="n">
        <v>5.672980645161289</v>
      </c>
      <c r="AA9" s="16" t="n">
        <v>1.875322580645161</v>
      </c>
      <c r="AB9" s="16" t="n">
        <v>3.474741935483871</v>
      </c>
      <c r="AC9" s="16" t="n">
        <v>31.39454838709677</v>
      </c>
      <c r="AD9" s="16" t="n">
        <v>31.39454838709677</v>
      </c>
      <c r="AE9" s="16" t="n">
        <v>7.272399999999998</v>
      </c>
      <c r="AF9" s="16" t="n">
        <v>7.272399999999998</v>
      </c>
      <c r="AG9" s="16" t="n">
        <v>7.272399999999998</v>
      </c>
      <c r="AH9" s="16" t="n">
        <v>29.5</v>
      </c>
      <c r="AI9" s="16" t="n">
        <v>25.74603458</v>
      </c>
      <c r="AJ9" t="inlineStr">
        <is>
          <t>10 of 17 sourced, 3 derived, 1 proxy, 3 assumption</t>
        </is>
      </c>
    </row>
    <row r="10">
      <c r="A10" s="29" t="n">
        <v>45536</v>
      </c>
      <c r="B10" t="inlineStr">
        <is>
          <t>Actual</t>
        </is>
      </c>
      <c r="C10" s="16" t="n">
        <v>6.897866666666666</v>
      </c>
      <c r="D10" s="16" t="n">
        <v>5.5316</v>
      </c>
      <c r="E10" s="16" t="n">
        <v>0.2098333333333333</v>
      </c>
      <c r="F10" s="16" t="n">
        <v>0.4142666666666667</v>
      </c>
      <c r="G10" s="16" t="n">
        <v>0.0074</v>
      </c>
      <c r="H10" s="16" t="n">
        <v>4.636932666666667</v>
      </c>
      <c r="I10" s="16" t="n">
        <v>3.0912</v>
      </c>
      <c r="L10" s="16" t="n">
        <v>0</v>
      </c>
      <c r="O10" s="16" t="n">
        <v>0</v>
      </c>
      <c r="R10" s="16" t="n">
        <v>0</v>
      </c>
      <c r="S10" s="16" t="n">
        <v>20.78909933333333</v>
      </c>
      <c r="T10" s="16" t="n">
        <v>20.78909933333333</v>
      </c>
      <c r="U10" s="16" t="n">
        <v>20.78909933333333</v>
      </c>
      <c r="V10" s="16" t="n">
        <v>28.2645</v>
      </c>
      <c r="W10" s="16" t="n">
        <v>28.2645</v>
      </c>
      <c r="X10" s="16" t="n">
        <v>7.475400666666669</v>
      </c>
      <c r="Y10" s="16" t="n">
        <v>7.475400666666669</v>
      </c>
      <c r="Z10" s="16" t="n">
        <v>7.475400666666669</v>
      </c>
      <c r="AA10" s="16" t="n">
        <v>2.5233</v>
      </c>
      <c r="AB10" s="16" t="n">
        <v>2.227366666666667</v>
      </c>
      <c r="AC10" s="16" t="n">
        <v>30.49186666666667</v>
      </c>
      <c r="AD10" s="16" t="n">
        <v>30.49186666666667</v>
      </c>
      <c r="AE10" s="16" t="n">
        <v>7.179467333333333</v>
      </c>
      <c r="AF10" s="16" t="n">
        <v>7.179467333333333</v>
      </c>
      <c r="AG10" s="16" t="n">
        <v>7.179467333333333</v>
      </c>
      <c r="AH10" s="16" t="n">
        <v>29.5</v>
      </c>
      <c r="AI10" s="16" t="n">
        <v>25.70119624</v>
      </c>
      <c r="AJ10" t="inlineStr">
        <is>
          <t>10 of 17 sourced, 3 derived, 1 proxy, 3 assumption</t>
        </is>
      </c>
    </row>
    <row r="11">
      <c r="A11" s="29" t="n">
        <v>45566</v>
      </c>
      <c r="B11" t="inlineStr">
        <is>
          <t>Actual</t>
        </is>
      </c>
      <c r="C11" s="16" t="n">
        <v>5.92516129032258</v>
      </c>
      <c r="D11" s="16" t="n">
        <v>5.303709677419355</v>
      </c>
      <c r="E11" s="16" t="n">
        <v>0.2420322580645161</v>
      </c>
      <c r="F11" s="16" t="n">
        <v>0.4293548387096774</v>
      </c>
      <c r="G11" s="16" t="n">
        <v>0.007419354838709677</v>
      </c>
      <c r="H11" s="16" t="n">
        <v>4.775289999999999</v>
      </c>
      <c r="I11" s="16" t="n">
        <v>2.869387096774194</v>
      </c>
      <c r="L11" s="16" t="n">
        <v>0</v>
      </c>
      <c r="O11" s="16" t="n">
        <v>0</v>
      </c>
      <c r="R11" s="16" t="n">
        <v>0</v>
      </c>
      <c r="S11" s="16" t="n">
        <v>19.55235451612903</v>
      </c>
      <c r="T11" s="16" t="n">
        <v>19.55235451612903</v>
      </c>
      <c r="U11" s="16" t="n">
        <v>19.55235451612903</v>
      </c>
      <c r="V11" s="16" t="n">
        <v>28.559</v>
      </c>
      <c r="W11" s="16" t="n">
        <v>28.559</v>
      </c>
      <c r="X11" s="16" t="n">
        <v>9.006645483870969</v>
      </c>
      <c r="Y11" s="16" t="n">
        <v>9.006645483870969</v>
      </c>
      <c r="Z11" s="16" t="n">
        <v>9.006645483870969</v>
      </c>
      <c r="AA11" s="16" t="n">
        <v>2.784935483870968</v>
      </c>
      <c r="AB11" s="16" t="n">
        <v>0.9893548387096774</v>
      </c>
      <c r="AC11" s="16" t="n">
        <v>29.54835483870968</v>
      </c>
      <c r="AD11" s="16" t="n">
        <v>29.54835483870968</v>
      </c>
      <c r="AE11" s="16" t="n">
        <v>7.211064838709678</v>
      </c>
      <c r="AF11" s="16" t="n">
        <v>7.211064838709678</v>
      </c>
      <c r="AG11" s="16" t="n">
        <v>7.211064838709678</v>
      </c>
      <c r="AH11" s="16" t="n">
        <v>29.5</v>
      </c>
      <c r="AI11" s="16" t="n">
        <v>26.28651631</v>
      </c>
      <c r="AJ11" t="inlineStr">
        <is>
          <t>10 of 17 sourced, 3 derived, 1 proxy, 3 assumption</t>
        </is>
      </c>
    </row>
    <row r="12">
      <c r="A12" s="29" t="n">
        <v>45597</v>
      </c>
      <c r="B12" t="inlineStr">
        <is>
          <t>Actual</t>
        </is>
      </c>
      <c r="C12" s="16" t="n">
        <v>4.806333333333333</v>
      </c>
      <c r="D12" s="16" t="n">
        <v>5.701866666666667</v>
      </c>
      <c r="E12" s="16" t="n">
        <v>0.4328666666666667</v>
      </c>
      <c r="F12" s="16" t="n">
        <v>0.5004</v>
      </c>
      <c r="G12" s="16" t="n">
        <v>0.0074</v>
      </c>
      <c r="H12" s="16" t="n">
        <v>4.40033</v>
      </c>
      <c r="I12" s="16" t="n">
        <v>2.7428</v>
      </c>
      <c r="L12" s="16" t="n">
        <v>0</v>
      </c>
      <c r="O12" s="16" t="n">
        <v>0</v>
      </c>
      <c r="R12" s="16" t="n">
        <v>0</v>
      </c>
      <c r="S12" s="16" t="n">
        <v>18.59199666666667</v>
      </c>
      <c r="T12" s="16" t="n">
        <v>18.59199666666667</v>
      </c>
      <c r="U12" s="16" t="n">
        <v>18.59199666666667</v>
      </c>
      <c r="V12" s="16" t="n">
        <v>28.28536666666666</v>
      </c>
      <c r="W12" s="16" t="n">
        <v>28.28536666666666</v>
      </c>
      <c r="X12" s="16" t="n">
        <v>9.693369999999994</v>
      </c>
      <c r="Y12" s="16" t="n">
        <v>9.693369999999994</v>
      </c>
      <c r="Z12" s="16" t="n">
        <v>9.693369999999994</v>
      </c>
      <c r="AA12" s="16" t="n">
        <v>1.816766666666667</v>
      </c>
      <c r="AB12" s="16" t="n">
        <v>1.256833333333333</v>
      </c>
      <c r="AC12" s="16" t="n">
        <v>29.54219999999999</v>
      </c>
      <c r="AD12" s="16" t="n">
        <v>29.54219999999999</v>
      </c>
      <c r="AE12" s="16" t="n">
        <v>9.133436666666661</v>
      </c>
      <c r="AF12" s="16" t="n">
        <v>9.133436666666661</v>
      </c>
      <c r="AG12" s="16" t="n">
        <v>9.133436666666661</v>
      </c>
      <c r="AH12" s="16" t="n">
        <v>29.5</v>
      </c>
      <c r="AI12" s="16" t="n">
        <v>26.12051318</v>
      </c>
      <c r="AJ12" t="inlineStr">
        <is>
          <t>10 of 17 sourced, 3 derived, 1 proxy, 3 assumption</t>
        </is>
      </c>
    </row>
    <row r="13">
      <c r="A13" s="29" t="n">
        <v>45627</v>
      </c>
      <c r="B13" t="inlineStr">
        <is>
          <t>Actual</t>
        </is>
      </c>
      <c r="C13" s="16" t="n">
        <v>4.653419354838709</v>
      </c>
      <c r="D13" s="16" t="n">
        <v>6.043483870967742</v>
      </c>
      <c r="E13" s="16" t="n">
        <v>0.8987419354838709</v>
      </c>
      <c r="F13" s="16" t="n">
        <v>0.681483870967742</v>
      </c>
      <c r="G13" s="16" t="n">
        <v>0.007419354838709677</v>
      </c>
      <c r="H13" s="16" t="n">
        <v>4.759608064516129</v>
      </c>
      <c r="I13" s="16" t="n">
        <v>2.697645161290323</v>
      </c>
      <c r="L13" s="16" t="n">
        <v>0</v>
      </c>
      <c r="O13" s="16" t="n">
        <v>0</v>
      </c>
      <c r="R13" s="16" t="n">
        <v>0</v>
      </c>
      <c r="S13" s="16" t="n">
        <v>19.74180161290323</v>
      </c>
      <c r="T13" s="16" t="n">
        <v>19.74180161290323</v>
      </c>
      <c r="U13" s="16" t="n">
        <v>19.74180161290323</v>
      </c>
      <c r="V13" s="16" t="n">
        <v>28.49945161290323</v>
      </c>
      <c r="W13" s="16" t="n">
        <v>28.49945161290323</v>
      </c>
      <c r="X13" s="16" t="n">
        <v>8.757649999999998</v>
      </c>
      <c r="Y13" s="16" t="n">
        <v>8.757649999999998</v>
      </c>
      <c r="Z13" s="16" t="n">
        <v>8.757649999999998</v>
      </c>
      <c r="AA13" s="16" t="n">
        <v>1.449032258064516</v>
      </c>
      <c r="AB13" s="16" t="n">
        <v>1.874064516129032</v>
      </c>
      <c r="AC13" s="16" t="n">
        <v>30.37351612903226</v>
      </c>
      <c r="AD13" s="16" t="n">
        <v>30.37351612903226</v>
      </c>
      <c r="AE13" s="16" t="n">
        <v>9.182682258064514</v>
      </c>
      <c r="AF13" s="16" t="n">
        <v>9.182682258064514</v>
      </c>
      <c r="AG13" s="16" t="n">
        <v>9.182682258064514</v>
      </c>
      <c r="AH13" s="16" t="n">
        <v>29.5</v>
      </c>
      <c r="AI13" s="16" t="n">
        <v>26.52891686</v>
      </c>
      <c r="AJ13" t="inlineStr">
        <is>
          <t>10 of 17 sourced, 3 derived, 1 proxy, 3 assumption</t>
        </is>
      </c>
    </row>
    <row r="14">
      <c r="A14" s="29" t="n">
        <v>45658</v>
      </c>
      <c r="B14" t="inlineStr">
        <is>
          <t>Actual</t>
        </is>
      </c>
      <c r="C14" s="16" t="n">
        <v>5.869</v>
      </c>
      <c r="D14" s="16" t="n">
        <v>5.845741935483871</v>
      </c>
      <c r="E14" s="16" t="n">
        <v>2.010354838709677</v>
      </c>
      <c r="F14" s="16" t="n">
        <v>1.101387096774194</v>
      </c>
      <c r="G14" s="16" t="n">
        <v>0.006193548387096774</v>
      </c>
      <c r="H14" s="16" t="n">
        <v>4.154271290322582</v>
      </c>
      <c r="I14" s="16" t="n">
        <v>3.12958064516129</v>
      </c>
      <c r="J14" s="16" t="n">
        <v>4.336207316800246</v>
      </c>
      <c r="K14" s="16" t="n">
        <v>0.169850453407242</v>
      </c>
      <c r="L14" s="16" t="n">
        <v>0</v>
      </c>
      <c r="M14" s="16" t="n">
        <v>4.48850907347469</v>
      </c>
      <c r="N14" s="16" t="n">
        <v>0.1766962679486829</v>
      </c>
      <c r="O14" s="16" t="n">
        <v>0</v>
      </c>
      <c r="P14" s="16" t="n">
        <v>4.741116201226876</v>
      </c>
      <c r="Q14" s="16" t="n">
        <v>0.2240335059956148</v>
      </c>
      <c r="R14" s="16" t="n">
        <v>0</v>
      </c>
      <c r="S14" s="16" t="n">
        <v>22.11652935483871</v>
      </c>
      <c r="T14" s="16" t="n">
        <v>22.11652935483871</v>
      </c>
      <c r="U14" s="16" t="n">
        <v>22.11652935483871</v>
      </c>
      <c r="V14" s="16" t="n">
        <v>28.24405679752158</v>
      </c>
      <c r="W14" s="16" t="n">
        <v>28.24405679752158</v>
      </c>
      <c r="X14" s="16" t="n">
        <v>6.127527442682869</v>
      </c>
      <c r="Y14" s="16" t="n">
        <v>6.127527442682869</v>
      </c>
      <c r="Z14" s="16" t="n">
        <v>6.127527442682869</v>
      </c>
      <c r="AA14" s="16" t="n">
        <v>1.033096774193548</v>
      </c>
      <c r="AB14" s="16" t="n">
        <v>4.680032258064516</v>
      </c>
      <c r="AC14" s="16" t="n">
        <v>32.92408905558609</v>
      </c>
      <c r="AD14" s="16" t="n">
        <v>32.92408905558609</v>
      </c>
      <c r="AE14" s="16" t="n">
        <v>9.774462926553834</v>
      </c>
      <c r="AF14" s="16" t="n">
        <v>9.774462926553834</v>
      </c>
      <c r="AG14" s="16" t="n">
        <v>9.774462926553834</v>
      </c>
      <c r="AH14" s="16" t="n">
        <v>29.5</v>
      </c>
      <c r="AI14" s="16" t="n">
        <v>25.8628571</v>
      </c>
      <c r="AJ14" t="inlineStr">
        <is>
          <t>10 of 17 sourced, 3 derived, 1 proxy, 3 assumption</t>
        </is>
      </c>
    </row>
    <row r="15">
      <c r="A15" s="29" t="n">
        <v>45689</v>
      </c>
      <c r="B15" t="inlineStr">
        <is>
          <t>Actual</t>
        </is>
      </c>
      <c r="C15" s="16" t="n">
        <v>5.272785714285715</v>
      </c>
      <c r="D15" s="16" t="n">
        <v>5.759535714285715</v>
      </c>
      <c r="E15" s="16" t="n">
        <v>1.569142857142857</v>
      </c>
      <c r="F15" s="16" t="n">
        <v>0.9613214285714285</v>
      </c>
      <c r="G15" s="16" t="n">
        <v>0.006214285714285715</v>
      </c>
      <c r="H15" s="16" t="n">
        <v>4.985854642857143</v>
      </c>
      <c r="I15" s="16" t="n">
        <v>3.037857142857143</v>
      </c>
      <c r="J15" s="16" t="n">
        <v>4.409065458313939</v>
      </c>
      <c r="K15" s="16" t="n">
        <v>0.1727043271882681</v>
      </c>
      <c r="L15" s="16" t="n">
        <v>0</v>
      </c>
      <c r="M15" s="16" t="n">
        <v>4.713668971662827</v>
      </c>
      <c r="N15" s="16" t="n">
        <v>0.185559993753909</v>
      </c>
      <c r="O15" s="16" t="n">
        <v>0</v>
      </c>
      <c r="P15" s="16" t="n">
        <v>5.218883227167199</v>
      </c>
      <c r="Q15" s="16" t="n">
        <v>0.2466095866752679</v>
      </c>
      <c r="R15" s="16" t="n">
        <v>0</v>
      </c>
      <c r="S15" s="16" t="n">
        <v>21.59271178571429</v>
      </c>
      <c r="T15" s="16" t="n">
        <v>21.59271178571429</v>
      </c>
      <c r="U15" s="16" t="n">
        <v>21.59271178571429</v>
      </c>
      <c r="V15" s="16" t="n">
        <v>28.33351354931359</v>
      </c>
      <c r="W15" s="16" t="n">
        <v>28.33351354931359</v>
      </c>
      <c r="X15" s="16" t="n">
        <v>6.740801763599304</v>
      </c>
      <c r="Y15" s="16" t="n">
        <v>6.740801763599304</v>
      </c>
      <c r="Z15" s="16" t="n">
        <v>6.740801763599304</v>
      </c>
      <c r="AA15" s="16" t="n">
        <v>1.292535714285714</v>
      </c>
      <c r="AB15" s="16" t="n">
        <v>4.061928571428572</v>
      </c>
      <c r="AC15" s="16" t="n">
        <v>32.39544212074216</v>
      </c>
      <c r="AD15" s="16" t="n">
        <v>32.39544212074216</v>
      </c>
      <c r="AE15" s="16" t="n">
        <v>9.51019462074216</v>
      </c>
      <c r="AF15" s="16" t="n">
        <v>9.51019462074216</v>
      </c>
      <c r="AG15" s="16" t="n">
        <v>9.51019462074216</v>
      </c>
      <c r="AH15" s="16" t="n">
        <v>29.5</v>
      </c>
      <c r="AI15" s="16" t="n">
        <v>26.24216551</v>
      </c>
      <c r="AJ15" t="inlineStr">
        <is>
          <t>10 of 17 sourced, 3 derived, 1 proxy, 3 assumption</t>
        </is>
      </c>
    </row>
    <row r="16">
      <c r="A16" s="29" t="n">
        <v>45717</v>
      </c>
      <c r="B16" t="inlineStr">
        <is>
          <t>Actual</t>
        </is>
      </c>
      <c r="C16" s="16" t="n">
        <v>3.69841935483871</v>
      </c>
      <c r="D16" s="16" t="n">
        <v>5.697580645161291</v>
      </c>
      <c r="E16" s="16" t="n">
        <v>0.5337741935483871</v>
      </c>
      <c r="F16" s="16" t="n">
        <v>0.4649354838709677</v>
      </c>
      <c r="G16" s="16" t="n">
        <v>0.006193548387096774</v>
      </c>
      <c r="H16" s="16" t="n">
        <v>4.598463870967743</v>
      </c>
      <c r="I16" s="16" t="n">
        <v>2.864387096774194</v>
      </c>
      <c r="J16" s="16" t="n">
        <v>4.481923599827631</v>
      </c>
      <c r="K16" s="16" t="n">
        <v>0.1755582009692942</v>
      </c>
      <c r="L16" s="16" t="n">
        <v>0</v>
      </c>
      <c r="M16" s="16" t="n">
        <v>4.938828869850964</v>
      </c>
      <c r="N16" s="16" t="n">
        <v>0.1944237195591351</v>
      </c>
      <c r="O16" s="16" t="n">
        <v>0</v>
      </c>
      <c r="P16" s="16" t="n">
        <v>5.696650253107522</v>
      </c>
      <c r="Q16" s="16" t="n">
        <v>0.269185667354921</v>
      </c>
      <c r="R16" s="16" t="n">
        <v>0</v>
      </c>
      <c r="S16" s="16" t="n">
        <v>17.86375419354839</v>
      </c>
      <c r="T16" s="16" t="n">
        <v>17.86375419354839</v>
      </c>
      <c r="U16" s="16" t="n">
        <v>17.86375419354839</v>
      </c>
      <c r="V16" s="16" t="n">
        <v>28.42087368859537</v>
      </c>
      <c r="W16" s="16" t="n">
        <v>28.42087368859537</v>
      </c>
      <c r="X16" s="16" t="n">
        <v>10.55711949504698</v>
      </c>
      <c r="Y16" s="16" t="n">
        <v>10.55711949504698</v>
      </c>
      <c r="Z16" s="16" t="n">
        <v>10.55711949504698</v>
      </c>
      <c r="AA16" s="16" t="n">
        <v>2.661516129032258</v>
      </c>
      <c r="AB16" s="16" t="n">
        <v>1.247129032258065</v>
      </c>
      <c r="AC16" s="16" t="n">
        <v>29.66800272085344</v>
      </c>
      <c r="AD16" s="16" t="n">
        <v>29.66800272085344</v>
      </c>
      <c r="AE16" s="16" t="n">
        <v>9.142732398272791</v>
      </c>
      <c r="AF16" s="16" t="n">
        <v>9.142732398272791</v>
      </c>
      <c r="AG16" s="16" t="n">
        <v>9.142732398272791</v>
      </c>
      <c r="AH16" s="16" t="n">
        <v>29.5</v>
      </c>
      <c r="AI16" s="16" t="n">
        <v>26.90011915</v>
      </c>
      <c r="AJ16" t="inlineStr">
        <is>
          <t>10 of 17 sourced, 3 derived, 1 proxy, 3 assumption</t>
        </is>
      </c>
    </row>
    <row r="17">
      <c r="A17" s="29" t="n">
        <v>45748</v>
      </c>
      <c r="B17" t="inlineStr">
        <is>
          <t>Actual</t>
        </is>
      </c>
      <c r="C17" s="16" t="n">
        <v>4.2876</v>
      </c>
      <c r="D17" s="16" t="n">
        <v>5.537833333333333</v>
      </c>
      <c r="E17" s="16" t="n">
        <v>0.4167</v>
      </c>
      <c r="F17" s="16" t="n">
        <v>0.5441666666666666</v>
      </c>
      <c r="G17" s="16" t="n">
        <v>0.0062</v>
      </c>
      <c r="H17" s="16" t="n">
        <v>4.818890000000001</v>
      </c>
      <c r="I17" s="16" t="n">
        <v>3.252</v>
      </c>
      <c r="J17" s="16" t="n">
        <v>4.554781741341325</v>
      </c>
      <c r="K17" s="16" t="n">
        <v>0.1784120747503203</v>
      </c>
      <c r="L17" s="16" t="n">
        <v>0</v>
      </c>
      <c r="M17" s="16" t="n">
        <v>5.163988768039101</v>
      </c>
      <c r="N17" s="16" t="n">
        <v>0.2032874453643612</v>
      </c>
      <c r="O17" s="16" t="n">
        <v>0</v>
      </c>
      <c r="P17" s="16" t="n">
        <v>6.174417279047844</v>
      </c>
      <c r="Q17" s="16" t="n">
        <v>0.2917617480345741</v>
      </c>
      <c r="R17" s="16" t="n">
        <v>0</v>
      </c>
      <c r="S17" s="16" t="n">
        <v>18.86339</v>
      </c>
      <c r="T17" s="16" t="n">
        <v>18.86339</v>
      </c>
      <c r="U17" s="16" t="n">
        <v>18.86339</v>
      </c>
      <c r="V17" s="16" t="n">
        <v>28.66872758850139</v>
      </c>
      <c r="W17" s="16" t="n">
        <v>28.66872758850139</v>
      </c>
      <c r="X17" s="16" t="n">
        <v>9.805337588501391</v>
      </c>
      <c r="Y17" s="16" t="n">
        <v>9.805337588501391</v>
      </c>
      <c r="Z17" s="16" t="n">
        <v>9.805337588501391</v>
      </c>
      <c r="AA17" s="16" t="n">
        <v>2.422766666666667</v>
      </c>
      <c r="AB17" s="16" t="n">
        <v>1.021366666666667</v>
      </c>
      <c r="AC17" s="16" t="n">
        <v>29.69009425516806</v>
      </c>
      <c r="AD17" s="16" t="n">
        <v>29.69009425516806</v>
      </c>
      <c r="AE17" s="16" t="n">
        <v>8.403937588501389</v>
      </c>
      <c r="AF17" s="16" t="n">
        <v>8.403937588501389</v>
      </c>
      <c r="AG17" s="16" t="n">
        <v>8.403937588501389</v>
      </c>
      <c r="AH17" s="16" t="n">
        <v>29.5</v>
      </c>
      <c r="AI17" s="16" t="n">
        <v>26.86271651</v>
      </c>
      <c r="AJ17" t="inlineStr">
        <is>
          <t>10 of 17 sourced, 3 derived, 1 proxy, 3 assumption</t>
        </is>
      </c>
    </row>
    <row r="18">
      <c r="A18" s="29" t="n">
        <v>45778</v>
      </c>
      <c r="B18" t="inlineStr">
        <is>
          <t>Actual</t>
        </is>
      </c>
      <c r="C18" s="16" t="n">
        <v>5.777741935483871</v>
      </c>
      <c r="D18" s="16" t="n">
        <v>5.462096774193548</v>
      </c>
      <c r="E18" s="16" t="n">
        <v>0.2829032258064516</v>
      </c>
      <c r="F18" s="16" t="n">
        <v>0.4228387096774193</v>
      </c>
      <c r="G18" s="16" t="n">
        <v>0.006193548387096774</v>
      </c>
      <c r="H18" s="16" t="n">
        <v>4.495722580645161</v>
      </c>
      <c r="I18" s="16" t="n">
        <v>3.523838709677419</v>
      </c>
      <c r="J18" s="16" t="n">
        <v>4.627639882855018</v>
      </c>
      <c r="K18" s="16" t="n">
        <v>0.1812659485313464</v>
      </c>
      <c r="L18" s="16" t="n">
        <v>0</v>
      </c>
      <c r="M18" s="16" t="n">
        <v>5.389148666227237</v>
      </c>
      <c r="N18" s="16" t="n">
        <v>0.2121511711695874</v>
      </c>
      <c r="O18" s="16" t="n">
        <v>0</v>
      </c>
      <c r="P18" s="16" t="n">
        <v>6.652184304988167</v>
      </c>
      <c r="Q18" s="16" t="n">
        <v>0.3143378287142272</v>
      </c>
      <c r="R18" s="16" t="n">
        <v>0</v>
      </c>
      <c r="S18" s="16" t="n">
        <v>19.97133548387097</v>
      </c>
      <c r="T18" s="16" t="n">
        <v>19.97133548387097</v>
      </c>
      <c r="U18" s="16" t="n">
        <v>19.97133548387097</v>
      </c>
      <c r="V18" s="16" t="n">
        <v>28.39991141756023</v>
      </c>
      <c r="W18" s="16" t="n">
        <v>28.39991141756023</v>
      </c>
      <c r="X18" s="16" t="n">
        <v>8.428575933689263</v>
      </c>
      <c r="Y18" s="16" t="n">
        <v>8.428575933689263</v>
      </c>
      <c r="Z18" s="16" t="n">
        <v>8.428575933689263</v>
      </c>
      <c r="AA18" s="16" t="n">
        <v>2.441677419354839</v>
      </c>
      <c r="AB18" s="16" t="n">
        <v>0.8430322580645161</v>
      </c>
      <c r="AC18" s="16" t="n">
        <v>29.24294367562474</v>
      </c>
      <c r="AD18" s="16" t="n">
        <v>29.24294367562474</v>
      </c>
      <c r="AE18" s="16" t="n">
        <v>6.829930772398939</v>
      </c>
      <c r="AF18" s="16" t="n">
        <v>6.829930772398939</v>
      </c>
      <c r="AG18" s="16" t="n">
        <v>6.829930772398939</v>
      </c>
      <c r="AH18" s="16" t="n">
        <v>29.5</v>
      </c>
      <c r="AI18" s="16" t="n">
        <v>26.87354047</v>
      </c>
      <c r="AJ18" t="inlineStr">
        <is>
          <t>10 of 17 sourced, 3 derived, 1 proxy, 3 assumption</t>
        </is>
      </c>
    </row>
    <row r="19">
      <c r="A19" s="29" t="n">
        <v>45809</v>
      </c>
      <c r="B19" t="inlineStr">
        <is>
          <t>Actual</t>
        </is>
      </c>
      <c r="C19" s="16" t="n">
        <v>6.4434</v>
      </c>
      <c r="D19" s="16" t="n">
        <v>5.411233333333334</v>
      </c>
      <c r="E19" s="16" t="n">
        <v>0.2359</v>
      </c>
      <c r="F19" s="16" t="n">
        <v>0.419</v>
      </c>
      <c r="G19" s="16" t="n">
        <v>0.0062</v>
      </c>
      <c r="H19" s="16" t="n">
        <v>4.700261666666668</v>
      </c>
      <c r="I19" s="16" t="n">
        <v>3.446133333333333</v>
      </c>
      <c r="J19" s="16" t="n">
        <v>4.70049802436871</v>
      </c>
      <c r="K19" s="16" t="n">
        <v>0.1841198223123725</v>
      </c>
      <c r="L19" s="16" t="n">
        <v>0</v>
      </c>
      <c r="M19" s="16" t="n">
        <v>5.614308564415375</v>
      </c>
      <c r="N19" s="16" t="n">
        <v>0.2210148969748135</v>
      </c>
      <c r="O19" s="16" t="n">
        <v>0</v>
      </c>
      <c r="P19" s="16" t="n">
        <v>7.12995133092849</v>
      </c>
      <c r="Q19" s="16" t="n">
        <v>0.3369139093938803</v>
      </c>
      <c r="R19" s="16" t="n">
        <v>0</v>
      </c>
      <c r="S19" s="16" t="n">
        <v>20.66212833333333</v>
      </c>
      <c r="T19" s="16" t="n">
        <v>20.66212833333333</v>
      </c>
      <c r="U19" s="16" t="n">
        <v>20.66212833333333</v>
      </c>
      <c r="V19" s="16" t="n">
        <v>28.79030246552894</v>
      </c>
      <c r="W19" s="16" t="n">
        <v>28.79030246552894</v>
      </c>
      <c r="X19" s="16" t="n">
        <v>8.128174132195607</v>
      </c>
      <c r="Y19" s="16" t="n">
        <v>8.128174132195607</v>
      </c>
      <c r="Z19" s="16" t="n">
        <v>8.128174132195607</v>
      </c>
      <c r="AA19" s="16" t="n">
        <v>2.011666666666667</v>
      </c>
      <c r="AB19" s="16" t="n">
        <v>0.7972</v>
      </c>
      <c r="AC19" s="16" t="n">
        <v>29.58750246552894</v>
      </c>
      <c r="AD19" s="16" t="n">
        <v>29.58750246552894</v>
      </c>
      <c r="AE19" s="16" t="n">
        <v>6.91370746552894</v>
      </c>
      <c r="AF19" s="16" t="n">
        <v>6.91370746552894</v>
      </c>
      <c r="AG19" s="16" t="n">
        <v>6.91370746552894</v>
      </c>
      <c r="AH19" s="16" t="n">
        <v>29.5</v>
      </c>
      <c r="AI19" s="16" t="n">
        <v>27.44288166</v>
      </c>
      <c r="AJ19" t="inlineStr">
        <is>
          <t>10 of 17 sourced, 3 derived, 1 proxy, 3 assumption</t>
        </is>
      </c>
    </row>
    <row r="20">
      <c r="A20" s="29" t="n">
        <v>45839</v>
      </c>
      <c r="B20" t="inlineStr">
        <is>
          <t>Actual</t>
        </is>
      </c>
      <c r="C20" s="16" t="n">
        <v>7.139032258064516</v>
      </c>
      <c r="D20" s="16" t="n">
        <v>5.410709677419355</v>
      </c>
      <c r="E20" s="16" t="n">
        <v>0.2180645161290322</v>
      </c>
      <c r="F20" s="16" t="n">
        <v>0.4039032258064516</v>
      </c>
      <c r="G20" s="16" t="n">
        <v>0.006193548387096774</v>
      </c>
      <c r="H20" s="16" t="n">
        <v>4.49719935483871</v>
      </c>
      <c r="I20" s="16" t="n">
        <v>3.09458064516129</v>
      </c>
      <c r="J20" s="16" t="n">
        <v>4.773356165882403</v>
      </c>
      <c r="K20" s="16" t="n">
        <v>0.1869736960933986</v>
      </c>
      <c r="L20" s="16" t="n">
        <v>0</v>
      </c>
      <c r="M20" s="16" t="n">
        <v>5.839468462603512</v>
      </c>
      <c r="N20" s="16" t="n">
        <v>0.2298786227800396</v>
      </c>
      <c r="O20" s="16" t="n">
        <v>0</v>
      </c>
      <c r="P20" s="16" t="n">
        <v>7.607718356868814</v>
      </c>
      <c r="Q20" s="16" t="n">
        <v>0.3594899900735334</v>
      </c>
      <c r="R20" s="16" t="n">
        <v>0</v>
      </c>
      <c r="S20" s="16" t="n">
        <v>20.76968322580645</v>
      </c>
      <c r="T20" s="16" t="n">
        <v>20.76968322580645</v>
      </c>
      <c r="U20" s="16" t="n">
        <v>20.76968322580645</v>
      </c>
      <c r="V20" s="16" t="n">
        <v>29.17521868269277</v>
      </c>
      <c r="W20" s="16" t="n">
        <v>29.17521868269277</v>
      </c>
      <c r="X20" s="16" t="n">
        <v>8.405535456886316</v>
      </c>
      <c r="Y20" s="16" t="n">
        <v>8.405535456886316</v>
      </c>
      <c r="Z20" s="16" t="n">
        <v>8.405535456886316</v>
      </c>
      <c r="AA20" s="16" t="n">
        <v>1.676290322580645</v>
      </c>
      <c r="AB20" s="16" t="n">
        <v>1.450903225806452</v>
      </c>
      <c r="AC20" s="16" t="n">
        <v>30.62612190849922</v>
      </c>
      <c r="AD20" s="16" t="n">
        <v>30.62612190849922</v>
      </c>
      <c r="AE20" s="16" t="n">
        <v>8.180148360112124</v>
      </c>
      <c r="AF20" s="16" t="n">
        <v>8.180148360112124</v>
      </c>
      <c r="AG20" s="16" t="n">
        <v>8.180148360112124</v>
      </c>
      <c r="AH20" s="16" t="n">
        <v>29.5</v>
      </c>
      <c r="AI20" s="16" t="n">
        <v>28.10213521</v>
      </c>
      <c r="AJ20" t="inlineStr">
        <is>
          <t>10 of 17 sourced, 3 derived, 1 proxy, 3 assumption</t>
        </is>
      </c>
    </row>
    <row r="21">
      <c r="A21" s="29" t="n">
        <v>45870</v>
      </c>
      <c r="B21" t="inlineStr">
        <is>
          <t>Actual</t>
        </is>
      </c>
      <c r="C21" s="16" t="n">
        <v>7.713354838709678</v>
      </c>
      <c r="D21" s="16" t="n">
        <v>5.538838709677419</v>
      </c>
      <c r="E21" s="16" t="n">
        <v>0.1949677419354839</v>
      </c>
      <c r="F21" s="16" t="n">
        <v>0.383</v>
      </c>
      <c r="G21" s="16" t="n">
        <v>0.006193548387096774</v>
      </c>
      <c r="H21" s="16" t="n">
        <v>4.468156129032257</v>
      </c>
      <c r="I21" s="16" t="n">
        <v>3.350290322580645</v>
      </c>
      <c r="J21" s="16" t="n">
        <v>4.846214307396096</v>
      </c>
      <c r="K21" s="16" t="n">
        <v>0.1898275698744247</v>
      </c>
      <c r="L21" s="16" t="n">
        <v>0</v>
      </c>
      <c r="M21" s="16" t="n">
        <v>6.064628360791649</v>
      </c>
      <c r="N21" s="16" t="n">
        <v>0.2387423485852657</v>
      </c>
      <c r="O21" s="16" t="n">
        <v>0</v>
      </c>
      <c r="P21" s="16" t="n">
        <v>8.085485382809136</v>
      </c>
      <c r="Q21" s="16" t="n">
        <v>0.3820660707531865</v>
      </c>
      <c r="R21" s="16" t="n">
        <v>0</v>
      </c>
      <c r="S21" s="16" t="n">
        <v>21.65480129032258</v>
      </c>
      <c r="T21" s="16" t="n">
        <v>21.65480129032258</v>
      </c>
      <c r="U21" s="16" t="n">
        <v>21.65480129032258</v>
      </c>
      <c r="V21" s="16" t="n">
        <v>29.48895130800512</v>
      </c>
      <c r="W21" s="16" t="n">
        <v>29.48895130800512</v>
      </c>
      <c r="X21" s="16" t="n">
        <v>7.834150017682539</v>
      </c>
      <c r="Y21" s="16" t="n">
        <v>7.834150017682539</v>
      </c>
      <c r="Z21" s="16" t="n">
        <v>7.834150017682539</v>
      </c>
      <c r="AA21" s="16" t="n">
        <v>1.391838709677419</v>
      </c>
      <c r="AB21" s="16" t="n">
        <v>1.803870967741935</v>
      </c>
      <c r="AC21" s="16" t="n">
        <v>31.29282227574706</v>
      </c>
      <c r="AD21" s="16" t="n">
        <v>31.29282227574706</v>
      </c>
      <c r="AE21" s="16" t="n">
        <v>8.246182275747056</v>
      </c>
      <c r="AF21" s="16" t="n">
        <v>8.246182275747056</v>
      </c>
      <c r="AG21" s="16" t="n">
        <v>8.246182275747056</v>
      </c>
      <c r="AH21" s="16" t="n">
        <v>29.5</v>
      </c>
      <c r="AI21" s="16" t="n">
        <v>28.369864</v>
      </c>
      <c r="AJ21" t="inlineStr">
        <is>
          <t>10 of 17 sourced, 3 derived, 1 proxy, 3 assumption</t>
        </is>
      </c>
    </row>
    <row r="22">
      <c r="A22" s="29" t="n">
        <v>45901</v>
      </c>
      <c r="B22" t="inlineStr">
        <is>
          <t>Actual</t>
        </is>
      </c>
      <c r="C22" s="16" t="n">
        <v>6.913966666666666</v>
      </c>
      <c r="D22" s="16" t="n">
        <v>5.562266666666666</v>
      </c>
      <c r="E22" s="16" t="n">
        <v>0.1994</v>
      </c>
      <c r="F22" s="16" t="n">
        <v>0.3982666666666667</v>
      </c>
      <c r="G22" s="16" t="n">
        <v>0.0062</v>
      </c>
      <c r="H22" s="16" t="n">
        <v>4.724750333333333</v>
      </c>
      <c r="I22" s="16" t="n">
        <v>2.949933333333334</v>
      </c>
      <c r="J22" s="16" t="n">
        <v>4.919072448909789</v>
      </c>
      <c r="K22" s="16" t="n">
        <v>0.1926814436554508</v>
      </c>
      <c r="L22" s="16" t="n">
        <v>0</v>
      </c>
      <c r="M22" s="16" t="n">
        <v>6.289788258979785</v>
      </c>
      <c r="N22" s="16" t="n">
        <v>0.2476060743904919</v>
      </c>
      <c r="O22" s="16" t="n">
        <v>0</v>
      </c>
      <c r="P22" s="16" t="n">
        <v>8.563252408749459</v>
      </c>
      <c r="Q22" s="16" t="n">
        <v>0.4046421514328397</v>
      </c>
      <c r="R22" s="16" t="n">
        <v>0</v>
      </c>
      <c r="S22" s="16" t="n">
        <v>20.75478366666667</v>
      </c>
      <c r="T22" s="16" t="n">
        <v>20.75478366666667</v>
      </c>
      <c r="U22" s="16" t="n">
        <v>20.75478366666667</v>
      </c>
      <c r="V22" s="16" t="n">
        <v>29.45501958725445</v>
      </c>
      <c r="W22" s="16" t="n">
        <v>29.45501958725445</v>
      </c>
      <c r="X22" s="16" t="n">
        <v>8.700235920587783</v>
      </c>
      <c r="Y22" s="16" t="n">
        <v>8.700235920587783</v>
      </c>
      <c r="Z22" s="16" t="n">
        <v>8.700235920587783</v>
      </c>
      <c r="AA22" s="16" t="n">
        <v>1.689533333333333</v>
      </c>
      <c r="AB22" s="16" t="n">
        <v>1.2997</v>
      </c>
      <c r="AC22" s="16" t="n">
        <v>30.75471958725445</v>
      </c>
      <c r="AD22" s="16" t="n">
        <v>30.75471958725445</v>
      </c>
      <c r="AE22" s="16" t="n">
        <v>8.310402587254451</v>
      </c>
      <c r="AF22" s="16" t="n">
        <v>8.310402587254451</v>
      </c>
      <c r="AG22" s="16" t="n">
        <v>8.310402587254451</v>
      </c>
      <c r="AH22" s="16" t="n">
        <v>29.5</v>
      </c>
      <c r="AI22" s="16" t="n">
        <v>28.56749256</v>
      </c>
      <c r="AJ22" t="inlineStr">
        <is>
          <t>10 of 17 sourced, 3 derived, 1 proxy, 3 assumption</t>
        </is>
      </c>
    </row>
    <row r="23">
      <c r="A23" s="29" t="n">
        <v>45931</v>
      </c>
      <c r="B23" t="inlineStr">
        <is>
          <t>Actual</t>
        </is>
      </c>
      <c r="C23" s="16" t="n">
        <v>5.629225806451613</v>
      </c>
      <c r="D23" s="16" t="n">
        <v>5.351806451612903</v>
      </c>
      <c r="E23" s="16" t="n">
        <v>0.2535806451612903</v>
      </c>
      <c r="F23" s="16" t="n">
        <v>0.410258064516129</v>
      </c>
      <c r="G23" s="16" t="n">
        <v>0.006193548387096774</v>
      </c>
      <c r="H23" s="16" t="n">
        <v>5.143850645161292</v>
      </c>
      <c r="I23" s="16" t="n">
        <v>2.833483870967742</v>
      </c>
      <c r="J23" s="16" t="n">
        <v>4.991930590423482</v>
      </c>
      <c r="K23" s="16" t="n">
        <v>0.1955353174364769</v>
      </c>
      <c r="L23" s="16" t="n">
        <v>0</v>
      </c>
      <c r="M23" s="16" t="n">
        <v>6.514948157167922</v>
      </c>
      <c r="N23" s="16" t="n">
        <v>0.256469800195718</v>
      </c>
      <c r="O23" s="16" t="n">
        <v>0</v>
      </c>
      <c r="P23" s="16" t="n">
        <v>9.041019434689781</v>
      </c>
      <c r="Q23" s="16" t="n">
        <v>0.4272182321124928</v>
      </c>
      <c r="R23" s="16" t="n">
        <v>0</v>
      </c>
      <c r="S23" s="16" t="n">
        <v>19.62839903225807</v>
      </c>
      <c r="T23" s="16" t="n">
        <v>19.62839903225807</v>
      </c>
      <c r="U23" s="16" t="n">
        <v>19.62839903225807</v>
      </c>
      <c r="V23" s="16" t="n">
        <v>29.14146861697209</v>
      </c>
      <c r="W23" s="16" t="n">
        <v>29.14146861697209</v>
      </c>
      <c r="X23" s="16" t="n">
        <v>9.513069584714021</v>
      </c>
      <c r="Y23" s="16" t="n">
        <v>9.513069584714021</v>
      </c>
      <c r="Z23" s="16" t="n">
        <v>9.513069584714021</v>
      </c>
      <c r="AA23" s="16" t="n">
        <v>2.187</v>
      </c>
      <c r="AB23" s="16" t="n">
        <v>1.130225806451613</v>
      </c>
      <c r="AC23" s="16" t="n">
        <v>30.2716944234237</v>
      </c>
      <c r="AD23" s="16" t="n">
        <v>30.2716944234237</v>
      </c>
      <c r="AE23" s="16" t="n">
        <v>8.456295391165634</v>
      </c>
      <c r="AF23" s="16" t="n">
        <v>8.456295391165634</v>
      </c>
      <c r="AG23" s="16" t="n">
        <v>8.456295391165634</v>
      </c>
      <c r="AH23" s="16" t="n">
        <v>29.5</v>
      </c>
      <c r="AI23" s="16" t="n">
        <v>27.71589029</v>
      </c>
      <c r="AJ23" t="inlineStr">
        <is>
          <t>10 of 17 sourced, 3 derived, 1 proxy, 3 assumption</t>
        </is>
      </c>
    </row>
    <row r="24">
      <c r="A24" s="29" t="n">
        <v>45962</v>
      </c>
      <c r="B24" t="inlineStr">
        <is>
          <t>Actual</t>
        </is>
      </c>
      <c r="C24" s="16" t="n">
        <v>4.648733333333333</v>
      </c>
      <c r="D24" s="16" t="n">
        <v>5.8022</v>
      </c>
      <c r="E24" s="16" t="n">
        <v>0.4432</v>
      </c>
      <c r="F24" s="16" t="n">
        <v>0.5220333333333333</v>
      </c>
      <c r="G24" s="16" t="n">
        <v>0.0062</v>
      </c>
      <c r="H24" s="16" t="n">
        <v>5.420533666666667</v>
      </c>
      <c r="I24" s="16" t="n">
        <v>2.9201</v>
      </c>
      <c r="J24" s="16" t="n">
        <v>5.064788731937174</v>
      </c>
      <c r="K24" s="16" t="n">
        <v>0.198389191217503</v>
      </c>
      <c r="L24" s="16" t="n">
        <v>0</v>
      </c>
      <c r="M24" s="16" t="n">
        <v>6.74010805535606</v>
      </c>
      <c r="N24" s="16" t="n">
        <v>0.2653335260009441</v>
      </c>
      <c r="O24" s="16" t="n">
        <v>0</v>
      </c>
      <c r="P24" s="16" t="n">
        <v>9.518786460630103</v>
      </c>
      <c r="Q24" s="16" t="n">
        <v>0.4497943127921458</v>
      </c>
      <c r="R24" s="16" t="n">
        <v>0</v>
      </c>
      <c r="S24" s="16" t="n">
        <v>19.76300033333333</v>
      </c>
      <c r="T24" s="16" t="n">
        <v>19.76300033333333</v>
      </c>
      <c r="U24" s="16" t="n">
        <v>19.76300033333333</v>
      </c>
      <c r="V24" s="16" t="n">
        <v>29.76337540353552</v>
      </c>
      <c r="W24" s="16" t="n">
        <v>29.76337540353552</v>
      </c>
      <c r="X24" s="16" t="n">
        <v>10.00037507020219</v>
      </c>
      <c r="Y24" s="16" t="n">
        <v>10.00037507020219</v>
      </c>
      <c r="Z24" s="16" t="n">
        <v>10.00037507020219</v>
      </c>
      <c r="AA24" s="16" t="n">
        <v>2.081066666666667</v>
      </c>
      <c r="AB24" s="16" t="n">
        <v>1.227233333333333</v>
      </c>
      <c r="AC24" s="16" t="n">
        <v>30.99060873686885</v>
      </c>
      <c r="AD24" s="16" t="n">
        <v>30.99060873686885</v>
      </c>
      <c r="AE24" s="16" t="n">
        <v>9.146541736868853</v>
      </c>
      <c r="AF24" s="16" t="n">
        <v>9.146541736868853</v>
      </c>
      <c r="AG24" s="16" t="n">
        <v>9.146541736868853</v>
      </c>
      <c r="AH24" s="16" t="n">
        <v>29.5</v>
      </c>
      <c r="AI24" s="16" t="n">
        <v>28.67203573</v>
      </c>
      <c r="AJ24" t="inlineStr">
        <is>
          <t>10 of 17 sourced, 3 derived, 1 proxy, 3 assumption</t>
        </is>
      </c>
    </row>
    <row r="25">
      <c r="A25" s="29" t="n">
        <v>45992</v>
      </c>
      <c r="B25" t="inlineStr">
        <is>
          <t>Actual</t>
        </is>
      </c>
      <c r="C25" s="16" t="n">
        <v>4.848451612903226</v>
      </c>
      <c r="D25" s="16" t="n">
        <v>5.93</v>
      </c>
      <c r="E25" s="16" t="n">
        <v>0.9796451612903225</v>
      </c>
      <c r="F25" s="16" t="n">
        <v>0.6952903225806452</v>
      </c>
      <c r="G25" s="16" t="n">
        <v>0.006193548387096774</v>
      </c>
      <c r="H25" s="16" t="n">
        <v>5.626580000000001</v>
      </c>
      <c r="I25" s="16" t="n">
        <v>2.764451612903226</v>
      </c>
      <c r="J25" s="16" t="n">
        <v>5.137646873450867</v>
      </c>
      <c r="K25" s="16" t="n">
        <v>0.2012430649985291</v>
      </c>
      <c r="L25" s="16" t="n">
        <v>0</v>
      </c>
      <c r="M25" s="16" t="n">
        <v>6.965267953544197</v>
      </c>
      <c r="N25" s="16" t="n">
        <v>0.2741972518061702</v>
      </c>
      <c r="O25" s="16" t="n">
        <v>0</v>
      </c>
      <c r="P25" s="16" t="n">
        <v>9.996553486570427</v>
      </c>
      <c r="Q25" s="16" t="n">
        <v>0.4723703934717989</v>
      </c>
      <c r="R25" s="16" t="n">
        <v>0</v>
      </c>
      <c r="S25" s="16" t="n">
        <v>20.85061225806452</v>
      </c>
      <c r="T25" s="16" t="n">
        <v>20.85061225806452</v>
      </c>
      <c r="U25" s="16" t="n">
        <v>20.85061225806452</v>
      </c>
      <c r="V25" s="16" t="n">
        <v>30.07883555019745</v>
      </c>
      <c r="W25" s="16" t="n">
        <v>30.07883555019745</v>
      </c>
      <c r="X25" s="16" t="n">
        <v>9.228223292132931</v>
      </c>
      <c r="Y25" s="16" t="n">
        <v>9.228223292132931</v>
      </c>
      <c r="Z25" s="16" t="n">
        <v>9.228223292132931</v>
      </c>
      <c r="AA25" s="16" t="n">
        <v>1.341290322580645</v>
      </c>
      <c r="AB25" s="16" t="n">
        <v>3.165806451612903</v>
      </c>
      <c r="AC25" s="16" t="n">
        <v>33.24464200181036</v>
      </c>
      <c r="AD25" s="16" t="n">
        <v>33.24464200181036</v>
      </c>
      <c r="AE25" s="16" t="n">
        <v>11.05273942116519</v>
      </c>
      <c r="AF25" s="16" t="n">
        <v>11.05273942116519</v>
      </c>
      <c r="AG25" s="16" t="n">
        <v>11.05273942116519</v>
      </c>
      <c r="AH25" s="16" t="n">
        <v>29.5</v>
      </c>
      <c r="AI25" s="16" t="n">
        <v>28.95910602</v>
      </c>
      <c r="AJ25" t="inlineStr">
        <is>
          <t>10 of 17 sourced, 3 derived, 1 proxy, 3 assumption</t>
        </is>
      </c>
    </row>
    <row r="26">
      <c r="A26" s="29" t="n">
        <v>46023</v>
      </c>
      <c r="B26" t="inlineStr">
        <is>
          <t>Actual</t>
        </is>
      </c>
      <c r="C26" s="16" t="n">
        <v>5.437354838709677</v>
      </c>
      <c r="D26" s="16" t="n">
        <v>5.787548387096774</v>
      </c>
      <c r="E26" s="16" t="n">
        <v>1.498</v>
      </c>
      <c r="F26" s="16" t="n">
        <v>0.921258064516129</v>
      </c>
      <c r="G26" s="16" t="n">
        <v>0.006193548387096774</v>
      </c>
      <c r="H26" s="16" t="n">
        <v>5.1775</v>
      </c>
      <c r="I26" s="16" t="n">
        <v>2.873354838709677</v>
      </c>
      <c r="J26" s="16" t="n">
        <v>5.21050501496456</v>
      </c>
      <c r="K26" s="16" t="n">
        <v>0.2040969387795551</v>
      </c>
      <c r="L26" s="16" t="n">
        <v>0</v>
      </c>
      <c r="M26" s="16" t="n">
        <v>7.190427851732333</v>
      </c>
      <c r="N26" s="16" t="n">
        <v>0.2830609776113963</v>
      </c>
      <c r="O26" s="16" t="n">
        <v>0</v>
      </c>
      <c r="P26" s="16" t="n">
        <v>10.47432051251075</v>
      </c>
      <c r="Q26" s="16" t="n">
        <v>0.494946474151452</v>
      </c>
      <c r="R26" s="16" t="n">
        <v>0</v>
      </c>
      <c r="S26" s="16" t="n">
        <v>21.70120967741935</v>
      </c>
      <c r="T26" s="16" t="n">
        <v>21.70120967741935</v>
      </c>
      <c r="U26" s="16" t="n">
        <v>21.70120967741935</v>
      </c>
      <c r="V26" s="16" t="n">
        <v>29.03649539097756</v>
      </c>
      <c r="W26" s="16" t="n">
        <v>29.03649539097756</v>
      </c>
      <c r="X26" s="16" t="n">
        <v>7.335285713558207</v>
      </c>
      <c r="Y26" s="16" t="n">
        <v>7.335285713558207</v>
      </c>
      <c r="Z26" s="16" t="n">
        <v>7.335285713558207</v>
      </c>
      <c r="AA26" s="16" t="n">
        <v>1.035096774193548</v>
      </c>
      <c r="AB26" s="16" t="n">
        <v>4.671580645161291</v>
      </c>
      <c r="AC26" s="16" t="n">
        <v>33.70807603613885</v>
      </c>
      <c r="AD26" s="16" t="n">
        <v>33.70807603613885</v>
      </c>
      <c r="AE26" s="16" t="n">
        <v>10.97176958452595</v>
      </c>
      <c r="AF26" s="16" t="n">
        <v>10.97176958452595</v>
      </c>
      <c r="AG26" s="16" t="n">
        <v>10.97176958452595</v>
      </c>
      <c r="AH26" s="16" t="n">
        <v>29.5</v>
      </c>
      <c r="AI26" s="16" t="n">
        <v>27.5530688</v>
      </c>
      <c r="AJ26" t="inlineStr">
        <is>
          <t>10 of 17 sourced, 3 derived, 1 proxy, 3 assumption</t>
        </is>
      </c>
    </row>
    <row r="27">
      <c r="A27" s="29" t="n">
        <v>46054</v>
      </c>
      <c r="B27" t="inlineStr">
        <is>
          <t>Actual</t>
        </is>
      </c>
      <c r="C27" s="16" t="n">
        <v>4.554392857142857</v>
      </c>
      <c r="D27" s="16" t="n">
        <v>5.705857142857143</v>
      </c>
      <c r="E27" s="16" t="n">
        <v>1.006357142857143</v>
      </c>
      <c r="F27" s="16" t="n">
        <v>0.6013214285714286</v>
      </c>
      <c r="G27" s="16" t="n">
        <v>0.006214285714285715</v>
      </c>
      <c r="H27" s="16" t="n">
        <v>5.757808214285714</v>
      </c>
      <c r="I27" s="16" t="n">
        <v>2.989107142857143</v>
      </c>
      <c r="J27" s="16" t="n">
        <v>5.283363156478252</v>
      </c>
      <c r="K27" s="16" t="n">
        <v>0.2069508125605812</v>
      </c>
      <c r="L27" s="16" t="n">
        <v>0</v>
      </c>
      <c r="M27" s="16" t="n">
        <v>7.41558774992047</v>
      </c>
      <c r="N27" s="16" t="n">
        <v>0.2919247034166225</v>
      </c>
      <c r="O27" s="16" t="n">
        <v>0</v>
      </c>
      <c r="P27" s="16" t="n">
        <v>10.95208753845107</v>
      </c>
      <c r="Q27" s="16" t="n">
        <v>0.5175225548311051</v>
      </c>
      <c r="R27" s="16" t="n">
        <v>0</v>
      </c>
      <c r="S27" s="16" t="n">
        <v>20.62105821428571</v>
      </c>
      <c r="T27" s="16" t="n">
        <v>20.62105821428571</v>
      </c>
      <c r="U27" s="16" t="n">
        <v>20.62105821428571</v>
      </c>
      <c r="V27" s="16" t="n">
        <v>29.89721649149912</v>
      </c>
      <c r="W27" s="16" t="n">
        <v>29.89721649149912</v>
      </c>
      <c r="X27" s="16" t="n">
        <v>9.276158277213405</v>
      </c>
      <c r="Y27" s="16" t="n">
        <v>9.276158277213405</v>
      </c>
      <c r="Z27" s="16" t="n">
        <v>9.276158277213405</v>
      </c>
      <c r="AA27" s="16" t="n">
        <v>1.613321428571429</v>
      </c>
      <c r="AB27" s="16" t="n">
        <v>2.895678571428572</v>
      </c>
      <c r="AC27" s="16" t="n">
        <v>32.79289506292769</v>
      </c>
      <c r="AD27" s="16" t="n">
        <v>32.79289506292769</v>
      </c>
      <c r="AE27" s="16" t="n">
        <v>10.55851542007055</v>
      </c>
      <c r="AF27" s="16" t="n">
        <v>10.55851542007055</v>
      </c>
      <c r="AG27" s="16" t="n">
        <v>10.55851542007055</v>
      </c>
      <c r="AH27" s="16" t="n">
        <v>29.5</v>
      </c>
      <c r="AI27" s="16" t="n">
        <v>28.88916257</v>
      </c>
      <c r="AJ27" t="inlineStr">
        <is>
          <t>10 of 17 sourced, 3 derived, 1 proxy, 3 assumption</t>
        </is>
      </c>
    </row>
    <row r="28">
      <c r="A28" s="29" t="n">
        <v>46082</v>
      </c>
      <c r="B28" t="inlineStr">
        <is>
          <t>Actual</t>
        </is>
      </c>
      <c r="C28" s="16" t="n">
        <v>4.129</v>
      </c>
      <c r="D28" s="16" t="n">
        <v>5.653225806451613</v>
      </c>
      <c r="E28" s="16" t="n">
        <v>0.5390967741935484</v>
      </c>
      <c r="F28" s="16" t="n">
        <v>0.5518387096774194</v>
      </c>
      <c r="G28" s="16" t="n">
        <v>0.006193548387096774</v>
      </c>
      <c r="H28" s="16" t="n">
        <v>5.815642258064516</v>
      </c>
      <c r="I28" s="16" t="n">
        <v>2.768580645161291</v>
      </c>
      <c r="J28" s="16" t="n">
        <v>5.356221297991945</v>
      </c>
      <c r="K28" s="16" t="n">
        <v>0.2098046863416073</v>
      </c>
      <c r="L28" s="16" t="n">
        <v>0</v>
      </c>
      <c r="M28" s="16" t="n">
        <v>7.640747648108607</v>
      </c>
      <c r="N28" s="16" t="n">
        <v>0.3007884292218486</v>
      </c>
      <c r="O28" s="16" t="n">
        <v>0</v>
      </c>
      <c r="P28" s="16" t="n">
        <v>11.42985456439139</v>
      </c>
      <c r="Q28" s="16" t="n">
        <v>0.5400986355107582</v>
      </c>
      <c r="R28" s="16" t="n">
        <v>0</v>
      </c>
      <c r="S28" s="16" t="n">
        <v>19.46357774193548</v>
      </c>
      <c r="T28" s="16" t="n">
        <v>19.46357774193548</v>
      </c>
      <c r="U28" s="16" t="n">
        <v>19.46357774193548</v>
      </c>
      <c r="V28" s="16" t="n">
        <v>30.04411425956394</v>
      </c>
      <c r="W28" s="16" t="n">
        <v>30.04411425956394</v>
      </c>
      <c r="X28" s="16" t="n">
        <v>10.58053651762846</v>
      </c>
      <c r="Y28" s="16" t="n">
        <v>10.58053651762846</v>
      </c>
      <c r="Z28" s="16" t="n">
        <v>10.58053651762846</v>
      </c>
      <c r="AA28" s="16" t="n">
        <v>2.199451612903226</v>
      </c>
      <c r="AB28" s="16" t="n">
        <v>1.184516129032258</v>
      </c>
      <c r="AC28" s="16" t="n">
        <v>31.2286303885962</v>
      </c>
      <c r="AD28" s="16" t="n">
        <v>31.2286303885962</v>
      </c>
      <c r="AE28" s="16" t="n">
        <v>9.565601033757488</v>
      </c>
      <c r="AF28" s="16" t="n">
        <v>9.565601033757488</v>
      </c>
      <c r="AG28" s="16" t="n">
        <v>9.565601033757488</v>
      </c>
      <c r="AH28" s="16" t="n">
        <v>29.5</v>
      </c>
      <c r="AI28" s="16" t="n">
        <v>28.82263279</v>
      </c>
      <c r="AJ28" t="inlineStr">
        <is>
          <t>10 of 17 sourced, 3 derived, 1 proxy, 3 assumption</t>
        </is>
      </c>
    </row>
    <row r="29">
      <c r="A29" s="29" t="n">
        <v>46113</v>
      </c>
      <c r="B29" t="inlineStr">
        <is>
          <t>Actual</t>
        </is>
      </c>
      <c r="C29" s="16" t="n">
        <v>4.808033333333333</v>
      </c>
      <c r="D29" s="16" t="n">
        <v>5.719533333333334</v>
      </c>
      <c r="E29" s="16" t="n">
        <v>0.3398</v>
      </c>
      <c r="F29" s="16" t="n">
        <v>0.4702333333333333</v>
      </c>
      <c r="G29" s="16" t="n">
        <v>0.0062</v>
      </c>
      <c r="H29" s="16" t="n">
        <v>5.796038666666668</v>
      </c>
      <c r="I29" s="16" t="n">
        <v>2.837666666666667</v>
      </c>
      <c r="J29" s="16" t="n">
        <v>5.429079439505638</v>
      </c>
      <c r="K29" s="16" t="n">
        <v>0.2126585601226334</v>
      </c>
      <c r="L29" s="16" t="n">
        <v>0</v>
      </c>
      <c r="M29" s="16" t="n">
        <v>7.865907546296744</v>
      </c>
      <c r="N29" s="16" t="n">
        <v>0.3096521550270747</v>
      </c>
      <c r="O29" s="16" t="n">
        <v>0</v>
      </c>
      <c r="P29" s="16" t="n">
        <v>11.90762159033172</v>
      </c>
      <c r="Q29" s="16" t="n">
        <v>0.5626747161904113</v>
      </c>
      <c r="R29" s="16" t="n">
        <v>0</v>
      </c>
      <c r="S29" s="16" t="n">
        <v>19.97750533333334</v>
      </c>
      <c r="T29" s="16" t="n">
        <v>19.97750533333334</v>
      </c>
      <c r="U29" s="16" t="n">
        <v>19.97750533333334</v>
      </c>
      <c r="V29" s="16" t="n">
        <v>30.27805446331141</v>
      </c>
      <c r="W29" s="16" t="n">
        <v>30.27805446331141</v>
      </c>
      <c r="X29" s="16" t="n">
        <v>10.30054912997807</v>
      </c>
      <c r="Y29" s="16" t="n">
        <v>10.30054912997807</v>
      </c>
      <c r="Z29" s="16" t="n">
        <v>10.30054912997807</v>
      </c>
      <c r="AA29" s="16" t="n">
        <v>2.0877</v>
      </c>
      <c r="AB29" s="16" t="n">
        <v>1.130866666666666</v>
      </c>
      <c r="AC29" s="16" t="n">
        <v>31.40892112997808</v>
      </c>
      <c r="AD29" s="16" t="n">
        <v>31.40892112997808</v>
      </c>
      <c r="AE29" s="16" t="n">
        <v>9.343715796644739</v>
      </c>
      <c r="AF29" s="16" t="n">
        <v>9.343715796644739</v>
      </c>
      <c r="AG29" s="16" t="n">
        <v>9.343715796644739</v>
      </c>
      <c r="AH29" s="16" t="n">
        <v>29.5</v>
      </c>
      <c r="AI29" s="16" t="n">
        <v>28.8747526</v>
      </c>
      <c r="AJ29" t="inlineStr">
        <is>
          <t>10 of 17 sourced, 3 derived, 1 proxy, 3 assumption</t>
        </is>
      </c>
    </row>
    <row r="30">
      <c r="A30" s="29" t="n">
        <v>46143</v>
      </c>
      <c r="B30" t="inlineStr">
        <is>
          <t>Actual</t>
        </is>
      </c>
      <c r="C30" s="16" t="n">
        <v>5.746419354838709</v>
      </c>
      <c r="D30" s="16" t="n">
        <v>5.633806451612903</v>
      </c>
      <c r="E30" s="16" t="n">
        <v>0.2309032258064516</v>
      </c>
      <c r="F30" s="16" t="n">
        <v>0.3834838709677419</v>
      </c>
      <c r="G30" s="16" t="n">
        <v>0.006193548387096774</v>
      </c>
      <c r="H30" s="16" t="n">
        <v>5.236957741935484</v>
      </c>
      <c r="I30" s="16" t="n">
        <v>3.316451612903226</v>
      </c>
      <c r="J30" s="16" t="n">
        <v>5.50193758101933</v>
      </c>
      <c r="K30" s="16" t="n">
        <v>0.2155124339036595</v>
      </c>
      <c r="L30" s="16" t="n">
        <v>0</v>
      </c>
      <c r="M30" s="16" t="n">
        <v>8.091067444484882</v>
      </c>
      <c r="N30" s="16" t="n">
        <v>0.3185158808323008</v>
      </c>
      <c r="O30" s="16" t="n">
        <v>0</v>
      </c>
      <c r="P30" s="16" t="n">
        <v>12.38538861627204</v>
      </c>
      <c r="Q30" s="16" t="n">
        <v>0.5852507968700644</v>
      </c>
      <c r="R30" s="16" t="n">
        <v>0</v>
      </c>
      <c r="S30" s="16" t="n">
        <v>20.55421580645161</v>
      </c>
      <c r="T30" s="16" t="n">
        <v>20.55421580645161</v>
      </c>
      <c r="U30" s="16" t="n">
        <v>20.55421580645161</v>
      </c>
      <c r="V30" s="16" t="n">
        <v>30.03561604157672</v>
      </c>
      <c r="W30" s="16" t="n">
        <v>30.03561604157672</v>
      </c>
      <c r="X30" s="16" t="n">
        <v>9.481400235125108</v>
      </c>
      <c r="Y30" s="16" t="n">
        <v>9.481400235125108</v>
      </c>
      <c r="Z30" s="16" t="n">
        <v>9.481400235125108</v>
      </c>
      <c r="AA30" s="16" t="n">
        <v>2.190806451612903</v>
      </c>
      <c r="AB30" s="16" t="n">
        <v>1.282838709677419</v>
      </c>
      <c r="AC30" s="16" t="n">
        <v>31.31845475125414</v>
      </c>
      <c r="AD30" s="16" t="n">
        <v>31.31845475125414</v>
      </c>
      <c r="AE30" s="16" t="n">
        <v>8.573432493189625</v>
      </c>
      <c r="AF30" s="16" t="n">
        <v>8.573432493189625</v>
      </c>
      <c r="AG30" s="16" t="n">
        <v>8.573432493189625</v>
      </c>
      <c r="AH30" s="16" t="n">
        <v>29.5</v>
      </c>
      <c r="AI30" s="16" t="n">
        <v>28.8487544</v>
      </c>
      <c r="AJ30" t="inlineStr">
        <is>
          <t>10 of 17 sourced, 3 derived, 1 proxy, 3 assumption</t>
        </is>
      </c>
    </row>
    <row r="31">
      <c r="A31" s="29" t="n">
        <v>46174</v>
      </c>
      <c r="B31" t="inlineStr">
        <is>
          <t>Actual</t>
        </is>
      </c>
      <c r="C31" s="16" t="n">
        <v>6.806066666666666</v>
      </c>
      <c r="D31" s="16" t="n">
        <v>5.6723</v>
      </c>
      <c r="E31" s="16" t="n">
        <v>0.2417</v>
      </c>
      <c r="F31" s="16" t="n">
        <v>0.4054</v>
      </c>
      <c r="G31" s="16" t="n">
        <v>0.0062</v>
      </c>
      <c r="H31" s="16" t="n">
        <v>5.555875333333335</v>
      </c>
      <c r="I31" s="16" t="n">
        <v>3.3545</v>
      </c>
      <c r="J31" s="16" t="n">
        <v>5.574795722533024</v>
      </c>
      <c r="K31" s="16" t="n">
        <v>0.2183663076846856</v>
      </c>
      <c r="L31" s="16" t="n">
        <v>0</v>
      </c>
      <c r="M31" s="16" t="n">
        <v>8.316227342673018</v>
      </c>
      <c r="N31" s="16" t="n">
        <v>0.327379606637527</v>
      </c>
      <c r="O31" s="16" t="n">
        <v>0</v>
      </c>
      <c r="P31" s="16" t="n">
        <v>12.86315564221236</v>
      </c>
      <c r="Q31" s="16" t="n">
        <v>0.6078268775497175</v>
      </c>
      <c r="R31" s="16" t="n">
        <v>0</v>
      </c>
      <c r="S31" s="16" t="n">
        <v>22.042042</v>
      </c>
      <c r="T31" s="16" t="n">
        <v>22.042042</v>
      </c>
      <c r="U31" s="16" t="n">
        <v>22.042042</v>
      </c>
      <c r="V31" s="16" t="n">
        <v>30.44816450679276</v>
      </c>
      <c r="W31" s="16" t="n">
        <v>30.44816450679276</v>
      </c>
      <c r="X31" s="16" t="n">
        <v>8.406122506792759</v>
      </c>
      <c r="Y31" s="16" t="n">
        <v>8.406122506792759</v>
      </c>
      <c r="Z31" s="16" t="n">
        <v>8.406122506792759</v>
      </c>
      <c r="AA31" s="16" t="n">
        <v>1.944366666666667</v>
      </c>
      <c r="AB31" s="16" t="n">
        <v>1.320233333333333</v>
      </c>
      <c r="AC31" s="16" t="n">
        <v>31.7683978401261</v>
      </c>
      <c r="AD31" s="16" t="n">
        <v>31.7683978401261</v>
      </c>
      <c r="AE31" s="16" t="n">
        <v>7.781989173459427</v>
      </c>
      <c r="AF31" s="16" t="n">
        <v>7.781989173459427</v>
      </c>
      <c r="AG31" s="16" t="n">
        <v>7.781989173459427</v>
      </c>
      <c r="AH31" s="16" t="n">
        <v>29.5</v>
      </c>
      <c r="AI31" s="16" t="n">
        <v>29.35056375</v>
      </c>
      <c r="AJ31" t="inlineStr">
        <is>
          <t>10 of 17 sourced, 3 derived, 1 proxy, 3 assumption</t>
        </is>
      </c>
    </row>
    <row r="32">
      <c r="A32" s="29" t="n">
        <v>46204</v>
      </c>
      <c r="B32" t="inlineStr">
        <is>
          <t>Actual</t>
        </is>
      </c>
      <c r="C32" s="16" t="n">
        <v>7.621806451612904</v>
      </c>
      <c r="D32" s="16" t="n">
        <v>5.519354838709677</v>
      </c>
      <c r="E32" s="16" t="n">
        <v>0.2176451612903226</v>
      </c>
      <c r="F32" s="16" t="n">
        <v>0.3741290322580645</v>
      </c>
      <c r="G32" s="16" t="n">
        <v>0.006193548387096774</v>
      </c>
      <c r="H32" s="16" t="n">
        <v>5.482489032258066</v>
      </c>
      <c r="I32" s="16" t="n">
        <v>3.236774193548387</v>
      </c>
      <c r="J32" s="16" t="n">
        <v>5.647653864046716</v>
      </c>
      <c r="K32" s="16" t="n">
        <v>0.2212201814657117</v>
      </c>
      <c r="L32" s="16" t="n">
        <v>0</v>
      </c>
      <c r="M32" s="16" t="n">
        <v>8.541387240861155</v>
      </c>
      <c r="N32" s="16" t="n">
        <v>0.3362433324427531</v>
      </c>
      <c r="O32" s="16" t="n">
        <v>0</v>
      </c>
      <c r="P32" s="16" t="n">
        <v>13.34092266815269</v>
      </c>
      <c r="Q32" s="16" t="n">
        <v>0.6304029582293706</v>
      </c>
      <c r="R32" s="16" t="n">
        <v>0</v>
      </c>
      <c r="S32" s="16" t="n">
        <v>22.45839225806452</v>
      </c>
      <c r="T32" s="16" t="n">
        <v>22.45839225806452</v>
      </c>
      <c r="U32" s="16" t="n">
        <v>22.45839225806452</v>
      </c>
      <c r="V32" s="16" t="n">
        <v>31.2355644213723</v>
      </c>
      <c r="W32" s="16" t="n">
        <v>31.2355644213723</v>
      </c>
      <c r="X32" s="16" t="n">
        <v>8.777172163307782</v>
      </c>
      <c r="Y32" s="16" t="n">
        <v>8.777172163307782</v>
      </c>
      <c r="Z32" s="16" t="n">
        <v>8.777172163307782</v>
      </c>
      <c r="AA32" s="16" t="n">
        <v>1.523032258064516</v>
      </c>
      <c r="AB32" s="16" t="n">
        <v>1.442483870967742</v>
      </c>
      <c r="AC32" s="16" t="n">
        <v>32.67804829234004</v>
      </c>
      <c r="AD32" s="16" t="n">
        <v>32.67804829234004</v>
      </c>
      <c r="AE32" s="16" t="n">
        <v>8.696623776211011</v>
      </c>
      <c r="AF32" s="16" t="n">
        <v>8.696623776211011</v>
      </c>
      <c r="AG32" s="16" t="n">
        <v>8.696623776211011</v>
      </c>
      <c r="AH32" s="16" t="n">
        <v>30.07</v>
      </c>
      <c r="AI32" s="16" t="n">
        <v>30.38478184</v>
      </c>
      <c r="AJ32" t="inlineStr">
        <is>
          <t>10 of 17 sourced, 3 derived, 1 proxy, 3 assumption</t>
        </is>
      </c>
    </row>
    <row r="33">
      <c r="A33" s="29" t="n">
        <v>46235</v>
      </c>
      <c r="B33" t="inlineStr">
        <is>
          <t>Forecast</t>
        </is>
      </c>
      <c r="C33" s="16" t="n">
        <v>8.226357563120109</v>
      </c>
      <c r="D33" s="16" t="n">
        <v>5.621485403354847</v>
      </c>
      <c r="E33" s="16" t="n">
        <v>0.1779486860462227</v>
      </c>
      <c r="F33" s="16" t="n">
        <v>0.3609947179446857</v>
      </c>
      <c r="G33" s="16" t="n">
        <v>0.005248137433832125</v>
      </c>
      <c r="H33" s="16" t="n">
        <v>5.887831766063428</v>
      </c>
      <c r="I33" s="16" t="n">
        <v>3.173172980830327</v>
      </c>
      <c r="J33" s="16" t="n">
        <v>5.720512005560408</v>
      </c>
      <c r="K33" s="16" t="n">
        <v>0.2240740552467378</v>
      </c>
      <c r="L33" s="16" t="n">
        <v>0.002853873781026084</v>
      </c>
      <c r="M33" s="16" t="n">
        <v>8.766547139049292</v>
      </c>
      <c r="N33" s="16" t="n">
        <v>0.3451070582479792</v>
      </c>
      <c r="O33" s="16" t="n">
        <v>0.008863725805226097</v>
      </c>
      <c r="P33" s="16" t="n">
        <v>13.81868969409301</v>
      </c>
      <c r="Q33" s="16" t="n">
        <v>0.6529790389090238</v>
      </c>
      <c r="R33" s="16" t="n">
        <v>0.02257608067965311</v>
      </c>
      <c r="S33" s="16" t="n">
        <v>23.45589312857448</v>
      </c>
      <c r="T33" s="16" t="n">
        <v>23.46190298059868</v>
      </c>
      <c r="U33" s="16" t="n">
        <v>23.4756153354731</v>
      </c>
      <c r="V33" s="16" t="n">
        <v>31.28109757745621</v>
      </c>
      <c r="W33" s="16" t="n">
        <v>30.87589445028458</v>
      </c>
      <c r="X33" s="16" t="n">
        <v>7.825204448881731</v>
      </c>
      <c r="Y33" s="16" t="n">
        <v>7.819194596857528</v>
      </c>
      <c r="Z33" s="16" t="n">
        <v>7.805482241983103</v>
      </c>
      <c r="AA33" s="16" t="n">
        <v>1.741763440860215</v>
      </c>
      <c r="AB33" s="16" t="n">
        <v>2.883548387096774</v>
      </c>
      <c r="AC33" s="16" t="n">
        <v>34.16464596455298</v>
      </c>
      <c r="AD33" s="16" t="n">
        <v>33.75944283738135</v>
      </c>
      <c r="AE33" s="16" t="n">
        <v>8.96698939511829</v>
      </c>
      <c r="AF33" s="16" t="n">
        <v>8.960979543094087</v>
      </c>
      <c r="AG33" s="16" t="n">
        <v>8.947267188219662</v>
      </c>
      <c r="AH33" s="16" t="n">
        <v>30.07</v>
      </c>
      <c r="AI33" s="16" t="n">
        <v>30.07051295</v>
      </c>
      <c r="AJ33" t="inlineStr">
        <is>
          <t>10 of 17 sourced, 3 derived, 1 proxy, 3 assumption</t>
        </is>
      </c>
    </row>
    <row r="34">
      <c r="A34" s="29" t="n">
        <v>46266</v>
      </c>
      <c r="B34" t="inlineStr">
        <is>
          <t>Forecast</t>
        </is>
      </c>
      <c r="C34" s="16" t="n">
        <v>6.972881215060556</v>
      </c>
      <c r="D34" s="16" t="n">
        <v>5.596456138285548</v>
      </c>
      <c r="E34" s="16" t="n">
        <v>0.175046874031219</v>
      </c>
      <c r="F34" s="16" t="n">
        <v>0.3698039882017338</v>
      </c>
      <c r="G34" s="16" t="n">
        <v>0.005225411877332316</v>
      </c>
      <c r="H34" s="16" t="n">
        <v>6.196107924570369</v>
      </c>
      <c r="I34" s="16" t="n">
        <v>2.987072935842461</v>
      </c>
      <c r="J34" s="16" t="n">
        <v>5.793370147074101</v>
      </c>
      <c r="K34" s="16" t="n">
        <v>0.2269279290277638</v>
      </c>
      <c r="L34" s="16" t="n">
        <v>0.005707747562052168</v>
      </c>
      <c r="M34" s="16" t="n">
        <v>8.991707037237429</v>
      </c>
      <c r="N34" s="16" t="n">
        <v>0.3539707840532053</v>
      </c>
      <c r="O34" s="16" t="n">
        <v>0.01772745161045225</v>
      </c>
      <c r="P34" s="16" t="n">
        <v>14.29645672003333</v>
      </c>
      <c r="Q34" s="16" t="n">
        <v>0.6755551195886769</v>
      </c>
      <c r="R34" s="16" t="n">
        <v>0.04515216135930622</v>
      </c>
      <c r="S34" s="16" t="n">
        <v>22.30830223543127</v>
      </c>
      <c r="T34" s="16" t="n">
        <v>22.32032193947967</v>
      </c>
      <c r="U34" s="16" t="n">
        <v>22.34774664922852</v>
      </c>
      <c r="V34" s="16" t="n">
        <v>31.31724698954871</v>
      </c>
      <c r="W34" s="16" t="n">
        <v>30.91204386237709</v>
      </c>
      <c r="X34" s="16" t="n">
        <v>9.008944754117444</v>
      </c>
      <c r="Y34" s="16" t="n">
        <v>8.996925050069045</v>
      </c>
      <c r="Z34" s="16" t="n">
        <v>8.969500340320192</v>
      </c>
      <c r="AA34" s="16" t="n">
        <v>2.412133333333333</v>
      </c>
      <c r="AB34" s="16" t="n">
        <v>2.104855555555555</v>
      </c>
      <c r="AC34" s="16" t="n">
        <v>33.42210254510427</v>
      </c>
      <c r="AD34" s="16" t="n">
        <v>33.01689941793264</v>
      </c>
      <c r="AE34" s="16" t="n">
        <v>8.701666976339666</v>
      </c>
      <c r="AF34" s="16" t="n">
        <v>8.689647272291268</v>
      </c>
      <c r="AG34" s="16" t="n">
        <v>8.662222562542414</v>
      </c>
      <c r="AH34" s="16" t="n">
        <v>30.07</v>
      </c>
      <c r="AI34" s="16" t="n">
        <v>30.20514606</v>
      </c>
      <c r="AJ34" t="inlineStr">
        <is>
          <t>10 of 17 sourced, 3 derived, 1 proxy, 3 assumption</t>
        </is>
      </c>
    </row>
    <row r="35">
      <c r="A35" s="29" t="n">
        <v>46296</v>
      </c>
      <c r="B35" t="inlineStr">
        <is>
          <t>Forecast</t>
        </is>
      </c>
      <c r="C35" s="16" t="n">
        <v>5.479411440179787</v>
      </c>
      <c r="D35" s="16" t="n">
        <v>5.449022447701622</v>
      </c>
      <c r="E35" s="16" t="n">
        <v>0.2429498514645628</v>
      </c>
      <c r="F35" s="16" t="n">
        <v>0.4048979509691186</v>
      </c>
      <c r="G35" s="16" t="n">
        <v>0.005221562593783915</v>
      </c>
      <c r="H35" s="16" t="n">
        <v>6.396777187440785</v>
      </c>
      <c r="I35" s="16" t="n">
        <v>2.849358403364501</v>
      </c>
      <c r="J35" s="16" t="n">
        <v>5.866228288587793</v>
      </c>
      <c r="K35" s="16" t="n">
        <v>0.2297818028087899</v>
      </c>
      <c r="L35" s="16" t="n">
        <v>0.008561621343078252</v>
      </c>
      <c r="M35" s="16" t="n">
        <v>9.216866935425566</v>
      </c>
      <c r="N35" s="16" t="n">
        <v>0.3628345098584314</v>
      </c>
      <c r="O35" s="16" t="n">
        <v>0.02659117741567835</v>
      </c>
      <c r="P35" s="16" t="n">
        <v>14.77422374597366</v>
      </c>
      <c r="Q35" s="16" t="n">
        <v>0.6981312002683299</v>
      </c>
      <c r="R35" s="16" t="n">
        <v>0.06772824203895922</v>
      </c>
      <c r="S35" s="16" t="n">
        <v>20.83620046505724</v>
      </c>
      <c r="T35" s="16" t="n">
        <v>20.85423002112984</v>
      </c>
      <c r="U35" s="16" t="n">
        <v>20.89536708575312</v>
      </c>
      <c r="V35" s="16" t="n">
        <v>31.53641690756494</v>
      </c>
      <c r="W35" s="16" t="n">
        <v>30.94471932546564</v>
      </c>
      <c r="X35" s="16" t="n">
        <v>10.70021644250771</v>
      </c>
      <c r="Y35" s="16" t="n">
        <v>10.6821868864351</v>
      </c>
      <c r="Z35" s="16" t="n">
        <v>10.64104982181182</v>
      </c>
      <c r="AA35" s="16" t="n">
        <v>2.523494623655914</v>
      </c>
      <c r="AB35" s="16" t="n">
        <v>1.056784946236559</v>
      </c>
      <c r="AC35" s="16" t="n">
        <v>32.5932018538015</v>
      </c>
      <c r="AD35" s="16" t="n">
        <v>32.0015042717022</v>
      </c>
      <c r="AE35" s="16" t="n">
        <v>9.233506765088354</v>
      </c>
      <c r="AF35" s="16" t="n">
        <v>9.215477209015752</v>
      </c>
      <c r="AG35" s="16" t="n">
        <v>9.17434014439247</v>
      </c>
      <c r="AH35" s="16" t="n">
        <v>32.57</v>
      </c>
      <c r="AI35" s="16" t="n">
        <v>30.3323421</v>
      </c>
      <c r="AJ35" t="inlineStr">
        <is>
          <t>10 of 17 sourced, 3 derived, 1 proxy, 3 assumption</t>
        </is>
      </c>
    </row>
    <row r="36">
      <c r="A36" s="29" t="n">
        <v>46327</v>
      </c>
      <c r="B36" t="inlineStr">
        <is>
          <t>Forecast</t>
        </is>
      </c>
      <c r="C36" s="16" t="n">
        <v>4.681836989623317</v>
      </c>
      <c r="D36" s="16" t="n">
        <v>5.833597724237229</v>
      </c>
      <c r="E36" s="16" t="n">
        <v>0.4673572310198874</v>
      </c>
      <c r="F36" s="16" t="n">
        <v>0.5073680038436067</v>
      </c>
      <c r="G36" s="16" t="n">
        <v>0.005198952112019974</v>
      </c>
      <c r="H36" s="16" t="n">
        <v>6.56437371390203</v>
      </c>
      <c r="I36" s="16" t="n">
        <v>2.784950506332339</v>
      </c>
      <c r="J36" s="16" t="n">
        <v>5.939086430101487</v>
      </c>
      <c r="K36" s="16" t="n">
        <v>0.232635676589816</v>
      </c>
      <c r="L36" s="16" t="n">
        <v>0.01141549512410434</v>
      </c>
      <c r="M36" s="16" t="n">
        <v>9.442026833613703</v>
      </c>
      <c r="N36" s="16" t="n">
        <v>0.3716982356636576</v>
      </c>
      <c r="O36" s="16" t="n">
        <v>0.0354549032209045</v>
      </c>
      <c r="P36" s="16" t="n">
        <v>15.25199077191398</v>
      </c>
      <c r="Q36" s="16" t="n">
        <v>0.720707280947983</v>
      </c>
      <c r="R36" s="16" t="n">
        <v>0.09030432271861233</v>
      </c>
      <c r="S36" s="16" t="n">
        <v>20.85609861619453</v>
      </c>
      <c r="T36" s="16" t="n">
        <v>20.88013802429133</v>
      </c>
      <c r="U36" s="16" t="n">
        <v>20.93498744378904</v>
      </c>
      <c r="V36" s="16" t="n">
        <v>31.64860220599815</v>
      </c>
      <c r="W36" s="16" t="n">
        <v>30.97073569792525</v>
      </c>
      <c r="X36" s="16" t="n">
        <v>10.79250358980361</v>
      </c>
      <c r="Y36" s="16" t="n">
        <v>10.76846418170681</v>
      </c>
      <c r="Z36" s="16" t="n">
        <v>10.7136147622091</v>
      </c>
      <c r="AA36" s="16" t="n">
        <v>1.881788888888889</v>
      </c>
      <c r="AB36" s="16" t="n">
        <v>1.287677777777778</v>
      </c>
      <c r="AC36" s="16" t="n">
        <v>32.93627998377593</v>
      </c>
      <c r="AD36" s="16" t="n">
        <v>32.25841347570303</v>
      </c>
      <c r="AE36" s="16" t="n">
        <v>10.1983924786925</v>
      </c>
      <c r="AF36" s="16" t="n">
        <v>10.1743530705957</v>
      </c>
      <c r="AG36" s="16" t="n">
        <v>10.119503651098</v>
      </c>
      <c r="AH36" s="16" t="n">
        <v>32.57</v>
      </c>
      <c r="AI36" s="16" t="n">
        <v>30.45355609</v>
      </c>
      <c r="AJ36" t="inlineStr">
        <is>
          <t>10 of 17 sourced, 3 derived, 1 proxy, 3 assumption</t>
        </is>
      </c>
    </row>
    <row r="37">
      <c r="A37" s="29" t="n">
        <v>46357</v>
      </c>
      <c r="B37" t="inlineStr">
        <is>
          <t>Forecast</t>
        </is>
      </c>
      <c r="C37" s="16" t="n">
        <v>4.625126022211296</v>
      </c>
      <c r="D37" s="16" t="n">
        <v>6.031840489538337</v>
      </c>
      <c r="E37" s="16" t="n">
        <v>0.8618928708285389</v>
      </c>
      <c r="F37" s="16" t="n">
        <v>0.6467795879765276</v>
      </c>
      <c r="G37" s="16" t="n">
        <v>0.00519512231997611</v>
      </c>
      <c r="H37" s="16" t="n">
        <v>6.644037038101144</v>
      </c>
      <c r="I37" s="16" t="n">
        <v>2.658115350636674</v>
      </c>
      <c r="J37" s="16" t="n">
        <v>6.011944571615179</v>
      </c>
      <c r="K37" s="16" t="n">
        <v>0.2354895503708421</v>
      </c>
      <c r="L37" s="16" t="n">
        <v>0.01426936890513042</v>
      </c>
      <c r="M37" s="16" t="n">
        <v>9.66718673180184</v>
      </c>
      <c r="N37" s="16" t="n">
        <v>0.3805619614688837</v>
      </c>
      <c r="O37" s="16" t="n">
        <v>0.0443186290261306</v>
      </c>
      <c r="P37" s="16" t="n">
        <v>15.7297577978543</v>
      </c>
      <c r="Q37" s="16" t="n">
        <v>0.7432833616276361</v>
      </c>
      <c r="R37" s="16" t="n">
        <v>0.1128804033982654</v>
      </c>
      <c r="S37" s="16" t="n">
        <v>21.48725585051763</v>
      </c>
      <c r="T37" s="16" t="n">
        <v>21.51730511063863</v>
      </c>
      <c r="U37" s="16" t="n">
        <v>21.58586688501076</v>
      </c>
      <c r="V37" s="16" t="n">
        <v>31.82203171238674</v>
      </c>
      <c r="W37" s="16" t="n">
        <v>31.05278802482604</v>
      </c>
      <c r="X37" s="16" t="n">
        <v>10.33477586186911</v>
      </c>
      <c r="Y37" s="16" t="n">
        <v>10.30472660174811</v>
      </c>
      <c r="Z37" s="16" t="n">
        <v>10.23616482737598</v>
      </c>
      <c r="AA37" s="16" t="n">
        <v>1.379204301075269</v>
      </c>
      <c r="AB37" s="16" t="n">
        <v>2.158774193548387</v>
      </c>
      <c r="AC37" s="16" t="n">
        <v>33.98080590593513</v>
      </c>
      <c r="AD37" s="16" t="n">
        <v>33.21156221837443</v>
      </c>
      <c r="AE37" s="16" t="n">
        <v>11.11434575434223</v>
      </c>
      <c r="AF37" s="16" t="n">
        <v>11.08429649422123</v>
      </c>
      <c r="AG37" s="16" t="n">
        <v>11.0157347198491</v>
      </c>
      <c r="AH37" s="16" t="n">
        <v>34.07</v>
      </c>
      <c r="AI37" s="16" t="n">
        <v>30.58209654</v>
      </c>
      <c r="AJ37" t="inlineStr">
        <is>
          <t>10 of 17 sourced, 3 derived, 1 proxy, 3 assumption</t>
        </is>
      </c>
    </row>
    <row r="38">
      <c r="A38" s="29" t="n">
        <v>46388</v>
      </c>
      <c r="B38" t="inlineStr">
        <is>
          <t>Forecast</t>
        </is>
      </c>
      <c r="C38" s="16" t="n">
        <v>5.60152132066198</v>
      </c>
      <c r="D38" s="16" t="n">
        <v>5.893686262858893</v>
      </c>
      <c r="E38" s="16" t="n">
        <v>1.534636697680467</v>
      </c>
      <c r="F38" s="16" t="n">
        <v>0.9017584031775657</v>
      </c>
      <c r="G38" s="16" t="n">
        <v>0.006632259070454595</v>
      </c>
      <c r="H38" s="16" t="n">
        <v>6.474365214734835</v>
      </c>
      <c r="I38" s="16" t="n">
        <v>2.928315042689603</v>
      </c>
      <c r="J38" s="16" t="n">
        <v>6.084802713128871</v>
      </c>
      <c r="K38" s="16" t="n">
        <v>0.2383434241518682</v>
      </c>
      <c r="L38" s="16" t="n">
        <v>0.0171232426861565</v>
      </c>
      <c r="M38" s="16" t="n">
        <v>9.892346629989976</v>
      </c>
      <c r="N38" s="16" t="n">
        <v>0.3894256872741098</v>
      </c>
      <c r="O38" s="16" t="n">
        <v>0.05318235483135669</v>
      </c>
      <c r="P38" s="16" t="n">
        <v>16.20752482379462</v>
      </c>
      <c r="Q38" s="16" t="n">
        <v>0.7658594423072892</v>
      </c>
      <c r="R38" s="16" t="n">
        <v>0.1354564840779185</v>
      </c>
      <c r="S38" s="16" t="n">
        <v>23.35803844355996</v>
      </c>
      <c r="T38" s="16" t="n">
        <v>23.39409755570516</v>
      </c>
      <c r="U38" s="16" t="n">
        <v>23.47637168495172</v>
      </c>
      <c r="V38" s="16" t="n">
        <v>31.34480261369272</v>
      </c>
      <c r="W38" s="16" t="n">
        <v>31.28670919583861</v>
      </c>
      <c r="X38" s="16" t="n">
        <v>7.986764170132762</v>
      </c>
      <c r="Y38" s="16" t="n">
        <v>7.950705057987562</v>
      </c>
      <c r="Z38" s="16" t="n">
        <v>7.868430928741002</v>
      </c>
      <c r="AA38" s="16" t="n">
        <v>0.9953118279569892</v>
      </c>
      <c r="AB38" s="16" t="n">
        <v>4.435344086021505</v>
      </c>
      <c r="AC38" s="16" t="n">
        <v>35.78014669971422</v>
      </c>
      <c r="AD38" s="16" t="n">
        <v>35.72205328186011</v>
      </c>
      <c r="AE38" s="16" t="n">
        <v>11.42679642819728</v>
      </c>
      <c r="AF38" s="16" t="n">
        <v>11.39073731605208</v>
      </c>
      <c r="AG38" s="16" t="n">
        <v>11.30846318680552</v>
      </c>
      <c r="AH38" s="16" t="n">
        <v>34.07</v>
      </c>
      <c r="AI38" s="16" t="n">
        <v>30.15172012</v>
      </c>
      <c r="AJ38" t="inlineStr">
        <is>
          <t>10 of 17 sourced, 3 derived, 1 proxy, 3 assumption</t>
        </is>
      </c>
    </row>
    <row r="39">
      <c r="A39" s="29" t="n">
        <v>46419</v>
      </c>
      <c r="B39" t="inlineStr">
        <is>
          <t>Forecast</t>
        </is>
      </c>
      <c r="C39" s="16" t="n">
        <v>4.591665770626252</v>
      </c>
      <c r="D39" s="16" t="n">
        <v>5.771683468248021</v>
      </c>
      <c r="E39" s="16" t="n">
        <v>1.071753433222376</v>
      </c>
      <c r="F39" s="16" t="n">
        <v>0.7096739390246209</v>
      </c>
      <c r="G39" s="16" t="n">
        <v>0.006626279424245835</v>
      </c>
      <c r="H39" s="16" t="n">
        <v>6.457224532049643</v>
      </c>
      <c r="I39" s="16" t="n">
        <v>2.878761529187785</v>
      </c>
      <c r="J39" s="16" t="n">
        <v>6.157660854642565</v>
      </c>
      <c r="K39" s="16" t="n">
        <v>0.2411972979328943</v>
      </c>
      <c r="L39" s="16" t="n">
        <v>0.01997711646718262</v>
      </c>
      <c r="M39" s="16" t="n">
        <v>10.11750652817811</v>
      </c>
      <c r="N39" s="16" t="n">
        <v>0.3982894130793359</v>
      </c>
      <c r="O39" s="16" t="n">
        <v>0.06204608063658285</v>
      </c>
      <c r="P39" s="16" t="n">
        <v>16.68529184973495</v>
      </c>
      <c r="Q39" s="16" t="n">
        <v>0.7884355229869424</v>
      </c>
      <c r="R39" s="16" t="n">
        <v>0.1580325647575718</v>
      </c>
      <c r="S39" s="16" t="n">
        <v>21.50736606825012</v>
      </c>
      <c r="T39" s="16" t="n">
        <v>21.54943503241953</v>
      </c>
      <c r="U39" s="16" t="n">
        <v>21.64542151654052</v>
      </c>
      <c r="V39" s="16" t="n">
        <v>32.14974562843171</v>
      </c>
      <c r="W39" s="16" t="n">
        <v>31.50848350029321</v>
      </c>
      <c r="X39" s="16" t="n">
        <v>10.64237956018158</v>
      </c>
      <c r="Y39" s="16" t="n">
        <v>10.60031059601218</v>
      </c>
      <c r="Z39" s="16" t="n">
        <v>10.50432411189119</v>
      </c>
      <c r="AA39" s="16" t="n">
        <v>1.637940886699507</v>
      </c>
      <c r="AB39" s="16" t="n">
        <v>2.852903530377668</v>
      </c>
      <c r="AC39" s="16" t="n">
        <v>35.00264915880938</v>
      </c>
      <c r="AD39" s="16" t="n">
        <v>34.36138703067088</v>
      </c>
      <c r="AE39" s="16" t="n">
        <v>11.85734220385974</v>
      </c>
      <c r="AF39" s="16" t="n">
        <v>11.81527323969034</v>
      </c>
      <c r="AG39" s="16" t="n">
        <v>11.71928675556935</v>
      </c>
      <c r="AH39" s="16" t="n">
        <v>34.07</v>
      </c>
      <c r="AI39" s="16" t="n">
        <v>30.97206464</v>
      </c>
      <c r="AJ39" t="inlineStr">
        <is>
          <t>10 of 17 sourced, 3 derived, 1 proxy, 3 assumption</t>
        </is>
      </c>
    </row>
    <row r="40">
      <c r="A40" s="29" t="n">
        <v>46447</v>
      </c>
      <c r="B40" t="inlineStr">
        <is>
          <t>Forecast</t>
        </is>
      </c>
      <c r="C40" s="16" t="n">
        <v>4.084302667522916</v>
      </c>
      <c r="D40" s="16" t="n">
        <v>5.744850592631705</v>
      </c>
      <c r="E40" s="16" t="n">
        <v>0.4915507700236296</v>
      </c>
      <c r="F40" s="16" t="n">
        <v>0.4883272060505006</v>
      </c>
      <c r="G40" s="16" t="n">
        <v>0.006598675494152</v>
      </c>
      <c r="H40" s="16" t="n">
        <v>6.475045955188901</v>
      </c>
      <c r="I40" s="16" t="n">
        <v>2.774088603050509</v>
      </c>
      <c r="J40" s="16" t="n">
        <v>6.230518996156257</v>
      </c>
      <c r="K40" s="16" t="n">
        <v>0.2440511717139204</v>
      </c>
      <c r="L40" s="16" t="n">
        <v>0.0228309902482087</v>
      </c>
      <c r="M40" s="16" t="n">
        <v>10.34266642636625</v>
      </c>
      <c r="N40" s="16" t="n">
        <v>0.407153138884562</v>
      </c>
      <c r="O40" s="16" t="n">
        <v>0.07090980644180894</v>
      </c>
      <c r="P40" s="16" t="n">
        <v>17.16305887567527</v>
      </c>
      <c r="Q40" s="16" t="n">
        <v>0.8110116036665955</v>
      </c>
      <c r="R40" s="16" t="n">
        <v>0.1806086454372249</v>
      </c>
      <c r="S40" s="16" t="n">
        <v>20.08759546021052</v>
      </c>
      <c r="T40" s="16" t="n">
        <v>20.13567427640412</v>
      </c>
      <c r="U40" s="16" t="n">
        <v>20.24537311539954</v>
      </c>
      <c r="V40" s="16" t="n">
        <v>32.3263064166282</v>
      </c>
      <c r="W40" s="16" t="n">
        <v>31.53777286358666</v>
      </c>
      <c r="X40" s="16" t="n">
        <v>12.23871095641768</v>
      </c>
      <c r="Y40" s="16" t="n">
        <v>12.19063214022408</v>
      </c>
      <c r="Z40" s="16" t="n">
        <v>12.08093330122866</v>
      </c>
      <c r="AA40" s="16" t="n">
        <v>2.392172043010753</v>
      </c>
      <c r="AB40" s="16" t="n">
        <v>1.187268817204301</v>
      </c>
      <c r="AC40" s="16" t="n">
        <v>33.5135752338325</v>
      </c>
      <c r="AD40" s="16" t="n">
        <v>32.72504168079096</v>
      </c>
      <c r="AE40" s="16" t="n">
        <v>11.03380773061122</v>
      </c>
      <c r="AF40" s="16" t="n">
        <v>10.98572891441762</v>
      </c>
      <c r="AG40" s="16" t="n">
        <v>10.87603007542221</v>
      </c>
      <c r="AH40" s="16" t="n">
        <v>34.07</v>
      </c>
      <c r="AI40" s="16" t="n">
        <v>31.17923163</v>
      </c>
      <c r="AJ40" t="inlineStr">
        <is>
          <t>10 of 17 sourced, 3 derived, 1 proxy, 3 assumption</t>
        </is>
      </c>
    </row>
    <row r="41">
      <c r="A41" s="29" t="n">
        <v>46478</v>
      </c>
      <c r="B41" t="inlineStr">
        <is>
          <t>Forecast</t>
        </is>
      </c>
      <c r="C41" s="16" t="n">
        <v>4.513549912598049</v>
      </c>
      <c r="D41" s="16" t="n">
        <v>5.680608138500108</v>
      </c>
      <c r="E41" s="16" t="n">
        <v>0.3190816123310472</v>
      </c>
      <c r="F41" s="16" t="n">
        <v>0.4440890247278849</v>
      </c>
      <c r="G41" s="16" t="n">
        <v>0.006578774034385803</v>
      </c>
      <c r="H41" s="16" t="n">
        <v>6.537792984935101</v>
      </c>
      <c r="I41" s="16" t="n">
        <v>2.986666029480983</v>
      </c>
      <c r="J41" s="16" t="n">
        <v>6.30337713766995</v>
      </c>
      <c r="K41" s="16" t="n">
        <v>0.2469050454949465</v>
      </c>
      <c r="L41" s="16" t="n">
        <v>0.02568486402923478</v>
      </c>
      <c r="M41" s="16" t="n">
        <v>10.56782632455439</v>
      </c>
      <c r="N41" s="16" t="n">
        <v>0.4160168646897881</v>
      </c>
      <c r="O41" s="16" t="n">
        <v>0.07977353224703504</v>
      </c>
      <c r="P41" s="16" t="n">
        <v>17.6408259016156</v>
      </c>
      <c r="Q41" s="16" t="n">
        <v>0.8335876843462486</v>
      </c>
      <c r="R41" s="16" t="n">
        <v>0.203184726116878</v>
      </c>
      <c r="S41" s="16" t="n">
        <v>20.51405134063679</v>
      </c>
      <c r="T41" s="16" t="n">
        <v>20.56814000885459</v>
      </c>
      <c r="U41" s="16" t="n">
        <v>20.69155120272444</v>
      </c>
      <c r="V41" s="16" t="n">
        <v>32.51242239218128</v>
      </c>
      <c r="W41" s="16" t="n">
        <v>32.51242239218128</v>
      </c>
      <c r="X41" s="16" t="n">
        <v>11.99837105154448</v>
      </c>
      <c r="Y41" s="16" t="n">
        <v>11.94428238332668</v>
      </c>
      <c r="Z41" s="16" t="n">
        <v>11.82087118945684</v>
      </c>
      <c r="AA41" s="16" t="n">
        <v>2.271922222222222</v>
      </c>
      <c r="AB41" s="16" t="n">
        <v>1.159666666666667</v>
      </c>
      <c r="AC41" s="16" t="n">
        <v>33.67208905884794</v>
      </c>
      <c r="AD41" s="16" t="n">
        <v>33.67208905884794</v>
      </c>
      <c r="AE41" s="16" t="n">
        <v>10.88611549598893</v>
      </c>
      <c r="AF41" s="16" t="n">
        <v>10.83202682777113</v>
      </c>
      <c r="AG41" s="16" t="n">
        <v>10.70861563390129</v>
      </c>
      <c r="AH41" s="16" t="n">
        <v>34.07</v>
      </c>
      <c r="AI41" s="16" t="n">
        <v>31.40202298</v>
      </c>
      <c r="AJ41" t="inlineStr">
        <is>
          <t>10 of 17 sourced, 3 derived, 1 proxy, 3 assumption</t>
        </is>
      </c>
    </row>
    <row r="42">
      <c r="A42" s="29" t="n">
        <v>46508</v>
      </c>
      <c r="B42" t="inlineStr">
        <is>
          <t>Forecast</t>
        </is>
      </c>
      <c r="C42" s="16" t="n">
        <v>5.815887213640851</v>
      </c>
      <c r="D42" s="16" t="n">
        <v>5.552993543365289</v>
      </c>
      <c r="E42" s="16" t="n">
        <v>0.2209863247505367</v>
      </c>
      <c r="F42" s="16" t="n">
        <v>0.3730742742049455</v>
      </c>
      <c r="G42" s="16" t="n">
        <v>0.006565261974022615</v>
      </c>
      <c r="H42" s="16" t="n">
        <v>6.990937874296153</v>
      </c>
      <c r="I42" s="16" t="n">
        <v>3.246131765669218</v>
      </c>
      <c r="J42" s="16" t="n">
        <v>6.376235279183643</v>
      </c>
      <c r="K42" s="16" t="n">
        <v>0.2497589192759725</v>
      </c>
      <c r="L42" s="16" t="n">
        <v>0.02853873781026087</v>
      </c>
      <c r="M42" s="16" t="n">
        <v>10.79298622274252</v>
      </c>
      <c r="N42" s="16" t="n">
        <v>0.4248805904950143</v>
      </c>
      <c r="O42" s="16" t="n">
        <v>0.08863725805226119</v>
      </c>
      <c r="P42" s="16" t="n">
        <v>18.11859292755592</v>
      </c>
      <c r="Q42" s="16" t="n">
        <v>0.8561637650259017</v>
      </c>
      <c r="R42" s="16" t="n">
        <v>0.2257608067965311</v>
      </c>
      <c r="S42" s="16" t="n">
        <v>22.23511499571128</v>
      </c>
      <c r="T42" s="16" t="n">
        <v>22.29521351595328</v>
      </c>
      <c r="U42" s="16" t="n">
        <v>22.43233706469755</v>
      </c>
      <c r="V42" s="16" t="n">
        <v>32.71624278042914</v>
      </c>
      <c r="W42" s="16" t="n">
        <v>32.71624278042914</v>
      </c>
      <c r="X42" s="16" t="n">
        <v>10.48112778471786</v>
      </c>
      <c r="Y42" s="16" t="n">
        <v>10.42102926447586</v>
      </c>
      <c r="Z42" s="16" t="n">
        <v>10.28390571573159</v>
      </c>
      <c r="AA42" s="16" t="n">
        <v>2.179247311827957</v>
      </c>
      <c r="AB42" s="16" t="n">
        <v>1.123032258064516</v>
      </c>
      <c r="AC42" s="16" t="n">
        <v>33.83927503849366</v>
      </c>
      <c r="AD42" s="16" t="n">
        <v>33.83927503849366</v>
      </c>
      <c r="AE42" s="16" t="n">
        <v>9.424912730954421</v>
      </c>
      <c r="AF42" s="16" t="n">
        <v>9.364814210712421</v>
      </c>
      <c r="AG42" s="16" t="n">
        <v>9.227690661968154</v>
      </c>
      <c r="AH42" s="16" t="n">
        <v>34.07</v>
      </c>
      <c r="AI42" s="16" t="n">
        <v>31.64563043</v>
      </c>
      <c r="AJ42" t="inlineStr">
        <is>
          <t>10 of 17 sourced, 3 derived, 1 proxy, 3 assumption</t>
        </is>
      </c>
    </row>
    <row r="43">
      <c r="A43" s="29" t="n">
        <v>46539</v>
      </c>
      <c r="B43" t="inlineStr">
        <is>
          <t>Forecast</t>
        </is>
      </c>
      <c r="C43" s="16" t="n">
        <v>6.706918670559735</v>
      </c>
      <c r="D43" s="16" t="n">
        <v>5.614579908845148</v>
      </c>
      <c r="E43" s="16" t="n">
        <v>0.2102139365451466</v>
      </c>
      <c r="F43" s="16" t="n">
        <v>0.3758789561992053</v>
      </c>
      <c r="G43" s="16" t="n">
        <v>0.006545461288696243</v>
      </c>
      <c r="H43" s="16" t="n">
        <v>7.317293769208743</v>
      </c>
      <c r="I43" s="16" t="n">
        <v>3.183163621523248</v>
      </c>
      <c r="J43" s="16" t="n">
        <v>6.449093420697336</v>
      </c>
      <c r="K43" s="16" t="n">
        <v>0.2526127930569986</v>
      </c>
      <c r="L43" s="16" t="n">
        <v>0.03139261159128695</v>
      </c>
      <c r="M43" s="16" t="n">
        <v>11.01814612093066</v>
      </c>
      <c r="N43" s="16" t="n">
        <v>0.4337443163002404</v>
      </c>
      <c r="O43" s="16" t="n">
        <v>0.09750098385748729</v>
      </c>
      <c r="P43" s="16" t="n">
        <v>18.59635995349624</v>
      </c>
      <c r="Q43" s="16" t="n">
        <v>0.8787398457055549</v>
      </c>
      <c r="R43" s="16" t="n">
        <v>0.2483368874761842</v>
      </c>
      <c r="S43" s="16" t="n">
        <v>23.44598693576121</v>
      </c>
      <c r="T43" s="16" t="n">
        <v>23.51209530802741</v>
      </c>
      <c r="U43" s="16" t="n">
        <v>23.66293121164611</v>
      </c>
      <c r="V43" s="16" t="n">
        <v>32.93451173619186</v>
      </c>
      <c r="W43" s="16" t="n">
        <v>32.93451173619186</v>
      </c>
      <c r="X43" s="16" t="n">
        <v>9.488524800430646</v>
      </c>
      <c r="Y43" s="16" t="n">
        <v>9.422416428164446</v>
      </c>
      <c r="Z43" s="16" t="n">
        <v>9.271580524545747</v>
      </c>
      <c r="AA43" s="16" t="n">
        <v>1.835466666666667</v>
      </c>
      <c r="AB43" s="16" t="n">
        <v>1.149211111111111</v>
      </c>
      <c r="AC43" s="16" t="n">
        <v>34.08372284730297</v>
      </c>
      <c r="AD43" s="16" t="n">
        <v>34.08372284730297</v>
      </c>
      <c r="AE43" s="16" t="n">
        <v>8.802269244875093</v>
      </c>
      <c r="AF43" s="16" t="n">
        <v>8.736160872608894</v>
      </c>
      <c r="AG43" s="16" t="n">
        <v>8.585324968990195</v>
      </c>
      <c r="AH43" s="16" t="n">
        <v>34.07</v>
      </c>
      <c r="AI43" s="16" t="n">
        <v>31.90672896</v>
      </c>
      <c r="AJ43" t="inlineStr">
        <is>
          <t>10 of 17 sourced, 3 derived, 1 proxy, 3 assumption</t>
        </is>
      </c>
    </row>
    <row r="44">
      <c r="A44" s="29" t="n">
        <v>46569</v>
      </c>
      <c r="B44" t="inlineStr">
        <is>
          <t>Forecast</t>
        </is>
      </c>
      <c r="C44" s="16" t="n">
        <v>7.299471258702761</v>
      </c>
      <c r="D44" s="16" t="n">
        <v>5.600740992260573</v>
      </c>
      <c r="E44" s="16" t="n">
        <v>0.1964829098663687</v>
      </c>
      <c r="F44" s="16" t="n">
        <v>0.3592145606960728</v>
      </c>
      <c r="G44" s="16" t="n">
        <v>0.006532017648957973</v>
      </c>
      <c r="H44" s="16" t="n">
        <v>7.490755317494781</v>
      </c>
      <c r="I44" s="16" t="n">
        <v>3.037684824395356</v>
      </c>
      <c r="J44" s="16" t="n">
        <v>6.521951562211028</v>
      </c>
      <c r="K44" s="16" t="n">
        <v>0.2554666668380247</v>
      </c>
      <c r="L44" s="16" t="n">
        <v>0.03424648537231303</v>
      </c>
      <c r="M44" s="16" t="n">
        <v>11.2433060191188</v>
      </c>
      <c r="N44" s="16" t="n">
        <v>0.4426080421054664</v>
      </c>
      <c r="O44" s="16" t="n">
        <v>0.1063647096627134</v>
      </c>
      <c r="P44" s="16" t="n">
        <v>19.07412697943656</v>
      </c>
      <c r="Q44" s="16" t="n">
        <v>0.9013159263852081</v>
      </c>
      <c r="R44" s="16" t="n">
        <v>0.2709129681558374</v>
      </c>
      <c r="S44" s="16" t="n">
        <v>24.02512836643719</v>
      </c>
      <c r="T44" s="16" t="n">
        <v>24.09724659072759</v>
      </c>
      <c r="U44" s="16" t="n">
        <v>24.26179484922071</v>
      </c>
      <c r="V44" s="16" t="n">
        <v>33.16438630289471</v>
      </c>
      <c r="W44" s="16" t="n">
        <v>33.16438630289471</v>
      </c>
      <c r="X44" s="16" t="n">
        <v>9.139257936457525</v>
      </c>
      <c r="Y44" s="16" t="n">
        <v>9.067139712167126</v>
      </c>
      <c r="Z44" s="16" t="n">
        <v>8.902591453674003</v>
      </c>
      <c r="AA44" s="16" t="n">
        <v>1.445075268817204</v>
      </c>
      <c r="AB44" s="16" t="n">
        <v>1.521387096774194</v>
      </c>
      <c r="AC44" s="16" t="n">
        <v>34.6857733996689</v>
      </c>
      <c r="AD44" s="16" t="n">
        <v>34.6857733996689</v>
      </c>
      <c r="AE44" s="16" t="n">
        <v>9.215569764414512</v>
      </c>
      <c r="AF44" s="16" t="n">
        <v>9.143451540124113</v>
      </c>
      <c r="AG44" s="16" t="n">
        <v>8.978903281630989</v>
      </c>
      <c r="AH44" s="16" t="n">
        <v>34.77</v>
      </c>
      <c r="AI44" s="16" t="n">
        <v>32.17844338</v>
      </c>
      <c r="AJ44" t="inlineStr">
        <is>
          <t>10 of 17 sourced, 3 derived, 1 proxy, 3 assumption</t>
        </is>
      </c>
    </row>
    <row r="45">
      <c r="A45" s="29" t="n">
        <v>46600</v>
      </c>
      <c r="B45" t="inlineStr">
        <is>
          <t>Forecast</t>
        </is>
      </c>
      <c r="C45" s="16" t="n">
        <v>8.193937527388337</v>
      </c>
      <c r="D45" s="16" t="n">
        <v>5.666028153285912</v>
      </c>
      <c r="E45" s="16" t="n">
        <v>0.172610225464836</v>
      </c>
      <c r="F45" s="16" t="n">
        <v>0.3501648764063452</v>
      </c>
      <c r="G45" s="16" t="n">
        <v>0.005090693310817161</v>
      </c>
      <c r="H45" s="16" t="n">
        <v>7.99559592769987</v>
      </c>
      <c r="I45" s="16" t="n">
        <v>3.108901705501792</v>
      </c>
      <c r="J45" s="16" t="n">
        <v>6.594809703724721</v>
      </c>
      <c r="K45" s="16" t="n">
        <v>0.2583205406190509</v>
      </c>
      <c r="L45" s="16" t="n">
        <v>0.03710035915333917</v>
      </c>
      <c r="M45" s="16" t="n">
        <v>11.46846591730693</v>
      </c>
      <c r="N45" s="16" t="n">
        <v>0.4514717679106926</v>
      </c>
      <c r="O45" s="16" t="n">
        <v>0.1152284354679395</v>
      </c>
      <c r="P45" s="16" t="n">
        <v>19.55189400537689</v>
      </c>
      <c r="Q45" s="16" t="n">
        <v>0.9238920070648612</v>
      </c>
      <c r="R45" s="16" t="n">
        <v>0.2934890488354905</v>
      </c>
      <c r="S45" s="16" t="n">
        <v>25.52942946821125</v>
      </c>
      <c r="T45" s="16" t="n">
        <v>25.60755754452585</v>
      </c>
      <c r="U45" s="16" t="n">
        <v>25.7858181578934</v>
      </c>
      <c r="V45" s="16" t="n">
        <v>33.39840372909472</v>
      </c>
      <c r="W45" s="16" t="n">
        <v>33.39840372909472</v>
      </c>
      <c r="X45" s="16" t="n">
        <v>7.868974260883466</v>
      </c>
      <c r="Y45" s="16" t="n">
        <v>7.790846184568863</v>
      </c>
      <c r="Z45" s="16" t="n">
        <v>7.612585571201315</v>
      </c>
      <c r="AA45" s="16" t="n">
        <v>1.741763440860215</v>
      </c>
      <c r="AB45" s="16" t="n">
        <v>2.883548387096774</v>
      </c>
      <c r="AC45" s="16" t="n">
        <v>36.28195211619149</v>
      </c>
      <c r="AD45" s="16" t="n">
        <v>36.28195211619149</v>
      </c>
      <c r="AE45" s="16" t="n">
        <v>9.010759207120024</v>
      </c>
      <c r="AF45" s="16" t="n">
        <v>8.932631130805422</v>
      </c>
      <c r="AG45" s="16" t="n">
        <v>8.754370517437874</v>
      </c>
      <c r="AH45" s="16" t="n">
        <v>34.77</v>
      </c>
      <c r="AI45" s="16" t="n">
        <v>32.45100548</v>
      </c>
      <c r="AJ45" t="inlineStr">
        <is>
          <t>10 of 17 sourced, 3 derived, 1 proxy, 3 assumption</t>
        </is>
      </c>
    </row>
    <row r="46">
      <c r="A46" s="29" t="n">
        <v>46631</v>
      </c>
      <c r="B46" t="inlineStr">
        <is>
          <t>Forecast</t>
        </is>
      </c>
      <c r="C46" s="16" t="n">
        <v>6.945401123609252</v>
      </c>
      <c r="D46" s="16" t="n">
        <v>5.640800564781621</v>
      </c>
      <c r="E46" s="16" t="n">
        <v>0.1697954678102824</v>
      </c>
      <c r="F46" s="16" t="n">
        <v>0.3587098685556818</v>
      </c>
      <c r="G46" s="16" t="n">
        <v>0.005068649521012347</v>
      </c>
      <c r="H46" s="16" t="n">
        <v>8.695339501376306</v>
      </c>
      <c r="I46" s="16" t="n">
        <v>2.926571038137624</v>
      </c>
      <c r="J46" s="16" t="n">
        <v>6.667667845238414</v>
      </c>
      <c r="K46" s="16" t="n">
        <v>0.2611744144000769</v>
      </c>
      <c r="L46" s="16" t="n">
        <v>0.03995423293436526</v>
      </c>
      <c r="M46" s="16" t="n">
        <v>11.69362581549507</v>
      </c>
      <c r="N46" s="16" t="n">
        <v>0.4603354937159187</v>
      </c>
      <c r="O46" s="16" t="n">
        <v>0.1240921612731656</v>
      </c>
      <c r="P46" s="16" t="n">
        <v>20.02966103131721</v>
      </c>
      <c r="Q46" s="16" t="n">
        <v>0.9464680877445143</v>
      </c>
      <c r="R46" s="16" t="n">
        <v>0.3160651295151437</v>
      </c>
      <c r="S46" s="16" t="n">
        <v>24.78164044672615</v>
      </c>
      <c r="T46" s="16" t="n">
        <v>24.86577837506495</v>
      </c>
      <c r="U46" s="16" t="n">
        <v>25.05775134330693</v>
      </c>
      <c r="V46" s="16" t="n">
        <v>33.63099851262336</v>
      </c>
      <c r="W46" s="16" t="n">
        <v>33.63099851262336</v>
      </c>
      <c r="X46" s="16" t="n">
        <v>8.849358065897217</v>
      </c>
      <c r="Y46" s="16" t="n">
        <v>8.765220137558419</v>
      </c>
      <c r="Z46" s="16" t="n">
        <v>8.573247169316438</v>
      </c>
      <c r="AA46" s="16" t="n">
        <v>2.412133333333333</v>
      </c>
      <c r="AB46" s="16" t="n">
        <v>2.104855555555555</v>
      </c>
      <c r="AC46" s="16" t="n">
        <v>35.73585406817892</v>
      </c>
      <c r="AD46" s="16" t="n">
        <v>35.73585406817892</v>
      </c>
      <c r="AE46" s="16" t="n">
        <v>8.542080288119436</v>
      </c>
      <c r="AF46" s="16" t="n">
        <v>8.457942359780638</v>
      </c>
      <c r="AG46" s="16" t="n">
        <v>8.265969391538658</v>
      </c>
      <c r="AH46" s="16" t="n">
        <v>34.77</v>
      </c>
      <c r="AI46" s="16" t="n">
        <v>32.72272298</v>
      </c>
      <c r="AJ46" t="inlineStr">
        <is>
          <t>10 of 17 sourced, 3 derived, 1 proxy, 3 assumption</t>
        </is>
      </c>
    </row>
    <row r="47">
      <c r="A47" s="29" t="n">
        <v>46661</v>
      </c>
      <c r="B47" t="inlineStr">
        <is>
          <t>Forecast</t>
        </is>
      </c>
      <c r="C47" s="16" t="n">
        <v>5.457817105953894</v>
      </c>
      <c r="D47" s="16" t="n">
        <v>5.492198659475094</v>
      </c>
      <c r="E47" s="16" t="n">
        <v>0.235661355920626</v>
      </c>
      <c r="F47" s="16" t="n">
        <v>0.392751012440045</v>
      </c>
      <c r="G47" s="16" t="n">
        <v>0.005064915715970399</v>
      </c>
      <c r="H47" s="16" t="n">
        <v>9.396864497151915</v>
      </c>
      <c r="I47" s="16" t="n">
        <v>2.791645855212021</v>
      </c>
      <c r="J47" s="16" t="n">
        <v>6.740525986752107</v>
      </c>
      <c r="K47" s="16" t="n">
        <v>0.264028288181103</v>
      </c>
      <c r="L47" s="16" t="n">
        <v>0.04280810671539134</v>
      </c>
      <c r="M47" s="16" t="n">
        <v>11.91878571368321</v>
      </c>
      <c r="N47" s="16" t="n">
        <v>0.4691992195211448</v>
      </c>
      <c r="O47" s="16" t="n">
        <v>0.1329558870783917</v>
      </c>
      <c r="P47" s="16" t="n">
        <v>20.50742805725753</v>
      </c>
      <c r="Q47" s="16" t="n">
        <v>0.9690441684241675</v>
      </c>
      <c r="R47" s="16" t="n">
        <v>0.3386412101947969</v>
      </c>
      <c r="S47" s="16" t="n">
        <v>23.81481150858496</v>
      </c>
      <c r="T47" s="16" t="n">
        <v>23.90495928894796</v>
      </c>
      <c r="U47" s="16" t="n">
        <v>24.11064461206436</v>
      </c>
      <c r="V47" s="16" t="n">
        <v>33.86432455900134</v>
      </c>
      <c r="W47" s="16" t="n">
        <v>33.86432455900134</v>
      </c>
      <c r="X47" s="16" t="n">
        <v>10.04951305041638</v>
      </c>
      <c r="Y47" s="16" t="n">
        <v>9.959365270053382</v>
      </c>
      <c r="Z47" s="16" t="n">
        <v>9.753679946936977</v>
      </c>
      <c r="AA47" s="16" t="n">
        <v>2.523494623655914</v>
      </c>
      <c r="AB47" s="16" t="n">
        <v>1.056784946236559</v>
      </c>
      <c r="AC47" s="16" t="n">
        <v>34.9211095052379</v>
      </c>
      <c r="AD47" s="16" t="n">
        <v>34.9211095052379</v>
      </c>
      <c r="AE47" s="16" t="n">
        <v>8.582803372997031</v>
      </c>
      <c r="AF47" s="16" t="n">
        <v>8.49265559263403</v>
      </c>
      <c r="AG47" s="16" t="n">
        <v>8.286970269517624</v>
      </c>
      <c r="AH47" s="16" t="n">
        <v>36.52</v>
      </c>
      <c r="AI47" s="16" t="n">
        <v>32.98902567</v>
      </c>
      <c r="AJ47" t="inlineStr">
        <is>
          <t>10 of 17 sourced, 3 derived, 1 proxy, 3 assumption</t>
        </is>
      </c>
    </row>
    <row r="48">
      <c r="A48" s="29" t="n">
        <v>46692</v>
      </c>
      <c r="B48" t="inlineStr">
        <is>
          <t>Forecast</t>
        </is>
      </c>
      <c r="C48" s="16" t="n">
        <v>4.663385892484723</v>
      </c>
      <c r="D48" s="16" t="n">
        <v>5.879821180492057</v>
      </c>
      <c r="E48" s="16" t="n">
        <v>0.4533365140892908</v>
      </c>
      <c r="F48" s="16" t="n">
        <v>0.4921469637282985</v>
      </c>
      <c r="G48" s="16" t="n">
        <v>0.005042983548659375</v>
      </c>
      <c r="H48" s="16" t="n">
        <v>10.02482796884667</v>
      </c>
      <c r="I48" s="16" t="n">
        <v>2.728542512866445</v>
      </c>
      <c r="J48" s="16" t="n">
        <v>6.8133841282658</v>
      </c>
      <c r="K48" s="16" t="n">
        <v>0.2668821619621291</v>
      </c>
      <c r="L48" s="16" t="n">
        <v>0.04566198049641743</v>
      </c>
      <c r="M48" s="16" t="n">
        <v>12.14394561187134</v>
      </c>
      <c r="N48" s="16" t="n">
        <v>0.4780629453263709</v>
      </c>
      <c r="O48" s="16" t="n">
        <v>0.1418196128836179</v>
      </c>
      <c r="P48" s="16" t="n">
        <v>20.98519508319786</v>
      </c>
      <c r="Q48" s="16" t="n">
        <v>0.9916202491038206</v>
      </c>
      <c r="R48" s="16" t="n">
        <v>0.36121729087445</v>
      </c>
      <c r="S48" s="16" t="n">
        <v>24.29276599655257</v>
      </c>
      <c r="T48" s="16" t="n">
        <v>24.38892362893977</v>
      </c>
      <c r="U48" s="16" t="n">
        <v>24.6083213069306</v>
      </c>
      <c r="V48" s="16" t="n">
        <v>34.0936053442197</v>
      </c>
      <c r="W48" s="16" t="n">
        <v>34.0936053442197</v>
      </c>
      <c r="X48" s="16" t="n">
        <v>9.800839347667136</v>
      </c>
      <c r="Y48" s="16" t="n">
        <v>9.704681715279936</v>
      </c>
      <c r="Z48" s="16" t="n">
        <v>9.485284037289105</v>
      </c>
      <c r="AA48" s="16" t="n">
        <v>1.881788888888889</v>
      </c>
      <c r="AB48" s="16" t="n">
        <v>1.287677777777778</v>
      </c>
      <c r="AC48" s="16" t="n">
        <v>35.38128312199748</v>
      </c>
      <c r="AD48" s="16" t="n">
        <v>35.38128312199748</v>
      </c>
      <c r="AE48" s="16" t="n">
        <v>9.206728236556028</v>
      </c>
      <c r="AF48" s="16" t="n">
        <v>9.110570604168828</v>
      </c>
      <c r="AG48" s="16" t="n">
        <v>8.891172926177997</v>
      </c>
      <c r="AH48" s="16" t="n">
        <v>36.52</v>
      </c>
      <c r="AI48" s="16" t="n">
        <v>33.24473096</v>
      </c>
      <c r="AJ48" t="inlineStr">
        <is>
          <t>10 of 17 sourced, 3 derived, 1 proxy, 3 assumption</t>
        </is>
      </c>
    </row>
    <row r="49">
      <c r="A49" s="29" t="n">
        <v>46722</v>
      </c>
      <c r="B49" t="inlineStr">
        <is>
          <t>Forecast</t>
        </is>
      </c>
      <c r="C49" s="16" t="n">
        <v>4.606898422723488</v>
      </c>
      <c r="D49" s="16" t="n">
        <v>6.079634754447258</v>
      </c>
      <c r="E49" s="16" t="n">
        <v>0.8360360847036827</v>
      </c>
      <c r="F49" s="16" t="n">
        <v>0.6273762003372318</v>
      </c>
      <c r="G49" s="16" t="n">
        <v>0.005039268650376826</v>
      </c>
      <c r="H49" s="16" t="n">
        <v>10.18260905034924</v>
      </c>
      <c r="I49" s="16" t="n">
        <v>2.604276349552317</v>
      </c>
      <c r="J49" s="16" t="n">
        <v>6.886242269779492</v>
      </c>
      <c r="K49" s="16" t="n">
        <v>0.2697360357431552</v>
      </c>
      <c r="L49" s="16" t="n">
        <v>0.04851585427744351</v>
      </c>
      <c r="M49" s="16" t="n">
        <v>12.36910551005948</v>
      </c>
      <c r="N49" s="16" t="n">
        <v>0.486926671131597</v>
      </c>
      <c r="O49" s="16" t="n">
        <v>0.150683338688844</v>
      </c>
      <c r="P49" s="16" t="n">
        <v>21.46296210913818</v>
      </c>
      <c r="Q49" s="16" t="n">
        <v>1.014196329783474</v>
      </c>
      <c r="R49" s="16" t="n">
        <v>0.3837933715541031</v>
      </c>
      <c r="S49" s="16" t="n">
        <v>24.99038598504104</v>
      </c>
      <c r="T49" s="16" t="n">
        <v>25.09255346945244</v>
      </c>
      <c r="U49" s="16" t="n">
        <v>25.3256635023177</v>
      </c>
      <c r="V49" s="16" t="n">
        <v>34.31354508796161</v>
      </c>
      <c r="W49" s="16" t="n">
        <v>34.31354508796161</v>
      </c>
      <c r="X49" s="16" t="n">
        <v>9.323159102920574</v>
      </c>
      <c r="Y49" s="16" t="n">
        <v>9.220991618509174</v>
      </c>
      <c r="Z49" s="16" t="n">
        <v>8.987881585643915</v>
      </c>
      <c r="AA49" s="16" t="n">
        <v>1.379204301075269</v>
      </c>
      <c r="AB49" s="16" t="n">
        <v>2.158774193548387</v>
      </c>
      <c r="AC49" s="16" t="n">
        <v>36.47231928151</v>
      </c>
      <c r="AD49" s="16" t="n">
        <v>36.47231928151</v>
      </c>
      <c r="AE49" s="16" t="n">
        <v>10.10272899539369</v>
      </c>
      <c r="AF49" s="16" t="n">
        <v>10.00056151098229</v>
      </c>
      <c r="AG49" s="16" t="n">
        <v>9.767451478117035</v>
      </c>
      <c r="AH49" s="16" t="n">
        <v>36.52</v>
      </c>
      <c r="AI49" s="16" t="n">
        <v>33.49180042</v>
      </c>
      <c r="AJ49" t="inlineStr">
        <is>
          <t>10 of 17 sourced, 3 derived, 1 proxy, 3 assumption</t>
        </is>
      </c>
    </row>
    <row r="50">
      <c r="A50" s="29" t="n">
        <v>46753</v>
      </c>
      <c r="B50" t="inlineStr">
        <is>
          <t>Forecast</t>
        </is>
      </c>
      <c r="C50" s="16" t="n">
        <v>5.579445751982315</v>
      </c>
      <c r="D50" s="16" t="n">
        <v>5.940385840380165</v>
      </c>
      <c r="E50" s="16" t="n">
        <v>1.488597596750053</v>
      </c>
      <c r="F50" s="16" t="n">
        <v>0.8747056510822386</v>
      </c>
      <c r="G50" s="16" t="n">
        <v>0.006433291298340957</v>
      </c>
      <c r="H50" s="16" t="n">
        <v>9.933882743400591</v>
      </c>
      <c r="I50" s="16" t="n">
        <v>2.869003261234769</v>
      </c>
      <c r="J50" s="16" t="n">
        <v>6.959100411293185</v>
      </c>
      <c r="K50" s="16" t="n">
        <v>0.2725899095241813</v>
      </c>
      <c r="L50" s="16" t="n">
        <v>0.05136972805846959</v>
      </c>
      <c r="M50" s="16" t="n">
        <v>12.59426540824762</v>
      </c>
      <c r="N50" s="16" t="n">
        <v>0.4957903969368231</v>
      </c>
      <c r="O50" s="16" t="n">
        <v>0.1595470644940701</v>
      </c>
      <c r="P50" s="16" t="n">
        <v>21.94072913507851</v>
      </c>
      <c r="Q50" s="16" t="n">
        <v>1.036772410463127</v>
      </c>
      <c r="R50" s="16" t="n">
        <v>0.4063694522337562</v>
      </c>
      <c r="S50" s="16" t="n">
        <v>26.74382386418694</v>
      </c>
      <c r="T50" s="16" t="n">
        <v>26.85200120062255</v>
      </c>
      <c r="U50" s="16" t="n">
        <v>27.09882358836223</v>
      </c>
      <c r="V50" s="16" t="n">
        <v>33.73408061239353</v>
      </c>
      <c r="W50" s="16" t="n">
        <v>33.73408061239353</v>
      </c>
      <c r="X50" s="16" t="n">
        <v>6.99025674820659</v>
      </c>
      <c r="Y50" s="16" t="n">
        <v>6.882079411770988</v>
      </c>
      <c r="Z50" s="16" t="n">
        <v>6.635257024031301</v>
      </c>
      <c r="AA50" s="16" t="n">
        <v>0.9953118279569892</v>
      </c>
      <c r="AB50" s="16" t="n">
        <v>4.435344086021505</v>
      </c>
      <c r="AC50" s="16" t="n">
        <v>38.16942469841504</v>
      </c>
      <c r="AD50" s="16" t="n">
        <v>38.16942469841504</v>
      </c>
      <c r="AE50" s="16" t="n">
        <v>10.43028900627111</v>
      </c>
      <c r="AF50" s="16" t="n">
        <v>10.32211166983551</v>
      </c>
      <c r="AG50" s="16" t="n">
        <v>10.07528928209582</v>
      </c>
      <c r="AH50" s="16" t="n">
        <v>36.52</v>
      </c>
      <c r="AI50" s="16" t="n">
        <v>32.70155823083687</v>
      </c>
      <c r="AJ50" t="inlineStr">
        <is>
          <t>10 of 17 sourced, 3 derived, 1 proxy, 3 assumption</t>
        </is>
      </c>
    </row>
    <row r="51">
      <c r="A51" s="29" t="n">
        <v>46784</v>
      </c>
      <c r="B51" t="inlineStr">
        <is>
          <t>Forecast</t>
        </is>
      </c>
      <c r="C51" s="16" t="n">
        <v>4.573570037829584</v>
      </c>
      <c r="D51" s="16" t="n">
        <v>5.817416336869187</v>
      </c>
      <c r="E51" s="16" t="n">
        <v>1.039600830225704</v>
      </c>
      <c r="F51" s="16" t="n">
        <v>0.6883837208538823</v>
      </c>
      <c r="G51" s="16" t="n">
        <v>0.006427491041518459</v>
      </c>
      <c r="H51" s="16" t="n">
        <v>10.05862295544212</v>
      </c>
      <c r="I51" s="16" t="n">
        <v>2.820453433169897</v>
      </c>
      <c r="J51" s="16" t="n">
        <v>7.031958552806877</v>
      </c>
      <c r="K51" s="16" t="n">
        <v>0.2754437833052074</v>
      </c>
      <c r="L51" s="16" t="n">
        <v>0.05422360183949568</v>
      </c>
      <c r="M51" s="16" t="n">
        <v>12.81942530643575</v>
      </c>
      <c r="N51" s="16" t="n">
        <v>0.5046541227420493</v>
      </c>
      <c r="O51" s="16" t="n">
        <v>0.1684107902992963</v>
      </c>
      <c r="P51" s="16" t="n">
        <v>22.41849616101883</v>
      </c>
      <c r="Q51" s="16" t="n">
        <v>1.05934849114278</v>
      </c>
      <c r="R51" s="16" t="n">
        <v>0.4289455329134093</v>
      </c>
      <c r="S51" s="16" t="n">
        <v>25.05869840727139</v>
      </c>
      <c r="T51" s="16" t="n">
        <v>25.17288559573119</v>
      </c>
      <c r="U51" s="16" t="n">
        <v>25.4334203383453</v>
      </c>
      <c r="V51" s="16" t="n">
        <v>34.59969540182533</v>
      </c>
      <c r="W51" s="16" t="n">
        <v>34.59969540182533</v>
      </c>
      <c r="X51" s="16" t="n">
        <v>9.540996994553943</v>
      </c>
      <c r="Y51" s="16" t="n">
        <v>9.426809806094141</v>
      </c>
      <c r="Z51" s="16" t="n">
        <v>9.166275063480029</v>
      </c>
      <c r="AA51" s="16" t="n">
        <v>1.637940886699507</v>
      </c>
      <c r="AB51" s="16" t="n">
        <v>2.852903530377668</v>
      </c>
      <c r="AC51" s="16" t="n">
        <v>37.452598932203</v>
      </c>
      <c r="AD51" s="16" t="n">
        <v>37.452598932203</v>
      </c>
      <c r="AE51" s="16" t="n">
        <v>10.7559596382321</v>
      </c>
      <c r="AF51" s="16" t="n">
        <v>10.6417724497723</v>
      </c>
      <c r="AG51" s="16" t="n">
        <v>10.38123770715819</v>
      </c>
      <c r="AH51" s="16" t="n">
        <v>36.52</v>
      </c>
      <c r="AI51" s="16" t="n">
        <v>33.59127676043855</v>
      </c>
      <c r="AJ51" t="inlineStr">
        <is>
          <t>10 of 17 sourced, 3 derived, 1 proxy, 3 assumption</t>
        </is>
      </c>
    </row>
    <row r="52">
      <c r="A52" s="29" t="n">
        <v>46813</v>
      </c>
      <c r="B52" t="inlineStr">
        <is>
          <t>Forecast</t>
        </is>
      </c>
      <c r="C52" s="16" t="n">
        <v>4.068206450284062</v>
      </c>
      <c r="D52" s="16" t="n">
        <v>5.790370846617636</v>
      </c>
      <c r="E52" s="16" t="n">
        <v>0.4768042469229207</v>
      </c>
      <c r="F52" s="16" t="n">
        <v>0.4736773898689856</v>
      </c>
      <c r="G52" s="16" t="n">
        <v>0.00640071522932744</v>
      </c>
      <c r="H52" s="16" t="n">
        <v>9.974197376981069</v>
      </c>
      <c r="I52" s="16" t="n">
        <v>2.717900612837081</v>
      </c>
      <c r="J52" s="16" t="n">
        <v>7.10481669432057</v>
      </c>
      <c r="K52" s="16" t="n">
        <v>0.2782976570862334</v>
      </c>
      <c r="L52" s="16" t="n">
        <v>0.05707747562052176</v>
      </c>
      <c r="M52" s="16" t="n">
        <v>13.04458520462389</v>
      </c>
      <c r="N52" s="16" t="n">
        <v>0.5135178485472754</v>
      </c>
      <c r="O52" s="16" t="n">
        <v>0.1772745161045224</v>
      </c>
      <c r="P52" s="16" t="n">
        <v>22.89626318695915</v>
      </c>
      <c r="Q52" s="16" t="n">
        <v>1.081924571822433</v>
      </c>
      <c r="R52" s="16" t="n">
        <v>0.4515216135930622</v>
      </c>
      <c r="S52" s="16" t="n">
        <v>23.5646351143616</v>
      </c>
      <c r="T52" s="16" t="n">
        <v>23.6848321548456</v>
      </c>
      <c r="U52" s="16" t="n">
        <v>23.95907925233414</v>
      </c>
      <c r="V52" s="16" t="n">
        <v>34.79017118914386</v>
      </c>
      <c r="W52" s="16" t="n">
        <v>34.79017118914386</v>
      </c>
      <c r="X52" s="16" t="n">
        <v>11.22553607478226</v>
      </c>
      <c r="Y52" s="16" t="n">
        <v>11.10533903429826</v>
      </c>
      <c r="Z52" s="16" t="n">
        <v>10.83109193680972</v>
      </c>
      <c r="AA52" s="16" t="n">
        <v>2.392172043010753</v>
      </c>
      <c r="AB52" s="16" t="n">
        <v>1.187268817204301</v>
      </c>
      <c r="AC52" s="16" t="n">
        <v>35.97744000634816</v>
      </c>
      <c r="AD52" s="16" t="n">
        <v>35.97744000634816</v>
      </c>
      <c r="AE52" s="16" t="n">
        <v>10.02063284897581</v>
      </c>
      <c r="AF52" s="16" t="n">
        <v>9.900435808491807</v>
      </c>
      <c r="AG52" s="16" t="n">
        <v>9.626188711003266</v>
      </c>
      <c r="AH52" s="16" t="n">
        <v>36.52</v>
      </c>
      <c r="AI52" s="16" t="n">
        <v>33.81596322476064</v>
      </c>
      <c r="AJ52" t="inlineStr">
        <is>
          <t>10 of 17 sourced, 3 derived, 1 proxy, 3 assumption</t>
        </is>
      </c>
    </row>
    <row r="53">
      <c r="A53" s="29" t="n">
        <v>46844</v>
      </c>
      <c r="B53" t="inlineStr">
        <is>
          <t>Forecast</t>
        </is>
      </c>
      <c r="C53" s="16" t="n">
        <v>4.495762034023503</v>
      </c>
      <c r="D53" s="16" t="n">
        <v>5.725619356997369</v>
      </c>
      <c r="E53" s="16" t="n">
        <v>0.3095091639611158</v>
      </c>
      <c r="F53" s="16" t="n">
        <v>0.4307663539860483</v>
      </c>
      <c r="G53" s="16" t="n">
        <v>0.00638141081335423</v>
      </c>
      <c r="H53" s="16" t="n">
        <v>9.851180955530085</v>
      </c>
      <c r="I53" s="16" t="n">
        <v>2.926172373492231</v>
      </c>
      <c r="J53" s="16" t="n">
        <v>7.177674835834263</v>
      </c>
      <c r="K53" s="16" t="n">
        <v>0.2811515308672595</v>
      </c>
      <c r="L53" s="16" t="n">
        <v>0.05993134940154785</v>
      </c>
      <c r="M53" s="16" t="n">
        <v>13.26974510281203</v>
      </c>
      <c r="N53" s="16" t="n">
        <v>0.5223815743525015</v>
      </c>
      <c r="O53" s="16" t="n">
        <v>0.1861382419097485</v>
      </c>
      <c r="P53" s="16" t="n">
        <v>23.37403021289947</v>
      </c>
      <c r="Q53" s="16" t="n">
        <v>1.104500652502086</v>
      </c>
      <c r="R53" s="16" t="n">
        <v>0.4740976942727153</v>
      </c>
      <c r="S53" s="16" t="n">
        <v>23.80532299820526</v>
      </c>
      <c r="T53" s="16" t="n">
        <v>23.93152989071346</v>
      </c>
      <c r="U53" s="16" t="n">
        <v>24.21948934307642</v>
      </c>
      <c r="V53" s="16" t="n">
        <v>34.99107076113182</v>
      </c>
      <c r="W53" s="16" t="n">
        <v>34.99107076113182</v>
      </c>
      <c r="X53" s="16" t="n">
        <v>11.18574776292657</v>
      </c>
      <c r="Y53" s="16" t="n">
        <v>11.05954087041837</v>
      </c>
      <c r="Z53" s="16" t="n">
        <v>10.7715814180554</v>
      </c>
      <c r="AA53" s="16" t="n">
        <v>2.271922222222222</v>
      </c>
      <c r="AB53" s="16" t="n">
        <v>1.159666666666667</v>
      </c>
      <c r="AC53" s="16" t="n">
        <v>36.15073742779849</v>
      </c>
      <c r="AD53" s="16" t="n">
        <v>36.15073742779849</v>
      </c>
      <c r="AE53" s="16" t="n">
        <v>10.07349220737101</v>
      </c>
      <c r="AF53" s="16" t="n">
        <v>9.94728531486281</v>
      </c>
      <c r="AG53" s="16" t="n">
        <v>9.659325862499845</v>
      </c>
      <c r="AH53" s="16" t="n">
        <v>36.52</v>
      </c>
      <c r="AI53" s="16" t="n">
        <v>34.05759535308884</v>
      </c>
      <c r="AJ53" t="inlineStr">
        <is>
          <t>10 of 17 sourced, 3 derived, 1 proxy, 3 assumption</t>
        </is>
      </c>
    </row>
    <row r="54">
      <c r="A54" s="29" t="n">
        <v>46874</v>
      </c>
      <c r="B54" t="inlineStr">
        <is>
          <t>Forecast</t>
        </is>
      </c>
      <c r="C54" s="16" t="n">
        <v>5.792966830004294</v>
      </c>
      <c r="D54" s="16" t="n">
        <v>5.596993586952225</v>
      </c>
      <c r="E54" s="16" t="n">
        <v>0.2143567350080206</v>
      </c>
      <c r="F54" s="16" t="n">
        <v>0.3618820459787971</v>
      </c>
      <c r="G54" s="16" t="n">
        <v>0.006368304114801937</v>
      </c>
      <c r="H54" s="16" t="n">
        <v>10.37861337246806</v>
      </c>
      <c r="I54" s="16" t="n">
        <v>3.180382741041686</v>
      </c>
      <c r="J54" s="16" t="n">
        <v>7.250532977347955</v>
      </c>
      <c r="K54" s="16" t="n">
        <v>0.2840054046482856</v>
      </c>
      <c r="L54" s="16" t="n">
        <v>0.06278522318257393</v>
      </c>
      <c r="M54" s="16" t="n">
        <v>13.49490500100016</v>
      </c>
      <c r="N54" s="16" t="n">
        <v>0.5312453001577276</v>
      </c>
      <c r="O54" s="16" t="n">
        <v>0.1950019677149746</v>
      </c>
      <c r="P54" s="16" t="n">
        <v>23.85179723883979</v>
      </c>
      <c r="Q54" s="16" t="n">
        <v>1.127076733181739</v>
      </c>
      <c r="R54" s="16" t="n">
        <v>0.4966737749523684</v>
      </c>
      <c r="S54" s="16" t="n">
        <v>25.59434883875046</v>
      </c>
      <c r="T54" s="16" t="n">
        <v>25.72656558328286</v>
      </c>
      <c r="U54" s="16" t="n">
        <v>26.02823739052025</v>
      </c>
      <c r="V54" s="16" t="n">
        <v>35.21107507190299</v>
      </c>
      <c r="W54" s="16" t="n">
        <v>35.21107507190299</v>
      </c>
      <c r="X54" s="16" t="n">
        <v>9.61672623315253</v>
      </c>
      <c r="Y54" s="16" t="n">
        <v>9.484509488620127</v>
      </c>
      <c r="Z54" s="16" t="n">
        <v>9.182837681382736</v>
      </c>
      <c r="AA54" s="16" t="n">
        <v>2.179247311827957</v>
      </c>
      <c r="AB54" s="16" t="n">
        <v>1.123032258064516</v>
      </c>
      <c r="AC54" s="16" t="n">
        <v>36.33410732996751</v>
      </c>
      <c r="AD54" s="16" t="n">
        <v>36.33410732996751</v>
      </c>
      <c r="AE54" s="16" t="n">
        <v>8.560511179389092</v>
      </c>
      <c r="AF54" s="16" t="n">
        <v>8.428294434856689</v>
      </c>
      <c r="AG54" s="16" t="n">
        <v>8.126622627619298</v>
      </c>
      <c r="AH54" s="16" t="n">
        <v>36.52</v>
      </c>
      <c r="AI54" s="16" t="n">
        <v>34.32180393488569</v>
      </c>
      <c r="AJ54" t="inlineStr">
        <is>
          <t>10 of 17 sourced, 3 derived, 1 proxy, 3 assumption</t>
        </is>
      </c>
    </row>
    <row r="55">
      <c r="A55" s="29" t="n">
        <v>46905</v>
      </c>
      <c r="B55" t="inlineStr">
        <is>
          <t>Forecast</t>
        </is>
      </c>
      <c r="C55" s="16" t="n">
        <v>6.680486736221694</v>
      </c>
      <c r="D55" s="16" t="n">
        <v>5.659067941972197</v>
      </c>
      <c r="E55" s="16" t="n">
        <v>0.2039075184487922</v>
      </c>
      <c r="F55" s="16" t="n">
        <v>0.3646025875132291</v>
      </c>
      <c r="G55" s="16" t="n">
        <v>0.006349097450035356</v>
      </c>
      <c r="H55" s="16" t="n">
        <v>10.77479381700417</v>
      </c>
      <c r="I55" s="16" t="n">
        <v>3.118689989997127</v>
      </c>
      <c r="J55" s="16" t="n">
        <v>7.323391118861648</v>
      </c>
      <c r="K55" s="16" t="n">
        <v>0.2868592784293117</v>
      </c>
      <c r="L55" s="16" t="n">
        <v>0.06563909696360001</v>
      </c>
      <c r="M55" s="16" t="n">
        <v>13.7200648991883</v>
      </c>
      <c r="N55" s="16" t="n">
        <v>0.5401090259629537</v>
      </c>
      <c r="O55" s="16" t="n">
        <v>0.2038656935202007</v>
      </c>
      <c r="P55" s="16" t="n">
        <v>24.32956426478012</v>
      </c>
      <c r="Q55" s="16" t="n">
        <v>1.149652813861392</v>
      </c>
      <c r="R55" s="16" t="n">
        <v>0.5192498556320215</v>
      </c>
      <c r="S55" s="16" t="n">
        <v>26.87353678557085</v>
      </c>
      <c r="T55" s="16" t="n">
        <v>27.01176338212744</v>
      </c>
      <c r="U55" s="16" t="n">
        <v>27.32714754423927</v>
      </c>
      <c r="V55" s="16" t="n">
        <v>35.44668340469384</v>
      </c>
      <c r="W55" s="16" t="n">
        <v>35.44668340469384</v>
      </c>
      <c r="X55" s="16" t="n">
        <v>8.573146619122998</v>
      </c>
      <c r="Y55" s="16" t="n">
        <v>8.434920022566399</v>
      </c>
      <c r="Z55" s="16" t="n">
        <v>8.119535860454576</v>
      </c>
      <c r="AA55" s="16" t="n">
        <v>1.835466666666667</v>
      </c>
      <c r="AB55" s="16" t="n">
        <v>1.149211111111111</v>
      </c>
      <c r="AC55" s="16" t="n">
        <v>36.59589451580496</v>
      </c>
      <c r="AD55" s="16" t="n">
        <v>36.59589451580496</v>
      </c>
      <c r="AE55" s="16" t="n">
        <v>7.886891063567445</v>
      </c>
      <c r="AF55" s="16" t="n">
        <v>7.748664467010846</v>
      </c>
      <c r="AG55" s="16" t="n">
        <v>7.433280304899023</v>
      </c>
      <c r="AH55" s="16" t="n">
        <v>36.52</v>
      </c>
      <c r="AI55" s="16" t="n">
        <v>34.60498276345001</v>
      </c>
      <c r="AJ55" t="inlineStr">
        <is>
          <t>10 of 17 sourced, 3 derived, 1 proxy, 3 assumption</t>
        </is>
      </c>
    </row>
    <row r="56">
      <c r="A56" s="29" t="n">
        <v>46935</v>
      </c>
      <c r="B56" t="inlineStr">
        <is>
          <t>Forecast</t>
        </is>
      </c>
      <c r="C56" s="16" t="n">
        <v>7.270704077454631</v>
      </c>
      <c r="D56" s="16" t="n">
        <v>5.645119370491004</v>
      </c>
      <c r="E56" s="16" t="n">
        <v>0.1905884225703777</v>
      </c>
      <c r="F56" s="16" t="n">
        <v>0.3484381238751906</v>
      </c>
      <c r="G56" s="16" t="n">
        <v>0.006336057119489233</v>
      </c>
      <c r="H56" s="16" t="n">
        <v>10.78008861771616</v>
      </c>
      <c r="I56" s="16" t="n">
        <v>2.976157804314989</v>
      </c>
      <c r="J56" s="16" t="n">
        <v>7.39624926037534</v>
      </c>
      <c r="K56" s="16" t="n">
        <v>0.2897131522103378</v>
      </c>
      <c r="L56" s="16" t="n">
        <v>0.0684929707446261</v>
      </c>
      <c r="M56" s="16" t="n">
        <v>13.94522479737644</v>
      </c>
      <c r="N56" s="16" t="n">
        <v>0.5489727517681799</v>
      </c>
      <c r="O56" s="16" t="n">
        <v>0.2127294193254269</v>
      </c>
      <c r="P56" s="16" t="n">
        <v>24.80733129072044</v>
      </c>
      <c r="Q56" s="16" t="n">
        <v>1.172228894541045</v>
      </c>
      <c r="R56" s="16" t="n">
        <v>0.5418259363116746</v>
      </c>
      <c r="S56" s="16" t="n">
        <v>27.28592544428646</v>
      </c>
      <c r="T56" s="16" t="n">
        <v>27.43016189286726</v>
      </c>
      <c r="U56" s="16" t="n">
        <v>27.75925840985351</v>
      </c>
      <c r="V56" s="16" t="n">
        <v>35.69475987330169</v>
      </c>
      <c r="W56" s="16" t="n">
        <v>35.69475987330169</v>
      </c>
      <c r="X56" s="16" t="n">
        <v>8.408834429015233</v>
      </c>
      <c r="Y56" s="16" t="n">
        <v>8.264597980434431</v>
      </c>
      <c r="Z56" s="16" t="n">
        <v>7.935501463448183</v>
      </c>
      <c r="AA56" s="16" t="n">
        <v>1.445075268817204</v>
      </c>
      <c r="AB56" s="16" t="n">
        <v>1.521387096774194</v>
      </c>
      <c r="AC56" s="16" t="n">
        <v>37.21614697007588</v>
      </c>
      <c r="AD56" s="16" t="n">
        <v>37.21614697007588</v>
      </c>
      <c r="AE56" s="16" t="n">
        <v>8.48514625697222</v>
      </c>
      <c r="AF56" s="16" t="n">
        <v>8.340909808391418</v>
      </c>
      <c r="AG56" s="16" t="n">
        <v>8.01181329140517</v>
      </c>
      <c r="AH56" s="16" t="n">
        <v>39.02</v>
      </c>
      <c r="AI56" s="16" t="n">
        <v>34.89967523513736</v>
      </c>
      <c r="AJ56" t="inlineStr">
        <is>
          <t>10 of 17 sourced, 3 derived, 1 proxy, 3 assumption</t>
        </is>
      </c>
    </row>
    <row r="57">
      <c r="A57" s="29" t="n">
        <v>46966</v>
      </c>
      <c r="B57" t="inlineStr">
        <is>
          <t>Forecast</t>
        </is>
      </c>
      <c r="C57" s="16" t="n">
        <v>8.161645258862009</v>
      </c>
      <c r="D57" s="16" t="n">
        <v>5.710923844909262</v>
      </c>
      <c r="E57" s="16" t="n">
        <v>0.1674319187008909</v>
      </c>
      <c r="F57" s="16" t="n">
        <v>0.3396599301141548</v>
      </c>
      <c r="G57" s="16" t="n">
        <v>0.004937972511492646</v>
      </c>
      <c r="H57" s="16" t="n">
        <v>11.27506783682496</v>
      </c>
      <c r="I57" s="16" t="n">
        <v>3.045932217645074</v>
      </c>
      <c r="J57" s="16" t="n">
        <v>7.469107401889032</v>
      </c>
      <c r="K57" s="16" t="n">
        <v>0.2925670259913639</v>
      </c>
      <c r="L57" s="16" t="n">
        <v>0.07134684452565218</v>
      </c>
      <c r="M57" s="16" t="n">
        <v>14.17038469556458</v>
      </c>
      <c r="N57" s="16" t="n">
        <v>0.557836477573406</v>
      </c>
      <c r="O57" s="16" t="n">
        <v>0.221593145130653</v>
      </c>
      <c r="P57" s="16" t="n">
        <v>25.28509831666076</v>
      </c>
      <c r="Q57" s="16" t="n">
        <v>1.194804975220698</v>
      </c>
      <c r="R57" s="16" t="n">
        <v>0.5644020169913277</v>
      </c>
      <c r="S57" s="16" t="n">
        <v>28.7769458240935</v>
      </c>
      <c r="T57" s="16" t="n">
        <v>28.9271921246985</v>
      </c>
      <c r="U57" s="16" t="n">
        <v>29.27000099655917</v>
      </c>
      <c r="V57" s="16" t="n">
        <v>35.94722820096002</v>
      </c>
      <c r="W57" s="16" t="n">
        <v>35.94722820096002</v>
      </c>
      <c r="X57" s="16" t="n">
        <v>7.17028237686652</v>
      </c>
      <c r="Y57" s="16" t="n">
        <v>7.020036076261519</v>
      </c>
      <c r="Z57" s="16" t="n">
        <v>6.677227204400847</v>
      </c>
      <c r="AA57" s="16" t="n">
        <v>1.741763440860215</v>
      </c>
      <c r="AB57" s="16" t="n">
        <v>2.883548387096774</v>
      </c>
      <c r="AC57" s="16" t="n">
        <v>38.83077658805679</v>
      </c>
      <c r="AD57" s="16" t="n">
        <v>38.83077658805679</v>
      </c>
      <c r="AE57" s="16" t="n">
        <v>8.312067323103079</v>
      </c>
      <c r="AF57" s="16" t="n">
        <v>8.161821022498078</v>
      </c>
      <c r="AG57" s="16" t="n">
        <v>7.819012150637406</v>
      </c>
      <c r="AH57" s="16" t="n">
        <v>39.02</v>
      </c>
      <c r="AI57" s="16" t="n">
        <v>35.19528707251168</v>
      </c>
      <c r="AJ57" t="inlineStr">
        <is>
          <t>10 of 17 sourced, 3 derived, 1 proxy, 3 assumption</t>
        </is>
      </c>
    </row>
    <row r="58">
      <c r="A58" s="29" t="n">
        <v>46997</v>
      </c>
      <c r="B58" t="inlineStr">
        <is>
          <t>Forecast</t>
        </is>
      </c>
      <c r="C58" s="16" t="n">
        <v>6.918029331066658</v>
      </c>
      <c r="D58" s="16" t="n">
        <v>5.685496361522128</v>
      </c>
      <c r="E58" s="16" t="n">
        <v>0.1647016037759739</v>
      </c>
      <c r="F58" s="16" t="n">
        <v>0.3479485724990113</v>
      </c>
      <c r="G58" s="16" t="n">
        <v>0.004916590035381976</v>
      </c>
      <c r="H58" s="16" t="n">
        <v>12.09451430971443</v>
      </c>
      <c r="I58" s="16" t="n">
        <v>2.867294580756646</v>
      </c>
      <c r="J58" s="16" t="n">
        <v>7.541965543402725</v>
      </c>
      <c r="K58" s="16" t="n">
        <v>0.2954208997723899</v>
      </c>
      <c r="L58" s="16" t="n">
        <v>0.07420071830667826</v>
      </c>
      <c r="M58" s="16" t="n">
        <v>14.39554459375271</v>
      </c>
      <c r="N58" s="16" t="n">
        <v>0.5667002033786321</v>
      </c>
      <c r="O58" s="16" t="n">
        <v>0.2304568709358791</v>
      </c>
      <c r="P58" s="16" t="n">
        <v>25.76286534260108</v>
      </c>
      <c r="Q58" s="16" t="n">
        <v>1.217381055900352</v>
      </c>
      <c r="R58" s="16" t="n">
        <v>0.5869780976709809</v>
      </c>
      <c r="S58" s="16" t="n">
        <v>28.15710206767691</v>
      </c>
      <c r="T58" s="16" t="n">
        <v>28.31335822030611</v>
      </c>
      <c r="U58" s="16" t="n">
        <v>28.66987944704121</v>
      </c>
      <c r="V58" s="16" t="n">
        <v>36.1981811852821</v>
      </c>
      <c r="W58" s="16" t="n">
        <v>36.1981811852821</v>
      </c>
      <c r="X58" s="16" t="n">
        <v>8.041079117605197</v>
      </c>
      <c r="Y58" s="16" t="n">
        <v>7.884822964975996</v>
      </c>
      <c r="Z58" s="16" t="n">
        <v>7.528301738240891</v>
      </c>
      <c r="AA58" s="16" t="n">
        <v>2.412133333333333</v>
      </c>
      <c r="AB58" s="16" t="n">
        <v>2.104855555555555</v>
      </c>
      <c r="AC58" s="16" t="n">
        <v>38.30303674083765</v>
      </c>
      <c r="AD58" s="16" t="n">
        <v>38.30303674083765</v>
      </c>
      <c r="AE58" s="16" t="n">
        <v>7.733801339827416</v>
      </c>
      <c r="AF58" s="16" t="n">
        <v>7.577545187198215</v>
      </c>
      <c r="AG58" s="16" t="n">
        <v>7.221023960463111</v>
      </c>
      <c r="AH58" s="16" t="n">
        <v>39.02</v>
      </c>
      <c r="AI58" s="16" t="n">
        <v>35.48998288466514</v>
      </c>
      <c r="AJ58" t="inlineStr">
        <is>
          <t>10 of 17 sourced, 3 derived, 1 proxy, 3 assumption</t>
        </is>
      </c>
    </row>
    <row r="59">
      <c r="A59" s="29" t="n">
        <v>47027</v>
      </c>
      <c r="B59" t="inlineStr">
        <is>
          <t>Forecast</t>
        </is>
      </c>
      <c r="C59" s="16" t="n">
        <v>5.436307874895696</v>
      </c>
      <c r="D59" s="16" t="n">
        <v>5.535716984954465</v>
      </c>
      <c r="E59" s="16" t="n">
        <v>0.2285915152430072</v>
      </c>
      <c r="F59" s="16" t="n">
        <v>0.3809684820668436</v>
      </c>
      <c r="G59" s="16" t="n">
        <v>0.004912968244491286</v>
      </c>
      <c r="H59" s="16" t="n">
        <v>12.69228003083021</v>
      </c>
      <c r="I59" s="16" t="n">
        <v>2.73510225028912</v>
      </c>
      <c r="J59" s="16" t="n">
        <v>7.614823684916418</v>
      </c>
      <c r="K59" s="16" t="n">
        <v>0.298274773553416</v>
      </c>
      <c r="L59" s="16" t="n">
        <v>0.07705459208770435</v>
      </c>
      <c r="M59" s="16" t="n">
        <v>14.62070449194085</v>
      </c>
      <c r="N59" s="16" t="n">
        <v>0.5755639291838583</v>
      </c>
      <c r="O59" s="16" t="n">
        <v>0.2393205967411053</v>
      </c>
      <c r="P59" s="16" t="n">
        <v>26.24063236854141</v>
      </c>
      <c r="Q59" s="16" t="n">
        <v>1.239957136580004</v>
      </c>
      <c r="R59" s="16" t="n">
        <v>0.6095541783506337</v>
      </c>
      <c r="S59" s="16" t="n">
        <v>27.09093469861154</v>
      </c>
      <c r="T59" s="16" t="n">
        <v>27.25320070326494</v>
      </c>
      <c r="U59" s="16" t="n">
        <v>27.62343428487447</v>
      </c>
      <c r="V59" s="16" t="n">
        <v>36.4497772919081</v>
      </c>
      <c r="W59" s="16" t="n">
        <v>36.4497772919081</v>
      </c>
      <c r="X59" s="16" t="n">
        <v>9.358842593296554</v>
      </c>
      <c r="Y59" s="16" t="n">
        <v>9.196576588643154</v>
      </c>
      <c r="Z59" s="16" t="n">
        <v>8.826343007033625</v>
      </c>
      <c r="AA59" s="16" t="n">
        <v>2.523494623655914</v>
      </c>
      <c r="AB59" s="16" t="n">
        <v>1.056784946236559</v>
      </c>
      <c r="AC59" s="16" t="n">
        <v>37.50656223814466</v>
      </c>
      <c r="AD59" s="16" t="n">
        <v>37.50656223814466</v>
      </c>
      <c r="AE59" s="16" t="n">
        <v>7.892132915877202</v>
      </c>
      <c r="AF59" s="16" t="n">
        <v>7.729866911223802</v>
      </c>
      <c r="AG59" s="16" t="n">
        <v>7.359633329614272</v>
      </c>
      <c r="AH59" s="16" t="n">
        <v>39.02</v>
      </c>
      <c r="AI59" s="16" t="n">
        <v>35.77880597301316</v>
      </c>
      <c r="AJ59" t="inlineStr">
        <is>
          <t>10 of 17 sourced, 3 derived, 1 proxy, 3 assumption</t>
        </is>
      </c>
    </row>
    <row r="60">
      <c r="A60" s="29" t="n">
        <v>47058</v>
      </c>
      <c r="B60" t="inlineStr">
        <is>
          <t>Forecast</t>
        </is>
      </c>
      <c r="C60" s="16" t="n">
        <v>4.645007511031529</v>
      </c>
      <c r="D60" s="16" t="n">
        <v>5.926410895787899</v>
      </c>
      <c r="E60" s="16" t="n">
        <v>0.4397364186666121</v>
      </c>
      <c r="F60" s="16" t="n">
        <v>0.4773825548164495</v>
      </c>
      <c r="G60" s="16" t="n">
        <v>0.004891694042199594</v>
      </c>
      <c r="H60" s="16" t="n">
        <v>13.09400310968609</v>
      </c>
      <c r="I60" s="16" t="n">
        <v>2.67327703942725</v>
      </c>
      <c r="J60" s="16" t="n">
        <v>7.687681826430111</v>
      </c>
      <c r="K60" s="16" t="n">
        <v>0.3011286473344421</v>
      </c>
      <c r="L60" s="16" t="n">
        <v>0.07990846586873043</v>
      </c>
      <c r="M60" s="16" t="n">
        <v>14.84586439012899</v>
      </c>
      <c r="N60" s="16" t="n">
        <v>0.5844276549890844</v>
      </c>
      <c r="O60" s="16" t="n">
        <v>0.2481843225463314</v>
      </c>
      <c r="P60" s="16" t="n">
        <v>26.71839939448173</v>
      </c>
      <c r="Q60" s="16" t="n">
        <v>1.262533217259658</v>
      </c>
      <c r="R60" s="16" t="n">
        <v>0.6321302590302869</v>
      </c>
      <c r="S60" s="16" t="n">
        <v>27.34061768932676</v>
      </c>
      <c r="T60" s="16" t="n">
        <v>27.50889354600436</v>
      </c>
      <c r="U60" s="16" t="n">
        <v>27.89283948248832</v>
      </c>
      <c r="V60" s="16" t="n">
        <v>36.69687435930132</v>
      </c>
      <c r="W60" s="16" t="n">
        <v>36.69687435930132</v>
      </c>
      <c r="X60" s="16" t="n">
        <v>9.35625666997456</v>
      </c>
      <c r="Y60" s="16" t="n">
        <v>9.187980813296956</v>
      </c>
      <c r="Z60" s="16" t="n">
        <v>8.804034876813002</v>
      </c>
      <c r="AA60" s="16" t="n">
        <v>1.881788888888889</v>
      </c>
      <c r="AB60" s="16" t="n">
        <v>1.287677777777778</v>
      </c>
      <c r="AC60" s="16" t="n">
        <v>37.9845521370791</v>
      </c>
      <c r="AD60" s="16" t="n">
        <v>37.9845521370791</v>
      </c>
      <c r="AE60" s="16" t="n">
        <v>8.762145558863452</v>
      </c>
      <c r="AF60" s="16" t="n">
        <v>8.593869702185849</v>
      </c>
      <c r="AG60" s="16" t="n">
        <v>8.209923765701895</v>
      </c>
      <c r="AH60" s="16" t="n">
        <v>39.02</v>
      </c>
      <c r="AI60" s="16" t="n">
        <v>36.0561354718805</v>
      </c>
      <c r="AJ60" t="inlineStr">
        <is>
          <t>10 of 17 sourced, 3 derived, 1 proxy, 3 assumption</t>
        </is>
      </c>
    </row>
    <row r="61">
      <c r="A61" s="29" t="n">
        <v>47088</v>
      </c>
      <c r="B61" t="inlineStr">
        <is>
          <t>Forecast</t>
        </is>
      </c>
      <c r="C61" s="16" t="n">
        <v>4.588742658117908</v>
      </c>
      <c r="D61" s="16" t="n">
        <v>6.127807724953939</v>
      </c>
      <c r="E61" s="16" t="n">
        <v>0.8109550021625722</v>
      </c>
      <c r="F61" s="16" t="n">
        <v>0.6085549143271148</v>
      </c>
      <c r="G61" s="16" t="n">
        <v>0.004888090590865522</v>
      </c>
      <c r="H61" s="16" t="n">
        <v>13.04702460392214</v>
      </c>
      <c r="I61" s="16" t="n">
        <v>2.551527834641582</v>
      </c>
      <c r="J61" s="16" t="n">
        <v>7.760539967943803</v>
      </c>
      <c r="K61" s="16" t="n">
        <v>0.3039825211154682</v>
      </c>
      <c r="L61" s="16" t="n">
        <v>0.08276233964975652</v>
      </c>
      <c r="M61" s="16" t="n">
        <v>15.07102428831712</v>
      </c>
      <c r="N61" s="16" t="n">
        <v>0.5932913807943105</v>
      </c>
      <c r="O61" s="16" t="n">
        <v>0.2570480483515575</v>
      </c>
      <c r="P61" s="16" t="n">
        <v>27.19616642042205</v>
      </c>
      <c r="Q61" s="16" t="n">
        <v>1.285109297939311</v>
      </c>
      <c r="R61" s="16" t="n">
        <v>0.65470633970994</v>
      </c>
      <c r="S61" s="16" t="n">
        <v>27.82226316836589</v>
      </c>
      <c r="T61" s="16" t="n">
        <v>27.99654887706768</v>
      </c>
      <c r="U61" s="16" t="n">
        <v>28.39420716842607</v>
      </c>
      <c r="V61" s="16" t="n">
        <v>36.93394943284404</v>
      </c>
      <c r="W61" s="16" t="n">
        <v>36.93394943284404</v>
      </c>
      <c r="X61" s="16" t="n">
        <v>9.111686264478152</v>
      </c>
      <c r="Y61" s="16" t="n">
        <v>8.937400555776353</v>
      </c>
      <c r="Z61" s="16" t="n">
        <v>8.539742264417971</v>
      </c>
      <c r="AA61" s="16" t="n">
        <v>1.379204301075269</v>
      </c>
      <c r="AB61" s="16" t="n">
        <v>2.158774193548387</v>
      </c>
      <c r="AC61" s="16" t="n">
        <v>39.09272362639243</v>
      </c>
      <c r="AD61" s="16" t="n">
        <v>39.09272362639243</v>
      </c>
      <c r="AE61" s="16" t="n">
        <v>9.891256156951272</v>
      </c>
      <c r="AF61" s="16" t="n">
        <v>9.716970448249473</v>
      </c>
      <c r="AG61" s="16" t="n">
        <v>9.31931215689109</v>
      </c>
      <c r="AH61" s="16" t="n">
        <v>39.02</v>
      </c>
      <c r="AI61" s="16" t="n">
        <v>36.32409883520093</v>
      </c>
      <c r="AJ61" t="inlineStr">
        <is>
          <t>10 of 17 sourced, 3 derived, 1 proxy, 3 assumption</t>
        </is>
      </c>
    </row>
    <row r="62">
      <c r="A62" s="29" t="n">
        <v>47119</v>
      </c>
      <c r="B62" s="25" t="inlineStr">
        <is>
          <t>Scenario</t>
        </is>
      </c>
      <c r="C62" s="27" t="n">
        <v>5.579445751982315</v>
      </c>
      <c r="D62" s="27" t="n">
        <v>5.987455449566409</v>
      </c>
      <c r="E62" s="27" t="n">
        <v>1.443939668847552</v>
      </c>
      <c r="F62" s="27" t="n">
        <v>0.8484644815497716</v>
      </c>
      <c r="G62" s="27" t="n">
        <v>0.006240292559390729</v>
      </c>
      <c r="H62" s="27" t="n">
        <v>12.67205817734582</v>
      </c>
      <c r="I62" s="27" t="n">
        <v>2.810892814802997</v>
      </c>
      <c r="J62" s="27" t="n">
        <v>7.833398109457496</v>
      </c>
      <c r="K62" s="27" t="n">
        <v>0.3068363948964943</v>
      </c>
      <c r="L62" s="27" t="n">
        <v>0.0856162134307826</v>
      </c>
      <c r="M62" s="27" t="n">
        <v>15.29618418650526</v>
      </c>
      <c r="N62" s="27" t="n">
        <v>0.6021551065995366</v>
      </c>
      <c r="O62" s="27" t="n">
        <v>0.2659117741567836</v>
      </c>
      <c r="P62" s="27" t="n">
        <v>27.67393344636238</v>
      </c>
      <c r="Q62" s="27" t="n">
        <v>1.307685378618964</v>
      </c>
      <c r="R62" s="27" t="n">
        <v>0.6772824203895931</v>
      </c>
      <c r="S62" s="27" t="n">
        <v>29.43411285008504</v>
      </c>
      <c r="T62" s="27" t="n">
        <v>29.61440841081104</v>
      </c>
      <c r="U62" s="27" t="n">
        <v>30.02577905704385</v>
      </c>
      <c r="V62" s="27" t="n">
        <v>37.04951749580509</v>
      </c>
      <c r="W62" s="27" t="n">
        <v>37.04951749580509</v>
      </c>
      <c r="X62" s="27" t="n">
        <v>7.615404645720055</v>
      </c>
      <c r="Y62" s="27" t="n">
        <v>7.435109084994053</v>
      </c>
      <c r="Z62" s="27" t="n">
        <v>7.023738438761246</v>
      </c>
      <c r="AA62" s="27" t="n">
        <v>0.9953118279569892</v>
      </c>
      <c r="AB62" s="27" t="n">
        <v>4.435344086021505</v>
      </c>
      <c r="AC62" s="27" t="n">
        <v>41.48486158182659</v>
      </c>
      <c r="AD62" s="27" t="n">
        <v>41.48486158182659</v>
      </c>
      <c r="AE62" s="27" t="n">
        <v>11.05543690378457</v>
      </c>
      <c r="AF62" s="27" t="n">
        <v>10.87514134305857</v>
      </c>
      <c r="AG62" s="27" t="n">
        <v>10.46377069682576</v>
      </c>
      <c r="AH62" s="27" t="n">
        <v>39.02</v>
      </c>
      <c r="AI62" s="27" t="n">
        <v>36.44967574419481</v>
      </c>
      <c r="AJ62" s="25" t="inlineStr">
        <is>
          <t>10 of 17 sourced, 3 derived, 1 proxy, 3 assumption</t>
        </is>
      </c>
    </row>
    <row r="63">
      <c r="A63" s="29" t="n">
        <v>47150</v>
      </c>
      <c r="B63" s="25" t="inlineStr">
        <is>
          <t>Scenario</t>
        </is>
      </c>
      <c r="C63" s="27" t="n">
        <v>4.573570037829584</v>
      </c>
      <c r="D63" s="27" t="n">
        <v>5.863511577280807</v>
      </c>
      <c r="E63" s="27" t="n">
        <v>1.008412805318933</v>
      </c>
      <c r="F63" s="27" t="n">
        <v>0.6677322092282659</v>
      </c>
      <c r="G63" s="27" t="n">
        <v>0.006234666310272906</v>
      </c>
      <c r="H63" s="27" t="n">
        <v>12.56022123652036</v>
      </c>
      <c r="I63" s="27" t="n">
        <v>2.763326342951468</v>
      </c>
      <c r="J63" s="27" t="n">
        <v>7.906256250971189</v>
      </c>
      <c r="K63" s="27" t="n">
        <v>0.3096902686775204</v>
      </c>
      <c r="L63" s="27" t="n">
        <v>0.08847008721180868</v>
      </c>
      <c r="M63" s="27" t="n">
        <v>15.5213440846934</v>
      </c>
      <c r="N63" s="27" t="n">
        <v>0.6110188324047627</v>
      </c>
      <c r="O63" s="27" t="n">
        <v>0.2747754999620097</v>
      </c>
      <c r="P63" s="27" t="n">
        <v>28.1517004723027</v>
      </c>
      <c r="Q63" s="27" t="n">
        <v>1.330261459298617</v>
      </c>
      <c r="R63" s="27" t="n">
        <v>0.6998585010692462</v>
      </c>
      <c r="S63" s="27" t="n">
        <v>27.53147896265151</v>
      </c>
      <c r="T63" s="27" t="n">
        <v>27.71778437540171</v>
      </c>
      <c r="U63" s="27" t="n">
        <v>28.14286737650894</v>
      </c>
      <c r="V63" s="27" t="n">
        <v>37.16545071279388</v>
      </c>
      <c r="W63" s="27" t="n">
        <v>37.16545071279388</v>
      </c>
      <c r="X63" s="27" t="n">
        <v>9.633971750142372</v>
      </c>
      <c r="Y63" s="27" t="n">
        <v>9.447666337392171</v>
      </c>
      <c r="Z63" s="27" t="n">
        <v>9.022583336284935</v>
      </c>
      <c r="AA63" s="27" t="n">
        <v>1.637940886699507</v>
      </c>
      <c r="AB63" s="27" t="n">
        <v>2.852903530377668</v>
      </c>
      <c r="AC63" s="27" t="n">
        <v>40.01835424317154</v>
      </c>
      <c r="AD63" s="27" t="n">
        <v>40.01835424317154</v>
      </c>
      <c r="AE63" s="27" t="n">
        <v>10.84893439382053</v>
      </c>
      <c r="AF63" s="27" t="n">
        <v>10.66262898107033</v>
      </c>
      <c r="AG63" s="27" t="n">
        <v>10.23754597996309</v>
      </c>
      <c r="AH63" s="27" t="n">
        <v>39.02</v>
      </c>
      <c r="AI63" s="27" t="n">
        <v>36.5756867881178</v>
      </c>
      <c r="AJ63" s="25" t="inlineStr">
        <is>
          <t>10 of 17 sourced, 3 derived, 1 proxy, 3 assumption</t>
        </is>
      </c>
    </row>
    <row r="64">
      <c r="A64" s="29" t="n">
        <v>47178</v>
      </c>
      <c r="B64" s="25" t="inlineStr">
        <is>
          <t>Scenario</t>
        </is>
      </c>
      <c r="C64" s="27" t="n">
        <v>4.068206450284062</v>
      </c>
      <c r="D64" s="27" t="n">
        <v>5.836251787707528</v>
      </c>
      <c r="E64" s="27" t="n">
        <v>0.4625001195152331</v>
      </c>
      <c r="F64" s="27" t="n">
        <v>0.459467068172916</v>
      </c>
      <c r="G64" s="27" t="n">
        <v>0.006208693772447616</v>
      </c>
      <c r="H64" s="27" t="n">
        <v>12.25593655124702</v>
      </c>
      <c r="I64" s="27" t="n">
        <v>2.662850686577613</v>
      </c>
      <c r="J64" s="27" t="n">
        <v>7.979114392484881</v>
      </c>
      <c r="K64" s="27" t="n">
        <v>0.3125441424585464</v>
      </c>
      <c r="L64" s="27" t="n">
        <v>0.09132396099283477</v>
      </c>
      <c r="M64" s="27" t="n">
        <v>15.74650398288153</v>
      </c>
      <c r="N64" s="27" t="n">
        <v>0.6198825582099889</v>
      </c>
      <c r="O64" s="27" t="n">
        <v>0.2836392257672359</v>
      </c>
      <c r="P64" s="27" t="n">
        <v>28.62946749824302</v>
      </c>
      <c r="Q64" s="27" t="n">
        <v>1.35283753997827</v>
      </c>
      <c r="R64" s="27" t="n">
        <v>0.7224345817488993</v>
      </c>
      <c r="S64" s="27" t="n">
        <v>25.84274531826966</v>
      </c>
      <c r="T64" s="27" t="n">
        <v>26.03506058304406</v>
      </c>
      <c r="U64" s="27" t="n">
        <v>26.47385593902572</v>
      </c>
      <c r="V64" s="27" t="n">
        <v>37.28175027274523</v>
      </c>
      <c r="W64" s="27" t="n">
        <v>37.28175027274523</v>
      </c>
      <c r="X64" s="27" t="n">
        <v>11.43900495447557</v>
      </c>
      <c r="Y64" s="27" t="n">
        <v>11.24668968970117</v>
      </c>
      <c r="Z64" s="27" t="n">
        <v>10.80789433371951</v>
      </c>
      <c r="AA64" s="27" t="n">
        <v>2.392172043010753</v>
      </c>
      <c r="AB64" s="27" t="n">
        <v>1.187268817204301</v>
      </c>
      <c r="AC64" s="27" t="n">
        <v>38.46901908994953</v>
      </c>
      <c r="AD64" s="27" t="n">
        <v>38.46901908994953</v>
      </c>
      <c r="AE64" s="27" t="n">
        <v>10.23410172866912</v>
      </c>
      <c r="AF64" s="27" t="n">
        <v>10.04178646389472</v>
      </c>
      <c r="AG64" s="27" t="n">
        <v>9.602991107913052</v>
      </c>
      <c r="AH64" s="27" t="n">
        <v>39.02</v>
      </c>
      <c r="AI64" s="27" t="n">
        <v>36.70213346782811</v>
      </c>
      <c r="AJ64" s="25" t="inlineStr">
        <is>
          <t>10 of 17 sourced, 3 derived, 1 proxy, 3 assumption</t>
        </is>
      </c>
    </row>
    <row r="65">
      <c r="A65" s="29" t="n">
        <v>47209</v>
      </c>
      <c r="B65" s="25" t="inlineStr">
        <is>
          <t>Scenario</t>
        </is>
      </c>
      <c r="C65" s="27" t="n">
        <v>4.495762034023503</v>
      </c>
      <c r="D65" s="27" t="n">
        <v>5.770987229173467</v>
      </c>
      <c r="E65" s="27" t="n">
        <v>0.3002238890422823</v>
      </c>
      <c r="F65" s="27" t="n">
        <v>0.4178433633664669</v>
      </c>
      <c r="G65" s="27" t="n">
        <v>0.006189968488953602</v>
      </c>
      <c r="H65" s="27" t="n">
        <v>11.8381445387415</v>
      </c>
      <c r="I65" s="27" t="n">
        <v>2.866903990894866</v>
      </c>
      <c r="J65" s="27" t="n">
        <v>8.051972533998574</v>
      </c>
      <c r="K65" s="27" t="n">
        <v>0.3153980162395726</v>
      </c>
      <c r="L65" s="27" t="n">
        <v>0.09417783477386091</v>
      </c>
      <c r="M65" s="27" t="n">
        <v>15.97166388106967</v>
      </c>
      <c r="N65" s="27" t="n">
        <v>0.628746284015215</v>
      </c>
      <c r="O65" s="27" t="n">
        <v>0.292502951572462</v>
      </c>
      <c r="P65" s="27" t="n">
        <v>29.10723452418334</v>
      </c>
      <c r="Q65" s="27" t="n">
        <v>1.375413620657923</v>
      </c>
      <c r="R65" s="27" t="n">
        <v>0.7450106624285524</v>
      </c>
      <c r="S65" s="27" t="n">
        <v>25.79023284850491</v>
      </c>
      <c r="T65" s="27" t="n">
        <v>25.98855796530351</v>
      </c>
      <c r="U65" s="27" t="n">
        <v>26.4410656761596</v>
      </c>
      <c r="V65" s="27" t="n">
        <v>37.39841736854674</v>
      </c>
      <c r="W65" s="27" t="n">
        <v>37.39841736854674</v>
      </c>
      <c r="X65" s="27" t="n">
        <v>11.60818452004183</v>
      </c>
      <c r="Y65" s="27" t="n">
        <v>11.40985940324323</v>
      </c>
      <c r="Z65" s="27" t="n">
        <v>10.95735169238714</v>
      </c>
      <c r="AA65" s="27" t="n">
        <v>2.271922222222222</v>
      </c>
      <c r="AB65" s="27" t="n">
        <v>1.159666666666667</v>
      </c>
      <c r="AC65" s="27" t="n">
        <v>38.5580840352134</v>
      </c>
      <c r="AD65" s="27" t="n">
        <v>38.5580840352134</v>
      </c>
      <c r="AE65" s="27" t="n">
        <v>10.49592896448627</v>
      </c>
      <c r="AF65" s="27" t="n">
        <v>10.29760384768768</v>
      </c>
      <c r="AG65" s="27" t="n">
        <v>9.845096136831586</v>
      </c>
      <c r="AH65" s="27" t="n">
        <v>39.02</v>
      </c>
      <c r="AI65" s="27" t="n">
        <v>36.82901728937263</v>
      </c>
      <c r="AJ65" s="25" t="inlineStr">
        <is>
          <t>10 of 17 sourced, 3 derived, 1 proxy, 3 assumption</t>
        </is>
      </c>
    </row>
    <row r="66">
      <c r="A66" s="29" t="n">
        <v>47239</v>
      </c>
      <c r="B66" s="25" t="inlineStr">
        <is>
          <t>Scenario</t>
        </is>
      </c>
      <c r="C66" s="27" t="n">
        <v>5.792966830004294</v>
      </c>
      <c r="D66" s="27" t="n">
        <v>5.641342272009844</v>
      </c>
      <c r="E66" s="27" t="n">
        <v>0.20792603295778</v>
      </c>
      <c r="F66" s="27" t="n">
        <v>0.3510255845994332</v>
      </c>
      <c r="G66" s="27" t="n">
        <v>0.006177254991357879</v>
      </c>
      <c r="H66" s="27" t="n">
        <v>12.20315815805368</v>
      </c>
      <c r="I66" s="27" t="n">
        <v>3.115965435072403</v>
      </c>
      <c r="J66" s="27" t="n">
        <v>8.124830675512268</v>
      </c>
      <c r="K66" s="27" t="n">
        <v>0.3182518900205987</v>
      </c>
      <c r="L66" s="27" t="n">
        <v>0.09703170855488699</v>
      </c>
      <c r="M66" s="27" t="n">
        <v>16.19682377925781</v>
      </c>
      <c r="N66" s="27" t="n">
        <v>0.6376100098204411</v>
      </c>
      <c r="O66" s="27" t="n">
        <v>0.3013666773776881</v>
      </c>
      <c r="P66" s="27" t="n">
        <v>29.58500155012367</v>
      </c>
      <c r="Q66" s="27" t="n">
        <v>1.397989701337576</v>
      </c>
      <c r="R66" s="27" t="n">
        <v>0.7675867431082055</v>
      </c>
      <c r="S66" s="27" t="n">
        <v>27.41559327624368</v>
      </c>
      <c r="T66" s="27" t="n">
        <v>27.61992824506649</v>
      </c>
      <c r="U66" s="27" t="n">
        <v>28.086148310797</v>
      </c>
      <c r="V66" s="27" t="n">
        <v>37.51545319705213</v>
      </c>
      <c r="W66" s="27" t="n">
        <v>37.51545319705213</v>
      </c>
      <c r="X66" s="27" t="n">
        <v>10.09985992080845</v>
      </c>
      <c r="Y66" s="27" t="n">
        <v>9.895524951985646</v>
      </c>
      <c r="Z66" s="27" t="n">
        <v>9.429304886255132</v>
      </c>
      <c r="AA66" s="27" t="n">
        <v>2.179247311827957</v>
      </c>
      <c r="AB66" s="27" t="n">
        <v>1.123032258064516</v>
      </c>
      <c r="AC66" s="27" t="n">
        <v>38.63848545511665</v>
      </c>
      <c r="AD66" s="27" t="n">
        <v>38.63848545511665</v>
      </c>
      <c r="AE66" s="27" t="n">
        <v>9.04364486704501</v>
      </c>
      <c r="AF66" s="27" t="n">
        <v>8.839309898222208</v>
      </c>
      <c r="AG66" s="27" t="n">
        <v>8.373089832491694</v>
      </c>
      <c r="AH66" s="27" t="n">
        <v>39.02</v>
      </c>
      <c r="AI66" s="27" t="n">
        <v>36.95633976400482</v>
      </c>
      <c r="AJ66" s="25" t="inlineStr">
        <is>
          <t>10 of 17 sourced, 3 derived, 1 proxy, 3 assumption</t>
        </is>
      </c>
    </row>
    <row r="67">
      <c r="A67" s="29" t="n">
        <v>47270</v>
      </c>
      <c r="B67" s="25" t="inlineStr">
        <is>
          <t>Scenario</t>
        </is>
      </c>
      <c r="C67" s="27" t="n">
        <v>6.680486736221694</v>
      </c>
      <c r="D67" s="27" t="n">
        <v>5.703908483234074</v>
      </c>
      <c r="E67" s="27" t="n">
        <v>0.1977902928953284</v>
      </c>
      <c r="F67" s="27" t="n">
        <v>0.3536645098878322</v>
      </c>
      <c r="G67" s="27" t="n">
        <v>0.006158624526534295</v>
      </c>
      <c r="H67" s="27" t="n">
        <v>12.32918349618877</v>
      </c>
      <c r="I67" s="27" t="n">
        <v>3.055522244581936</v>
      </c>
      <c r="J67" s="27" t="n">
        <v>8.197688817025959</v>
      </c>
      <c r="K67" s="27" t="n">
        <v>0.3211057638016248</v>
      </c>
      <c r="L67" s="27" t="n">
        <v>0.09988558233591308</v>
      </c>
      <c r="M67" s="27" t="n">
        <v>16.42198367744594</v>
      </c>
      <c r="N67" s="27" t="n">
        <v>0.6464737356256672</v>
      </c>
      <c r="O67" s="27" t="n">
        <v>0.3102304031829142</v>
      </c>
      <c r="P67" s="27" t="n">
        <v>30.06276857606399</v>
      </c>
      <c r="Q67" s="27" t="n">
        <v>1.420565782017229</v>
      </c>
      <c r="R67" s="27" t="n">
        <v>0.7901628237878588</v>
      </c>
      <c r="S67" s="27" t="n">
        <v>28.42659996987209</v>
      </c>
      <c r="T67" s="27" t="n">
        <v>28.63694479071909</v>
      </c>
      <c r="U67" s="27" t="n">
        <v>29.11687721132403</v>
      </c>
      <c r="V67" s="27" t="n">
        <v>37.63285895909468</v>
      </c>
      <c r="W67" s="27" t="n">
        <v>37.63285895909468</v>
      </c>
      <c r="X67" s="27" t="n">
        <v>9.20625898922259</v>
      </c>
      <c r="Y67" s="27" t="n">
        <v>8.995914168375588</v>
      </c>
      <c r="Z67" s="27" t="n">
        <v>8.515981747770642</v>
      </c>
      <c r="AA67" s="27" t="n">
        <v>1.835466666666667</v>
      </c>
      <c r="AB67" s="27" t="n">
        <v>1.149211111111111</v>
      </c>
      <c r="AC67" s="27" t="n">
        <v>38.78207007020579</v>
      </c>
      <c r="AD67" s="27" t="n">
        <v>38.78207007020579</v>
      </c>
      <c r="AE67" s="27" t="n">
        <v>8.520003433667037</v>
      </c>
      <c r="AF67" s="27" t="n">
        <v>8.309658612820035</v>
      </c>
      <c r="AG67" s="27" t="n">
        <v>7.829726192215089</v>
      </c>
      <c r="AH67" s="27" t="n">
        <v>39.02</v>
      </c>
      <c r="AI67" s="27" t="n">
        <v>37.08410240820273</v>
      </c>
      <c r="AJ67" s="25" t="inlineStr">
        <is>
          <t>10 of 17 sourced, 3 derived, 1 proxy, 3 assumption</t>
        </is>
      </c>
    </row>
    <row r="68">
      <c r="A68" s="29" t="n">
        <v>47300</v>
      </c>
      <c r="B68" s="25" t="inlineStr">
        <is>
          <t>Scenario</t>
        </is>
      </c>
      <c r="C68" s="27" t="n">
        <v>7.270704077454631</v>
      </c>
      <c r="D68" s="27" t="n">
        <v>5.689849387987933</v>
      </c>
      <c r="E68" s="27" t="n">
        <v>0.1848707698932664</v>
      </c>
      <c r="F68" s="27" t="n">
        <v>0.3379849801589349</v>
      </c>
      <c r="G68" s="27" t="n">
        <v>0.006145975405904556</v>
      </c>
      <c r="H68" s="27" t="n">
        <v>11.99695972456145</v>
      </c>
      <c r="I68" s="27" t="n">
        <v>2.915876987978199</v>
      </c>
      <c r="J68" s="27" t="n">
        <v>8.270546958539652</v>
      </c>
      <c r="K68" s="27" t="n">
        <v>0.3239596375826508</v>
      </c>
      <c r="L68" s="27" t="n">
        <v>0.1027394561169392</v>
      </c>
      <c r="M68" s="27" t="n">
        <v>16.64714357563408</v>
      </c>
      <c r="N68" s="27" t="n">
        <v>0.6553374614308933</v>
      </c>
      <c r="O68" s="27" t="n">
        <v>0.3190941289881403</v>
      </c>
      <c r="P68" s="27" t="n">
        <v>30.54053560200432</v>
      </c>
      <c r="Q68" s="27" t="n">
        <v>1.443141862696883</v>
      </c>
      <c r="R68" s="27" t="n">
        <v>0.812738904467512</v>
      </c>
      <c r="S68" s="27" t="n">
        <v>28.50513135955726</v>
      </c>
      <c r="T68" s="27" t="n">
        <v>28.72148603242846</v>
      </c>
      <c r="U68" s="27" t="n">
        <v>29.21513080790783</v>
      </c>
      <c r="V68" s="27" t="n">
        <v>37.75063585950051</v>
      </c>
      <c r="W68" s="27" t="n">
        <v>37.75063585950051</v>
      </c>
      <c r="X68" s="27" t="n">
        <v>9.245504499943245</v>
      </c>
      <c r="Y68" s="27" t="n">
        <v>9.029149827072043</v>
      </c>
      <c r="Z68" s="27" t="n">
        <v>8.535505051592672</v>
      </c>
      <c r="AA68" s="27" t="n">
        <v>1.445075268817204</v>
      </c>
      <c r="AB68" s="27" t="n">
        <v>1.521387096774194</v>
      </c>
      <c r="AC68" s="27" t="n">
        <v>39.2720229562747</v>
      </c>
      <c r="AD68" s="27" t="n">
        <v>39.2720229562747</v>
      </c>
      <c r="AE68" s="27" t="n">
        <v>9.321816327900232</v>
      </c>
      <c r="AF68" s="27" t="n">
        <v>9.10546165502903</v>
      </c>
      <c r="AG68" s="27" t="n">
        <v>8.611816879549659</v>
      </c>
      <c r="AH68" s="27" t="n">
        <v>39.02</v>
      </c>
      <c r="AI68" s="27" t="n">
        <v>37.21230674368709</v>
      </c>
      <c r="AJ68" s="25" t="inlineStr">
        <is>
          <t>10 of 17 sourced, 3 derived, 1 proxy, 3 assumption</t>
        </is>
      </c>
    </row>
    <row r="69">
      <c r="A69" s="29" t="n">
        <v>47331</v>
      </c>
      <c r="B69" s="25" t="inlineStr">
        <is>
          <t>Scenario</t>
        </is>
      </c>
      <c r="C69" s="27" t="n">
        <v>8.161645258862009</v>
      </c>
      <c r="D69" s="27" t="n">
        <v>5.756175274815552</v>
      </c>
      <c r="E69" s="27" t="n">
        <v>0.1624089611398642</v>
      </c>
      <c r="F69" s="27" t="n">
        <v>0.3294701322107302</v>
      </c>
      <c r="G69" s="27" t="n">
        <v>0.004789833336147866</v>
      </c>
      <c r="H69" s="27" t="n">
        <v>12.31445570816869</v>
      </c>
      <c r="I69" s="27" t="n">
        <v>2.98423815010606</v>
      </c>
      <c r="J69" s="27" t="n">
        <v>8.343405100053346</v>
      </c>
      <c r="K69" s="27" t="n">
        <v>0.3268135113636769</v>
      </c>
      <c r="L69" s="27" t="n">
        <v>0.1055933298979652</v>
      </c>
      <c r="M69" s="27" t="n">
        <v>16.87230347382222</v>
      </c>
      <c r="N69" s="27" t="n">
        <v>0.6642011872361194</v>
      </c>
      <c r="O69" s="27" t="n">
        <v>0.3279578547933664</v>
      </c>
      <c r="P69" s="27" t="n">
        <v>31.01830262794464</v>
      </c>
      <c r="Q69" s="27" t="n">
        <v>1.465717943376536</v>
      </c>
      <c r="R69" s="27" t="n">
        <v>0.8353149851471651</v>
      </c>
      <c r="S69" s="27" t="n">
        <v>29.81877664853702</v>
      </c>
      <c r="T69" s="27" t="n">
        <v>30.04114117343242</v>
      </c>
      <c r="U69" s="27" t="n">
        <v>30.54849830378622</v>
      </c>
      <c r="V69" s="27" t="n">
        <v>37.86878510710218</v>
      </c>
      <c r="W69" s="27" t="n">
        <v>37.86878510710218</v>
      </c>
      <c r="X69" s="27" t="n">
        <v>8.050008458565159</v>
      </c>
      <c r="Y69" s="27" t="n">
        <v>7.827643933669755</v>
      </c>
      <c r="Z69" s="27" t="n">
        <v>7.320286803315959</v>
      </c>
      <c r="AA69" s="27" t="n">
        <v>1.741763440860215</v>
      </c>
      <c r="AB69" s="27" t="n">
        <v>2.883548387096774</v>
      </c>
      <c r="AC69" s="27" t="n">
        <v>40.75233349419895</v>
      </c>
      <c r="AD69" s="27" t="n">
        <v>40.75233349419895</v>
      </c>
      <c r="AE69" s="27" t="n">
        <v>9.191793404801718</v>
      </c>
      <c r="AF69" s="27" t="n">
        <v>8.969428879906314</v>
      </c>
      <c r="AG69" s="27" t="n">
        <v>8.462071749552518</v>
      </c>
      <c r="AH69" s="27" t="n">
        <v>39.02</v>
      </c>
      <c r="AI69" s="27" t="n">
        <v>37.34095429743937</v>
      </c>
      <c r="AJ69" s="25" t="inlineStr">
        <is>
          <t>10 of 17 sourced, 3 derived, 1 proxy, 3 assumption</t>
        </is>
      </c>
    </row>
    <row r="70">
      <c r="A70" s="29" t="n">
        <v>47362</v>
      </c>
      <c r="B70" s="25" t="inlineStr">
        <is>
          <t>Scenario</t>
        </is>
      </c>
      <c r="C70" s="27" t="n">
        <v>6.918029331066658</v>
      </c>
      <c r="D70" s="27" t="n">
        <v>5.7305463126461</v>
      </c>
      <c r="E70" s="27" t="n">
        <v>0.1597605556626947</v>
      </c>
      <c r="F70" s="27" t="n">
        <v>0.3375101153240409</v>
      </c>
      <c r="G70" s="27" t="n">
        <v>0.004769092334320517</v>
      </c>
      <c r="H70" s="27" t="n">
        <v>12.89759651652548</v>
      </c>
      <c r="I70" s="27" t="n">
        <v>2.80921874292457</v>
      </c>
      <c r="J70" s="27" t="n">
        <v>8.416263241567039</v>
      </c>
      <c r="K70" s="27" t="n">
        <v>0.3296673851447031</v>
      </c>
      <c r="L70" s="27" t="n">
        <v>0.1084472036789914</v>
      </c>
      <c r="M70" s="27" t="n">
        <v>17.09746337201036</v>
      </c>
      <c r="N70" s="27" t="n">
        <v>0.6730649130413455</v>
      </c>
      <c r="O70" s="27" t="n">
        <v>0.3368215805985925</v>
      </c>
      <c r="P70" s="27" t="n">
        <v>31.49606965388496</v>
      </c>
      <c r="Q70" s="27" t="n">
        <v>1.488294024056189</v>
      </c>
      <c r="R70" s="27" t="n">
        <v>0.8578910658268182</v>
      </c>
      <c r="S70" s="27" t="n">
        <v>28.96587787016285</v>
      </c>
      <c r="T70" s="27" t="n">
        <v>29.19425224708245</v>
      </c>
      <c r="U70" s="27" t="n">
        <v>29.71532173231068</v>
      </c>
      <c r="V70" s="27" t="n">
        <v>37.98730791475212</v>
      </c>
      <c r="W70" s="27" t="n">
        <v>37.98730791475212</v>
      </c>
      <c r="X70" s="27" t="n">
        <v>9.02143004458927</v>
      </c>
      <c r="Y70" s="27" t="n">
        <v>8.79305566766967</v>
      </c>
      <c r="Z70" s="27" t="n">
        <v>8.271986182441445</v>
      </c>
      <c r="AA70" s="27" t="n">
        <v>2.412133333333333</v>
      </c>
      <c r="AB70" s="27" t="n">
        <v>2.104855555555555</v>
      </c>
      <c r="AC70" s="27" t="n">
        <v>40.09216347030767</v>
      </c>
      <c r="AD70" s="27" t="n">
        <v>40.09216347030767</v>
      </c>
      <c r="AE70" s="27" t="n">
        <v>8.714152266811489</v>
      </c>
      <c r="AF70" s="27" t="n">
        <v>8.485777889891889</v>
      </c>
      <c r="AG70" s="27" t="n">
        <v>7.964708404663664</v>
      </c>
      <c r="AH70" s="27" t="n">
        <v>39.02</v>
      </c>
      <c r="AI70" s="27" t="n">
        <v>37.47004660172003</v>
      </c>
      <c r="AJ70" s="25" t="inlineStr">
        <is>
          <t>10 of 17 sourced, 3 derived, 1 proxy, 3 assumption</t>
        </is>
      </c>
    </row>
    <row r="71">
      <c r="A71" s="29" t="n">
        <v>47392</v>
      </c>
      <c r="B71" s="25" t="inlineStr">
        <is>
          <t>Scenario</t>
        </is>
      </c>
      <c r="C71" s="27" t="n">
        <v>5.436307874895696</v>
      </c>
      <c r="D71" s="27" t="n">
        <v>5.579580134933084</v>
      </c>
      <c r="E71" s="27" t="n">
        <v>0.2217337697857169</v>
      </c>
      <c r="F71" s="27" t="n">
        <v>0.3695394276048383</v>
      </c>
      <c r="G71" s="27" t="n">
        <v>0.004765579197156548</v>
      </c>
      <c r="H71" s="27" t="n">
        <v>13.25228722923687</v>
      </c>
      <c r="I71" s="27" t="n">
        <v>2.679703912145565</v>
      </c>
      <c r="J71" s="27" t="n">
        <v>8.489121383080732</v>
      </c>
      <c r="K71" s="27" t="n">
        <v>0.3325212589257291</v>
      </c>
      <c r="L71" s="27" t="n">
        <v>0.1113010774600175</v>
      </c>
      <c r="M71" s="27" t="n">
        <v>17.32262327019849</v>
      </c>
      <c r="N71" s="27" t="n">
        <v>0.6819286388465717</v>
      </c>
      <c r="O71" s="27" t="n">
        <v>0.3456853064038187</v>
      </c>
      <c r="P71" s="27" t="n">
        <v>31.97383667982528</v>
      </c>
      <c r="Q71" s="27" t="n">
        <v>1.510870104735842</v>
      </c>
      <c r="R71" s="27" t="n">
        <v>0.8804671465064713</v>
      </c>
      <c r="S71" s="27" t="n">
        <v>27.65521900525895</v>
      </c>
      <c r="T71" s="27" t="n">
        <v>27.88960323420275</v>
      </c>
      <c r="U71" s="27" t="n">
        <v>28.4243850743054</v>
      </c>
      <c r="V71" s="27" t="n">
        <v>38.10620549933621</v>
      </c>
      <c r="W71" s="27" t="n">
        <v>38.10620549933621</v>
      </c>
      <c r="X71" s="27" t="n">
        <v>10.45098649407727</v>
      </c>
      <c r="Y71" s="27" t="n">
        <v>10.21660226513346</v>
      </c>
      <c r="Z71" s="27" t="n">
        <v>9.681820425030811</v>
      </c>
      <c r="AA71" s="27" t="n">
        <v>2.523494623655914</v>
      </c>
      <c r="AB71" s="27" t="n">
        <v>1.056784946236559</v>
      </c>
      <c r="AC71" s="27" t="n">
        <v>39.16299044557277</v>
      </c>
      <c r="AD71" s="27" t="n">
        <v>39.16299044557277</v>
      </c>
      <c r="AE71" s="27" t="n">
        <v>8.984276816657914</v>
      </c>
      <c r="AF71" s="27" t="n">
        <v>8.749892587714111</v>
      </c>
      <c r="AG71" s="27" t="n">
        <v>8.215110747611458</v>
      </c>
      <c r="AH71" s="27" t="n">
        <v>39.02</v>
      </c>
      <c r="AI71" s="27" t="n">
        <v>37.59958519408674</v>
      </c>
      <c r="AJ71" s="25" t="inlineStr">
        <is>
          <t>10 of 17 sourced, 3 derived, 1 proxy, 3 assumption</t>
        </is>
      </c>
    </row>
    <row r="72">
      <c r="A72" s="29" t="n">
        <v>47423</v>
      </c>
      <c r="B72" s="25" t="inlineStr">
        <is>
          <t>Scenario</t>
        </is>
      </c>
      <c r="C72" s="27" t="n">
        <v>4.645007511031529</v>
      </c>
      <c r="D72" s="27" t="n">
        <v>5.973369772237578</v>
      </c>
      <c r="E72" s="27" t="n">
        <v>0.4265443261066137</v>
      </c>
      <c r="F72" s="27" t="n">
        <v>0.463061078171956</v>
      </c>
      <c r="G72" s="27" t="n">
        <v>0.004744943220933605</v>
      </c>
      <c r="H72" s="27" t="n">
        <v>13.53544208829908</v>
      </c>
      <c r="I72" s="27" t="n">
        <v>2.61913094475531</v>
      </c>
      <c r="J72" s="27" t="n">
        <v>8.561979524594424</v>
      </c>
      <c r="K72" s="27" t="n">
        <v>0.3353751327067552</v>
      </c>
      <c r="L72" s="27" t="n">
        <v>0.1141549512410436</v>
      </c>
      <c r="M72" s="27" t="n">
        <v>17.54778316838663</v>
      </c>
      <c r="N72" s="27" t="n">
        <v>0.6907923646517978</v>
      </c>
      <c r="O72" s="27" t="n">
        <v>0.3545490322090448</v>
      </c>
      <c r="P72" s="27" t="n">
        <v>32.45160370576561</v>
      </c>
      <c r="Q72" s="27" t="n">
        <v>1.533446185415495</v>
      </c>
      <c r="R72" s="27" t="n">
        <v>0.9030432271861244</v>
      </c>
      <c r="S72" s="27" t="n">
        <v>27.78145561506404</v>
      </c>
      <c r="T72" s="27" t="n">
        <v>28.02184969603204</v>
      </c>
      <c r="U72" s="27" t="n">
        <v>28.57034389100912</v>
      </c>
      <c r="V72" s="27" t="n">
        <v>38.22547908178736</v>
      </c>
      <c r="W72" s="27" t="n">
        <v>38.22547908178736</v>
      </c>
      <c r="X72" s="27" t="n">
        <v>10.44402346672332</v>
      </c>
      <c r="Y72" s="27" t="n">
        <v>10.20362938575532</v>
      </c>
      <c r="Z72" s="27" t="n">
        <v>9.655135190778239</v>
      </c>
      <c r="AA72" s="27" t="n">
        <v>1.881788888888889</v>
      </c>
      <c r="AB72" s="27" t="n">
        <v>1.287677777777778</v>
      </c>
      <c r="AC72" s="27" t="n">
        <v>39.51315685956514</v>
      </c>
      <c r="AD72" s="27" t="n">
        <v>39.51315685956514</v>
      </c>
      <c r="AE72" s="27" t="n">
        <v>9.849912355612211</v>
      </c>
      <c r="AF72" s="27" t="n">
        <v>9.609518274644213</v>
      </c>
      <c r="AG72" s="27" t="n">
        <v>9.061024079667131</v>
      </c>
      <c r="AH72" s="27" t="n">
        <v>39.02</v>
      </c>
      <c r="AI72" s="27" t="n">
        <v>37.72957161741267</v>
      </c>
      <c r="AJ72" s="25" t="inlineStr">
        <is>
          <t>10 of 17 sourced, 3 derived, 1 proxy, 3 assumption</t>
        </is>
      </c>
    </row>
    <row r="73">
      <c r="A73" s="29" t="n">
        <v>47453</v>
      </c>
      <c r="B73" s="25" t="inlineStr">
        <is>
          <t>Scenario</t>
        </is>
      </c>
      <c r="C73" s="27" t="n">
        <v>4.588742658117908</v>
      </c>
      <c r="D73" s="27" t="n">
        <v>6.176362401793511</v>
      </c>
      <c r="E73" s="27" t="n">
        <v>0.786626352097695</v>
      </c>
      <c r="F73" s="27" t="n">
        <v>0.5902982668973015</v>
      </c>
      <c r="G73" s="27" t="n">
        <v>0.004741447873139556</v>
      </c>
      <c r="H73" s="27" t="n">
        <v>13.35375671170559</v>
      </c>
      <c r="I73" s="27" t="n">
        <v>2.499847718568692</v>
      </c>
      <c r="J73" s="27" t="n">
        <v>8.634837666108117</v>
      </c>
      <c r="K73" s="27" t="n">
        <v>0.3382290064877813</v>
      </c>
      <c r="L73" s="27" t="n">
        <v>0.1170088250220696</v>
      </c>
      <c r="M73" s="27" t="n">
        <v>17.77294306657476</v>
      </c>
      <c r="N73" s="27" t="n">
        <v>0.6996560904570239</v>
      </c>
      <c r="O73" s="27" t="n">
        <v>0.3634127580142709</v>
      </c>
      <c r="P73" s="27" t="n">
        <v>32.92937073170593</v>
      </c>
      <c r="Q73" s="27" t="n">
        <v>1.556022266095148</v>
      </c>
      <c r="R73" s="27" t="n">
        <v>0.9256193078657775</v>
      </c>
      <c r="S73" s="27" t="n">
        <v>28.1173843820759</v>
      </c>
      <c r="T73" s="27" t="n">
        <v>28.3637883150681</v>
      </c>
      <c r="U73" s="27" t="n">
        <v>28.92599486491961</v>
      </c>
      <c r="V73" s="27" t="n">
        <v>38.34512988709921</v>
      </c>
      <c r="W73" s="27" t="n">
        <v>38.34512988709921</v>
      </c>
      <c r="X73" s="27" t="n">
        <v>10.22774550502331</v>
      </c>
      <c r="Y73" s="27" t="n">
        <v>9.981341572031109</v>
      </c>
      <c r="Z73" s="27" t="n">
        <v>9.419135022179603</v>
      </c>
      <c r="AA73" s="27" t="n">
        <v>1.379204301075269</v>
      </c>
      <c r="AB73" s="27" t="n">
        <v>2.158774193548387</v>
      </c>
      <c r="AC73" s="27" t="n">
        <v>40.5039040806476</v>
      </c>
      <c r="AD73" s="27" t="n">
        <v>40.5039040806476</v>
      </c>
      <c r="AE73" s="27" t="n">
        <v>11.00731539749643</v>
      </c>
      <c r="AF73" s="27" t="n">
        <v>10.76091146450423</v>
      </c>
      <c r="AG73" s="27" t="n">
        <v>10.19870491465272</v>
      </c>
      <c r="AH73" s="27" t="n">
        <v>39.02</v>
      </c>
      <c r="AI73" s="27" t="n">
        <v>37.86000741990495</v>
      </c>
      <c r="AJ73" s="25" t="inlineStr">
        <is>
          <t>10 of 17 sourced, 3 derived, 1 proxy, 3 assumption</t>
        </is>
      </c>
    </row>
    <row r="74">
      <c r="A74" s="29" t="n">
        <v>47484</v>
      </c>
      <c r="B74" s="25" t="inlineStr">
        <is>
          <t>Scenario</t>
        </is>
      </c>
      <c r="C74" s="27" t="n">
        <v>5.579445751982315</v>
      </c>
      <c r="D74" s="27" t="n">
        <v>6.034898022423445</v>
      </c>
      <c r="E74" s="27" t="n">
        <v>1.400621478782125</v>
      </c>
      <c r="F74" s="27" t="n">
        <v>0.8230105471032784</v>
      </c>
      <c r="G74" s="27" t="n">
        <v>0.006053083782609006</v>
      </c>
      <c r="H74" s="27" t="n">
        <v>12.84320527110733</v>
      </c>
      <c r="I74" s="27" t="n">
        <v>2.753959370861995</v>
      </c>
      <c r="J74" s="27" t="n">
        <v>8.707695807621811</v>
      </c>
      <c r="K74" s="27" t="n">
        <v>0.3410828802688074</v>
      </c>
      <c r="L74" s="27" t="n">
        <v>0.1198626988030957</v>
      </c>
      <c r="M74" s="27" t="n">
        <v>17.9981029647629</v>
      </c>
      <c r="N74" s="27" t="n">
        <v>0.70851981626225</v>
      </c>
      <c r="O74" s="27" t="n">
        <v>0.372276483819497</v>
      </c>
      <c r="P74" s="27" t="n">
        <v>33.40713775764625</v>
      </c>
      <c r="Q74" s="27" t="n">
        <v>1.578598346774801</v>
      </c>
      <c r="R74" s="27" t="n">
        <v>0.9481953885454306</v>
      </c>
      <c r="S74" s="27" t="n">
        <v>29.5610562248462</v>
      </c>
      <c r="T74" s="27" t="n">
        <v>29.8134700098626</v>
      </c>
      <c r="U74" s="27" t="n">
        <v>30.38938891458853</v>
      </c>
      <c r="V74" s="27" t="n">
        <v>38.40566570148782</v>
      </c>
      <c r="W74" s="27" t="n">
        <v>38.40566570148782</v>
      </c>
      <c r="X74" s="27" t="n">
        <v>8.844609476641622</v>
      </c>
      <c r="Y74" s="27" t="n">
        <v>8.592195691625221</v>
      </c>
      <c r="Z74" s="27" t="n">
        <v>8.01627678689929</v>
      </c>
      <c r="AA74" s="27" t="n">
        <v>0.9953118279569892</v>
      </c>
      <c r="AB74" s="27" t="n">
        <v>4.435344086021505</v>
      </c>
      <c r="AC74" s="27" t="n">
        <v>42.84100978750932</v>
      </c>
      <c r="AD74" s="27" t="n">
        <v>42.84100978750932</v>
      </c>
      <c r="AE74" s="27" t="n">
        <v>12.28464173470613</v>
      </c>
      <c r="AF74" s="27" t="n">
        <v>12.03222794968973</v>
      </c>
      <c r="AG74" s="27" t="n">
        <v>11.4563090449638</v>
      </c>
      <c r="AH74" s="27" t="n">
        <v>39.02</v>
      </c>
      <c r="AI74" s="27" t="n">
        <v>37.92607184785762</v>
      </c>
      <c r="AJ74" s="25" t="inlineStr">
        <is>
          <t>10 of 17 sourced, 3 derived, 1 proxy, 3 assumption</t>
        </is>
      </c>
    </row>
    <row r="75">
      <c r="A75" s="29" t="n">
        <v>47515</v>
      </c>
      <c r="B75" s="25" t="inlineStr">
        <is>
          <t>Scenario</t>
        </is>
      </c>
      <c r="C75" s="27" t="n">
        <v>4.573570037829584</v>
      </c>
      <c r="D75" s="27" t="n">
        <v>5.909972060794444</v>
      </c>
      <c r="E75" s="27" t="n">
        <v>0.9781604211593652</v>
      </c>
      <c r="F75" s="27" t="n">
        <v>0.6477002429514178</v>
      </c>
      <c r="G75" s="27" t="n">
        <v>0.006047626320964719</v>
      </c>
      <c r="H75" s="27" t="n">
        <v>12.64447062575261</v>
      </c>
      <c r="I75" s="27" t="n">
        <v>2.707356337760023</v>
      </c>
      <c r="J75" s="27" t="n">
        <v>8.780553949135502</v>
      </c>
      <c r="K75" s="27" t="n">
        <v>0.3439367540498335</v>
      </c>
      <c r="L75" s="27" t="n">
        <v>0.1227165725841218</v>
      </c>
      <c r="M75" s="27" t="n">
        <v>18.22326286295104</v>
      </c>
      <c r="N75" s="27" t="n">
        <v>0.7173835420674761</v>
      </c>
      <c r="O75" s="27" t="n">
        <v>0.3811402096247231</v>
      </c>
      <c r="P75" s="27" t="n">
        <v>33.88490478358658</v>
      </c>
      <c r="Q75" s="27" t="n">
        <v>1.601174427454454</v>
      </c>
      <c r="R75" s="27" t="n">
        <v>0.9707714692250837</v>
      </c>
      <c r="S75" s="27" t="n">
        <v>27.58999392515253</v>
      </c>
      <c r="T75" s="27" t="n">
        <v>27.84841756219313</v>
      </c>
      <c r="U75" s="27" t="n">
        <v>28.4380488217935</v>
      </c>
      <c r="V75" s="27" t="n">
        <v>38.46629814319879</v>
      </c>
      <c r="W75" s="27" t="n">
        <v>38.46629814319879</v>
      </c>
      <c r="X75" s="27" t="n">
        <v>10.87630421804626</v>
      </c>
      <c r="Y75" s="27" t="n">
        <v>10.61788058100566</v>
      </c>
      <c r="Z75" s="27" t="n">
        <v>10.02824932140529</v>
      </c>
      <c r="AA75" s="27" t="n">
        <v>1.637940886699507</v>
      </c>
      <c r="AB75" s="27" t="n">
        <v>2.852903530377668</v>
      </c>
      <c r="AC75" s="27" t="n">
        <v>41.31920167357646</v>
      </c>
      <c r="AD75" s="27" t="n">
        <v>41.31920167357646</v>
      </c>
      <c r="AE75" s="27" t="n">
        <v>12.09126686172442</v>
      </c>
      <c r="AF75" s="27" t="n">
        <v>11.83284322468382</v>
      </c>
      <c r="AG75" s="27" t="n">
        <v>11.24321196508345</v>
      </c>
      <c r="AH75" s="27" t="n">
        <v>39.02</v>
      </c>
      <c r="AI75" s="27" t="n">
        <v>37.99225155599479</v>
      </c>
      <c r="AJ75" s="25" t="inlineStr">
        <is>
          <t>10 of 17 sourced, 3 derived, 1 proxy, 3 assumption</t>
        </is>
      </c>
    </row>
    <row r="76">
      <c r="A76" s="29" t="n">
        <v>47543</v>
      </c>
      <c r="B76" s="25" t="inlineStr">
        <is>
          <t>Scenario</t>
        </is>
      </c>
      <c r="C76" s="27" t="n">
        <v>4.068206450284062</v>
      </c>
      <c r="D76" s="27" t="n">
        <v>5.882496273864059</v>
      </c>
      <c r="E76" s="27" t="n">
        <v>0.4486251159297761</v>
      </c>
      <c r="F76" s="27" t="n">
        <v>0.4456830561277285</v>
      </c>
      <c r="G76" s="27" t="n">
        <v>0.006022432959274187</v>
      </c>
      <c r="H76" s="27" t="n">
        <v>12.25593655124702</v>
      </c>
      <c r="I76" s="27" t="n">
        <v>2.60891577326853</v>
      </c>
      <c r="J76" s="27" t="n">
        <v>8.853412090649195</v>
      </c>
      <c r="K76" s="27" t="n">
        <v>0.3467906278308596</v>
      </c>
      <c r="L76" s="27" t="n">
        <v>0.1255704463651479</v>
      </c>
      <c r="M76" s="27" t="n">
        <v>18.44842276113918</v>
      </c>
      <c r="N76" s="27" t="n">
        <v>0.7262472678727023</v>
      </c>
      <c r="O76" s="27" t="n">
        <v>0.3900039354299493</v>
      </c>
      <c r="P76" s="27" t="n">
        <v>34.3626718095269</v>
      </c>
      <c r="Q76" s="27" t="n">
        <v>1.623750508134108</v>
      </c>
      <c r="R76" s="27" t="n">
        <v>0.9933475499047371</v>
      </c>
      <c r="S76" s="27" t="n">
        <v>25.8414561000456</v>
      </c>
      <c r="T76" s="27" t="n">
        <v>26.1058895891104</v>
      </c>
      <c r="U76" s="27" t="n">
        <v>26.70923320358519</v>
      </c>
      <c r="V76" s="27" t="n">
        <v>38.52702737116564</v>
      </c>
      <c r="W76" s="27" t="n">
        <v>38.52702737116564</v>
      </c>
      <c r="X76" s="27" t="n">
        <v>12.68557127112004</v>
      </c>
      <c r="Y76" s="27" t="n">
        <v>12.42113778205524</v>
      </c>
      <c r="Z76" s="27" t="n">
        <v>11.81779416758046</v>
      </c>
      <c r="AA76" s="27" t="n">
        <v>2.392172043010753</v>
      </c>
      <c r="AB76" s="27" t="n">
        <v>1.187268817204301</v>
      </c>
      <c r="AC76" s="27" t="n">
        <v>39.71429618836994</v>
      </c>
      <c r="AD76" s="27" t="n">
        <v>39.71429618836994</v>
      </c>
      <c r="AE76" s="27" t="n">
        <v>11.48066804531359</v>
      </c>
      <c r="AF76" s="27" t="n">
        <v>11.21623455624879</v>
      </c>
      <c r="AG76" s="27" t="n">
        <v>10.612890941774</v>
      </c>
      <c r="AH76" s="27" t="n">
        <v>39.02</v>
      </c>
      <c r="AI76" s="27" t="n">
        <v>38.05854674547648</v>
      </c>
      <c r="AJ76" s="25" t="inlineStr">
        <is>
          <t>10 of 17 sourced, 3 derived, 1 proxy, 3 assumption</t>
        </is>
      </c>
    </row>
    <row r="77">
      <c r="A77" s="29" t="n">
        <v>47574</v>
      </c>
      <c r="B77" s="25" t="inlineStr">
        <is>
          <t>Scenario</t>
        </is>
      </c>
      <c r="C77" s="27" t="n">
        <v>4.495762034023503</v>
      </c>
      <c r="D77" s="27" t="n">
        <v>5.816714581031577</v>
      </c>
      <c r="E77" s="27" t="n">
        <v>0.2912171723710138</v>
      </c>
      <c r="F77" s="27" t="n">
        <v>0.4053080624654729</v>
      </c>
      <c r="G77" s="27" t="n">
        <v>0.006004269434284994</v>
      </c>
      <c r="H77" s="27" t="n">
        <v>11.8381445387415</v>
      </c>
      <c r="I77" s="27" t="n">
        <v>2.80883606429508</v>
      </c>
      <c r="J77" s="27" t="n">
        <v>8.926270232162889</v>
      </c>
      <c r="K77" s="27" t="n">
        <v>0.3496445016118856</v>
      </c>
      <c r="L77" s="27" t="n">
        <v>0.128424320146174</v>
      </c>
      <c r="M77" s="27" t="n">
        <v>18.67358265932731</v>
      </c>
      <c r="N77" s="27" t="n">
        <v>0.7351109936779284</v>
      </c>
      <c r="O77" s="27" t="n">
        <v>0.3988676612351754</v>
      </c>
      <c r="P77" s="27" t="n">
        <v>34.84043883546722</v>
      </c>
      <c r="Q77" s="27" t="n">
        <v>1.646326588813761</v>
      </c>
      <c r="R77" s="27" t="n">
        <v>1.01592363058439</v>
      </c>
      <c r="S77" s="27" t="n">
        <v>25.79041104250861</v>
      </c>
      <c r="T77" s="27" t="n">
        <v>26.06085438359761</v>
      </c>
      <c r="U77" s="27" t="n">
        <v>26.67791035294682</v>
      </c>
      <c r="V77" s="27" t="n">
        <v>38.58785354458887</v>
      </c>
      <c r="W77" s="27" t="n">
        <v>38.58785354458887</v>
      </c>
      <c r="X77" s="27" t="n">
        <v>12.79744250208026</v>
      </c>
      <c r="Y77" s="27" t="n">
        <v>12.52699916099126</v>
      </c>
      <c r="Z77" s="27" t="n">
        <v>11.90994319164204</v>
      </c>
      <c r="AA77" s="27" t="n">
        <v>2.271922222222222</v>
      </c>
      <c r="AB77" s="27" t="n">
        <v>1.159666666666667</v>
      </c>
      <c r="AC77" s="27" t="n">
        <v>39.74752021125553</v>
      </c>
      <c r="AD77" s="27" t="n">
        <v>39.74752021125553</v>
      </c>
      <c r="AE77" s="27" t="n">
        <v>11.6851869465247</v>
      </c>
      <c r="AF77" s="27" t="n">
        <v>11.4147436054357</v>
      </c>
      <c r="AG77" s="27" t="n">
        <v>10.79768763608649</v>
      </c>
      <c r="AH77" s="27" t="n">
        <v>39.02</v>
      </c>
      <c r="AI77" s="27" t="n">
        <v>38.12495761781371</v>
      </c>
      <c r="AJ77" s="25" t="inlineStr">
        <is>
          <t>10 of 17 sourced, 3 derived, 1 proxy, 3 assumption</t>
        </is>
      </c>
    </row>
    <row r="78">
      <c r="A78" s="29" t="n">
        <v>47604</v>
      </c>
      <c r="B78" s="25" t="inlineStr">
        <is>
          <t>Scenario</t>
        </is>
      </c>
      <c r="C78" s="27" t="n">
        <v>5.792966830004294</v>
      </c>
      <c r="D78" s="27" t="n">
        <v>5.686042361055296</v>
      </c>
      <c r="E78" s="27" t="n">
        <v>0.2016882519690466</v>
      </c>
      <c r="F78" s="27" t="n">
        <v>0.3404948170614502</v>
      </c>
      <c r="G78" s="27" t="n">
        <v>0.005991937341617142</v>
      </c>
      <c r="H78" s="27" t="n">
        <v>12.20315815805368</v>
      </c>
      <c r="I78" s="27" t="n">
        <v>3.052852874363742</v>
      </c>
      <c r="J78" s="27" t="n">
        <v>8.99912837367658</v>
      </c>
      <c r="K78" s="27" t="n">
        <v>0.3524983753929117</v>
      </c>
      <c r="L78" s="27" t="n">
        <v>0.1312781939272001</v>
      </c>
      <c r="M78" s="27" t="n">
        <v>18.89874255751545</v>
      </c>
      <c r="N78" s="27" t="n">
        <v>0.7439747194831545</v>
      </c>
      <c r="O78" s="27" t="n">
        <v>0.4077313870404015</v>
      </c>
      <c r="P78" s="27" t="n">
        <v>35.31820586140755</v>
      </c>
      <c r="Q78" s="27" t="n">
        <v>1.668902669493414</v>
      </c>
      <c r="R78" s="27" t="n">
        <v>1.038499711264043</v>
      </c>
      <c r="S78" s="27" t="n">
        <v>27.41447342377633</v>
      </c>
      <c r="T78" s="27" t="n">
        <v>27.69092661688953</v>
      </c>
      <c r="U78" s="27" t="n">
        <v>28.32169494111318</v>
      </c>
      <c r="V78" s="27" t="n">
        <v>38.64877682293622</v>
      </c>
      <c r="W78" s="27" t="n">
        <v>38.64877682293622</v>
      </c>
      <c r="X78" s="27" t="n">
        <v>11.23430339915989</v>
      </c>
      <c r="Y78" s="27" t="n">
        <v>10.95785020604669</v>
      </c>
      <c r="Z78" s="27" t="n">
        <v>10.32708188182304</v>
      </c>
      <c r="AA78" s="27" t="n">
        <v>2.179247311827957</v>
      </c>
      <c r="AB78" s="27" t="n">
        <v>1.123032258064516</v>
      </c>
      <c r="AC78" s="27" t="n">
        <v>39.77180908100074</v>
      </c>
      <c r="AD78" s="27" t="n">
        <v>39.77180908100074</v>
      </c>
      <c r="AE78" s="27" t="n">
        <v>10.17808834539645</v>
      </c>
      <c r="AF78" s="27" t="n">
        <v>9.901635152283252</v>
      </c>
      <c r="AG78" s="27" t="n">
        <v>9.270866828059606</v>
      </c>
      <c r="AH78" s="27" t="n">
        <v>39.02</v>
      </c>
      <c r="AI78" s="27" t="n">
        <v>38.19148437486913</v>
      </c>
      <c r="AJ78" s="25" t="inlineStr">
        <is>
          <t>10 of 17 sourced, 3 derived, 1 proxy, 3 assumption</t>
        </is>
      </c>
    </row>
    <row r="79">
      <c r="A79" s="29" t="n">
        <v>47635</v>
      </c>
      <c r="B79" s="25" t="inlineStr">
        <is>
          <t>Scenario</t>
        </is>
      </c>
      <c r="C79" s="27" t="n">
        <v>6.680486736221694</v>
      </c>
      <c r="D79" s="27" t="n">
        <v>5.74910432578607</v>
      </c>
      <c r="E79" s="27" t="n">
        <v>0.1918565841084685</v>
      </c>
      <c r="F79" s="27" t="n">
        <v>0.3430545745911973</v>
      </c>
      <c r="G79" s="27" t="n">
        <v>0.005973865790738266</v>
      </c>
      <c r="H79" s="27" t="n">
        <v>12.32918349618877</v>
      </c>
      <c r="I79" s="27" t="n">
        <v>2.99363393510736</v>
      </c>
      <c r="J79" s="27" t="n">
        <v>9.071986515190273</v>
      </c>
      <c r="K79" s="27" t="n">
        <v>0.3553522491739378</v>
      </c>
      <c r="L79" s="27" t="n">
        <v>0.1341320677082261</v>
      </c>
      <c r="M79" s="27" t="n">
        <v>19.12390245570359</v>
      </c>
      <c r="N79" s="27" t="n">
        <v>0.7528384452883806</v>
      </c>
      <c r="O79" s="27" t="n">
        <v>0.4165951128456276</v>
      </c>
      <c r="P79" s="27" t="n">
        <v>35.79597288734787</v>
      </c>
      <c r="Q79" s="27" t="n">
        <v>1.691478750173067</v>
      </c>
      <c r="R79" s="27" t="n">
        <v>1.061075791943697</v>
      </c>
      <c r="S79" s="27" t="n">
        <v>28.42742558550253</v>
      </c>
      <c r="T79" s="27" t="n">
        <v>28.70988863063993</v>
      </c>
      <c r="U79" s="27" t="n">
        <v>29.354369309738</v>
      </c>
      <c r="V79" s="27" t="n">
        <v>38.70979736594332</v>
      </c>
      <c r="W79" s="27" t="n">
        <v>38.70979736594332</v>
      </c>
      <c r="X79" s="27" t="n">
        <v>10.28237178044079</v>
      </c>
      <c r="Y79" s="27" t="n">
        <v>9.999908735303389</v>
      </c>
      <c r="Z79" s="27" t="n">
        <v>9.355428056205319</v>
      </c>
      <c r="AA79" s="27" t="n">
        <v>1.835466666666667</v>
      </c>
      <c r="AB79" s="27" t="n">
        <v>1.149211111111111</v>
      </c>
      <c r="AC79" s="27" t="n">
        <v>39.85900847705443</v>
      </c>
      <c r="AD79" s="27" t="n">
        <v>39.85900847705443</v>
      </c>
      <c r="AE79" s="27" t="n">
        <v>9.596116224885238</v>
      </c>
      <c r="AF79" s="27" t="n">
        <v>9.313653179747837</v>
      </c>
      <c r="AG79" s="27" t="n">
        <v>8.669172500649767</v>
      </c>
      <c r="AH79" s="27" t="n">
        <v>39.02</v>
      </c>
      <c r="AI79" s="27" t="n">
        <v>38.25812721885764</v>
      </c>
      <c r="AJ79" s="25" t="inlineStr">
        <is>
          <t>10 of 17 sourced, 3 derived, 1 proxy, 3 assumption</t>
        </is>
      </c>
    </row>
    <row r="80">
      <c r="A80" s="29" t="n">
        <v>47665</v>
      </c>
      <c r="B80" s="25" t="inlineStr">
        <is>
          <t>Scenario</t>
        </is>
      </c>
      <c r="C80" s="27" t="n">
        <v>7.270704077454631</v>
      </c>
      <c r="D80" s="27" t="n">
        <v>5.734933831022031</v>
      </c>
      <c r="E80" s="27" t="n">
        <v>0.1793246467964683</v>
      </c>
      <c r="F80" s="27" t="n">
        <v>0.3278454307541668</v>
      </c>
      <c r="G80" s="27" t="n">
        <v>0.005961596143727418</v>
      </c>
      <c r="H80" s="27" t="n">
        <v>12.11686231590201</v>
      </c>
      <c r="I80" s="27" t="n">
        <v>2.856817134055754</v>
      </c>
      <c r="J80" s="27" t="n">
        <v>9.144844656703967</v>
      </c>
      <c r="K80" s="27" t="n">
        <v>0.358206122954964</v>
      </c>
      <c r="L80" s="27" t="n">
        <v>0.1369859414892523</v>
      </c>
      <c r="M80" s="27" t="n">
        <v>19.34906235389172</v>
      </c>
      <c r="N80" s="27" t="n">
        <v>0.7617021710936067</v>
      </c>
      <c r="O80" s="27" t="n">
        <v>0.4254588386508537</v>
      </c>
      <c r="P80" s="27" t="n">
        <v>36.2737399132882</v>
      </c>
      <c r="Q80" s="27" t="n">
        <v>1.71405483085272</v>
      </c>
      <c r="R80" s="27" t="n">
        <v>1.08365187262335</v>
      </c>
      <c r="S80" s="27" t="n">
        <v>28.62943497361804</v>
      </c>
      <c r="T80" s="27" t="n">
        <v>28.91790787077964</v>
      </c>
      <c r="U80" s="27" t="n">
        <v>29.57610090475214</v>
      </c>
      <c r="V80" s="27" t="n">
        <v>38.770915333614</v>
      </c>
      <c r="W80" s="27" t="n">
        <v>38.770915333614</v>
      </c>
      <c r="X80" s="27" t="n">
        <v>10.14148035999596</v>
      </c>
      <c r="Y80" s="27" t="n">
        <v>9.853007462834356</v>
      </c>
      <c r="Z80" s="27" t="n">
        <v>9.194814428861861</v>
      </c>
      <c r="AA80" s="27" t="n">
        <v>1.445075268817204</v>
      </c>
      <c r="AB80" s="27" t="n">
        <v>1.521387096774194</v>
      </c>
      <c r="AC80" s="27" t="n">
        <v>40.29230243038819</v>
      </c>
      <c r="AD80" s="27" t="n">
        <v>40.29230243038819</v>
      </c>
      <c r="AE80" s="27" t="n">
        <v>10.21779218795294</v>
      </c>
      <c r="AF80" s="27" t="n">
        <v>9.929319290791343</v>
      </c>
      <c r="AG80" s="27" t="n">
        <v>9.271126256818848</v>
      </c>
      <c r="AH80" s="27" t="n">
        <v>39.02</v>
      </c>
      <c r="AI80" s="27" t="n">
        <v>38.32488635234702</v>
      </c>
      <c r="AJ80" s="25" t="inlineStr">
        <is>
          <t>10 of 17 sourced, 3 derived, 1 proxy, 3 assumption</t>
        </is>
      </c>
    </row>
    <row r="81">
      <c r="A81" s="29" t="n">
        <v>47696</v>
      </c>
      <c r="B81" s="25" t="inlineStr">
        <is>
          <t>Scenario</t>
        </is>
      </c>
      <c r="C81" s="27" t="n">
        <v>8.161645258862009</v>
      </c>
      <c r="D81" s="27" t="n">
        <v>5.801785261754675</v>
      </c>
      <c r="E81" s="27" t="n">
        <v>0.1575366923056682</v>
      </c>
      <c r="F81" s="27" t="n">
        <v>0.3195860282444082</v>
      </c>
      <c r="G81" s="27" t="n">
        <v>0.00464613833606343</v>
      </c>
      <c r="H81" s="27" t="n">
        <v>12.51958200464404</v>
      </c>
      <c r="I81" s="27" t="n">
        <v>2.923793669786177</v>
      </c>
      <c r="J81" s="27" t="n">
        <v>9.217702798217658</v>
      </c>
      <c r="K81" s="27" t="n">
        <v>0.36105999673599</v>
      </c>
      <c r="L81" s="27" t="n">
        <v>0.1398398152702784</v>
      </c>
      <c r="M81" s="27" t="n">
        <v>19.57422225207986</v>
      </c>
      <c r="N81" s="27" t="n">
        <v>0.7705658968988328</v>
      </c>
      <c r="O81" s="27" t="n">
        <v>0.4343225644560798</v>
      </c>
      <c r="P81" s="27" t="n">
        <v>36.75150693922853</v>
      </c>
      <c r="Q81" s="27" t="n">
        <v>1.736630911532373</v>
      </c>
      <c r="R81" s="27" t="n">
        <v>1.106227953303003</v>
      </c>
      <c r="S81" s="27" t="n">
        <v>30.02841486920332</v>
      </c>
      <c r="T81" s="27" t="n">
        <v>30.32289761838912</v>
      </c>
      <c r="U81" s="27" t="n">
        <v>30.99480300723605</v>
      </c>
      <c r="V81" s="27" t="n">
        <v>38.83213088622084</v>
      </c>
      <c r="W81" s="27" t="n">
        <v>38.83213088622084</v>
      </c>
      <c r="X81" s="27" t="n">
        <v>8.803716017017514</v>
      </c>
      <c r="Y81" s="27" t="n">
        <v>8.509233267831714</v>
      </c>
      <c r="Z81" s="27" t="n">
        <v>7.837327878984791</v>
      </c>
      <c r="AA81" s="27" t="n">
        <v>1.741763440860215</v>
      </c>
      <c r="AB81" s="27" t="n">
        <v>2.883548387096774</v>
      </c>
      <c r="AC81" s="27" t="n">
        <v>41.71567927331761</v>
      </c>
      <c r="AD81" s="27" t="n">
        <v>41.71567927331761</v>
      </c>
      <c r="AE81" s="27" t="n">
        <v>9.945500963254073</v>
      </c>
      <c r="AF81" s="27" t="n">
        <v>9.651018214068273</v>
      </c>
      <c r="AG81" s="27" t="n">
        <v>8.97911282522135</v>
      </c>
      <c r="AH81" s="27" t="n">
        <v>39.02</v>
      </c>
      <c r="AI81" s="27" t="n">
        <v>38.39176197825849</v>
      </c>
      <c r="AJ81" s="25" t="inlineStr">
        <is>
          <t>10 of 17 sourced, 3 derived, 1 proxy, 3 assumption</t>
        </is>
      </c>
    </row>
    <row r="82">
      <c r="A82" s="29" t="n">
        <v>47727</v>
      </c>
      <c r="B82" s="25" t="inlineStr">
        <is>
          <t>Scenario</t>
        </is>
      </c>
      <c r="C82" s="27" t="n">
        <v>6.918029331066658</v>
      </c>
      <c r="D82" s="27" t="n">
        <v>5.775953224353145</v>
      </c>
      <c r="E82" s="27" t="n">
        <v>0.1549677389928139</v>
      </c>
      <c r="F82" s="27" t="n">
        <v>0.3273848118643197</v>
      </c>
      <c r="G82" s="27" t="n">
        <v>0.004626019564290902</v>
      </c>
      <c r="H82" s="27" t="n">
        <v>13.34674215256428</v>
      </c>
      <c r="I82" s="27" t="n">
        <v>2.752319206600729</v>
      </c>
      <c r="J82" s="27" t="n">
        <v>9.290560939731352</v>
      </c>
      <c r="K82" s="27" t="n">
        <v>0.3639138705170161</v>
      </c>
      <c r="L82" s="27" t="n">
        <v>0.1426936890513044</v>
      </c>
      <c r="M82" s="27" t="n">
        <v>19.79938215026799</v>
      </c>
      <c r="N82" s="27" t="n">
        <v>0.7794296227040589</v>
      </c>
      <c r="O82" s="27" t="n">
        <v>0.4431862902613058</v>
      </c>
      <c r="P82" s="27" t="n">
        <v>37.22927396516885</v>
      </c>
      <c r="Q82" s="27" t="n">
        <v>1.759206992212027</v>
      </c>
      <c r="R82" s="27" t="n">
        <v>1.128804033982656</v>
      </c>
      <c r="S82" s="27" t="n">
        <v>29.42271617405754</v>
      </c>
      <c r="T82" s="27" t="n">
        <v>29.72320877526754</v>
      </c>
      <c r="U82" s="27" t="n">
        <v>30.40882651898889</v>
      </c>
      <c r="V82" s="27" t="n">
        <v>38.89344418430559</v>
      </c>
      <c r="W82" s="27" t="n">
        <v>38.89344418430559</v>
      </c>
      <c r="X82" s="27" t="n">
        <v>9.470728010248045</v>
      </c>
      <c r="Y82" s="27" t="n">
        <v>9.170235409038046</v>
      </c>
      <c r="Z82" s="27" t="n">
        <v>8.484617665316694</v>
      </c>
      <c r="AA82" s="27" t="n">
        <v>2.412133333333333</v>
      </c>
      <c r="AB82" s="27" t="n">
        <v>2.104855555555555</v>
      </c>
      <c r="AC82" s="27" t="n">
        <v>40.99829973986114</v>
      </c>
      <c r="AD82" s="27" t="n">
        <v>40.99829973986114</v>
      </c>
      <c r="AE82" s="27" t="n">
        <v>9.163450232470264</v>
      </c>
      <c r="AF82" s="27" t="n">
        <v>8.862957631260265</v>
      </c>
      <c r="AG82" s="27" t="n">
        <v>8.177339887538913</v>
      </c>
      <c r="AH82" s="27" t="n">
        <v>39.02</v>
      </c>
      <c r="AI82" s="27" t="n">
        <v>38.45875429986736</v>
      </c>
      <c r="AJ82" s="25" t="inlineStr">
        <is>
          <t>10 of 17 sourced, 3 derived, 1 proxy, 3 assumption</t>
        </is>
      </c>
    </row>
    <row r="83">
      <c r="A83" s="29" t="n">
        <v>47757</v>
      </c>
      <c r="B83" s="25" t="inlineStr">
        <is>
          <t>Scenario</t>
        </is>
      </c>
      <c r="C83" s="27" t="n">
        <v>5.436307874895696</v>
      </c>
      <c r="D83" s="27" t="n">
        <v>5.623790841683713</v>
      </c>
      <c r="E83" s="27" t="n">
        <v>0.2150817566921454</v>
      </c>
      <c r="F83" s="27" t="n">
        <v>0.3584532447766932</v>
      </c>
      <c r="G83" s="27" t="n">
        <v>0.004622611821241851</v>
      </c>
      <c r="H83" s="27" t="n">
        <v>13.90371721049099</v>
      </c>
      <c r="I83" s="27" t="n">
        <v>2.625427643887605</v>
      </c>
      <c r="J83" s="27" t="n">
        <v>9.363419081245045</v>
      </c>
      <c r="K83" s="27" t="n">
        <v>0.3667677442980422</v>
      </c>
      <c r="L83" s="27" t="n">
        <v>0.1455475628323305</v>
      </c>
      <c r="M83" s="27" t="n">
        <v>20.02454204845613</v>
      </c>
      <c r="N83" s="27" t="n">
        <v>0.7882933485092851</v>
      </c>
      <c r="O83" s="27" t="n">
        <v>0.4520500160665321</v>
      </c>
      <c r="P83" s="27" t="n">
        <v>37.70704099110917</v>
      </c>
      <c r="Q83" s="27" t="n">
        <v>1.78178307289168</v>
      </c>
      <c r="R83" s="27" t="n">
        <v>1.151380114662309</v>
      </c>
      <c r="S83" s="27" t="n">
        <v>28.31294874708041</v>
      </c>
      <c r="T83" s="27" t="n">
        <v>28.61945120031461</v>
      </c>
      <c r="U83" s="27" t="n">
        <v>29.31878129891039</v>
      </c>
      <c r="V83" s="27" t="n">
        <v>38.95485538867963</v>
      </c>
      <c r="W83" s="27" t="n">
        <v>38.95485538867963</v>
      </c>
      <c r="X83" s="27" t="n">
        <v>10.64190664159922</v>
      </c>
      <c r="Y83" s="27" t="n">
        <v>10.33540418836501</v>
      </c>
      <c r="Z83" s="27" t="n">
        <v>9.636074089769238</v>
      </c>
      <c r="AA83" s="27" t="n">
        <v>2.523494623655914</v>
      </c>
      <c r="AB83" s="27" t="n">
        <v>1.056784946236559</v>
      </c>
      <c r="AC83" s="27" t="n">
        <v>40.01164033491619</v>
      </c>
      <c r="AD83" s="27" t="n">
        <v>40.01164033491619</v>
      </c>
      <c r="AE83" s="27" t="n">
        <v>9.175196964179865</v>
      </c>
      <c r="AF83" s="27" t="n">
        <v>8.868694510945662</v>
      </c>
      <c r="AG83" s="27" t="n">
        <v>8.169364412349886</v>
      </c>
      <c r="AH83" s="27" t="n">
        <v>39.02</v>
      </c>
      <c r="AI83" s="27" t="n">
        <v>38.52586352080368</v>
      </c>
      <c r="AJ83" s="25" t="inlineStr">
        <is>
          <t>10 of 17 sourced, 3 derived, 1 proxy, 3 assumption</t>
        </is>
      </c>
    </row>
    <row r="84">
      <c r="A84" s="29" t="n">
        <v>47788</v>
      </c>
      <c r="B84" s="25" t="inlineStr">
        <is>
          <t>Scenario</t>
        </is>
      </c>
      <c r="C84" s="27" t="n">
        <v>4.645007511031529</v>
      </c>
      <c r="D84" s="27" t="n">
        <v>6.020700734949278</v>
      </c>
      <c r="E84" s="27" t="n">
        <v>0.4137479963234152</v>
      </c>
      <c r="F84" s="27" t="n">
        <v>0.4491692458267973</v>
      </c>
      <c r="G84" s="27" t="n">
        <v>0.004602594924305597</v>
      </c>
      <c r="H84" s="27" t="n">
        <v>14.39478163770154</v>
      </c>
      <c r="I84" s="27" t="n">
        <v>2.566081556307597</v>
      </c>
      <c r="J84" s="27" t="n">
        <v>9.436277222758736</v>
      </c>
      <c r="K84" s="27" t="n">
        <v>0.3696216180790683</v>
      </c>
      <c r="L84" s="27" t="n">
        <v>0.1484014366133566</v>
      </c>
      <c r="M84" s="27" t="n">
        <v>20.24970194664427</v>
      </c>
      <c r="N84" s="27" t="n">
        <v>0.7971570743145112</v>
      </c>
      <c r="O84" s="27" t="n">
        <v>0.4609137418717582</v>
      </c>
      <c r="P84" s="27" t="n">
        <v>38.1848080170495</v>
      </c>
      <c r="Q84" s="27" t="n">
        <v>1.804359153571333</v>
      </c>
      <c r="R84" s="27" t="n">
        <v>1.173956195341962</v>
      </c>
      <c r="S84" s="27" t="n">
        <v>28.64249271367781</v>
      </c>
      <c r="T84" s="27" t="n">
        <v>28.95500501893622</v>
      </c>
      <c r="U84" s="27" t="n">
        <v>29.66804747240642</v>
      </c>
      <c r="V84" s="27" t="n">
        <v>39.01636466042443</v>
      </c>
      <c r="W84" s="27" t="n">
        <v>39.01636466042443</v>
      </c>
      <c r="X84" s="27" t="n">
        <v>10.37387194674661</v>
      </c>
      <c r="Y84" s="27" t="n">
        <v>10.06135964148821</v>
      </c>
      <c r="Z84" s="27" t="n">
        <v>9.348317188018008</v>
      </c>
      <c r="AA84" s="27" t="n">
        <v>1.881788888888889</v>
      </c>
      <c r="AB84" s="27" t="n">
        <v>1.287677777777778</v>
      </c>
      <c r="AC84" s="27" t="n">
        <v>40.30404243820221</v>
      </c>
      <c r="AD84" s="27" t="n">
        <v>40.30404243820221</v>
      </c>
      <c r="AE84" s="27" t="n">
        <v>9.779760835635507</v>
      </c>
      <c r="AF84" s="27" t="n">
        <v>9.467248530377105</v>
      </c>
      <c r="AG84" s="27" t="n">
        <v>8.7542060769069</v>
      </c>
      <c r="AH84" s="27" t="n">
        <v>39.02</v>
      </c>
      <c r="AI84" s="27" t="n">
        <v>38.59308984505279</v>
      </c>
      <c r="AJ84" s="25" t="inlineStr">
        <is>
          <t>10 of 17 sourced, 3 derived, 1 proxy, 3 assumption</t>
        </is>
      </c>
    </row>
    <row r="85">
      <c r="A85" s="29" t="n">
        <v>47818</v>
      </c>
      <c r="B85" s="25" t="inlineStr">
        <is>
          <t>Scenario</t>
        </is>
      </c>
      <c r="C85" s="27" t="n">
        <v>4.588742658117908</v>
      </c>
      <c r="D85" s="27" t="n">
        <v>6.225301809477917</v>
      </c>
      <c r="E85" s="27" t="n">
        <v>0.7630275615347641</v>
      </c>
      <c r="F85" s="27" t="n">
        <v>0.5725893188903823</v>
      </c>
      <c r="G85" s="27" t="n">
        <v>0.004599204436945369</v>
      </c>
      <c r="H85" s="27" t="n">
        <v>14.39294827114436</v>
      </c>
      <c r="I85" s="27" t="n">
        <v>2.449214361367505</v>
      </c>
      <c r="J85" s="27" t="n">
        <v>9.50913536427243</v>
      </c>
      <c r="K85" s="27" t="n">
        <v>0.3724754918600944</v>
      </c>
      <c r="L85" s="27" t="n">
        <v>0.1512553103943827</v>
      </c>
      <c r="M85" s="27" t="n">
        <v>20.47486184483241</v>
      </c>
      <c r="N85" s="27" t="n">
        <v>0.8060208001197373</v>
      </c>
      <c r="O85" s="27" t="n">
        <v>0.4697774676769843</v>
      </c>
      <c r="P85" s="27" t="n">
        <v>38.66257504298982</v>
      </c>
      <c r="Q85" s="27" t="n">
        <v>1.826935234250986</v>
      </c>
      <c r="R85" s="27" t="n">
        <v>1.196532276021615</v>
      </c>
      <c r="S85" s="27" t="n">
        <v>29.14767849536416</v>
      </c>
      <c r="T85" s="27" t="n">
        <v>29.46620065264676</v>
      </c>
      <c r="U85" s="27" t="n">
        <v>30.19295546099139</v>
      </c>
      <c r="V85" s="27" t="n">
        <v>39.07797216089202</v>
      </c>
      <c r="W85" s="27" t="n">
        <v>39.07797216089202</v>
      </c>
      <c r="X85" s="27" t="n">
        <v>9.930293665527856</v>
      </c>
      <c r="Y85" s="27" t="n">
        <v>9.611771508245255</v>
      </c>
      <c r="Z85" s="27" t="n">
        <v>8.885016699900625</v>
      </c>
      <c r="AA85" s="27" t="n">
        <v>1.379204301075269</v>
      </c>
      <c r="AB85" s="27" t="n">
        <v>2.158774193548387</v>
      </c>
      <c r="AC85" s="27" t="n">
        <v>41.23674635444041</v>
      </c>
      <c r="AD85" s="27" t="n">
        <v>41.23674635444041</v>
      </c>
      <c r="AE85" s="27" t="n">
        <v>10.70986355800098</v>
      </c>
      <c r="AF85" s="27" t="n">
        <v>10.39134140071837</v>
      </c>
      <c r="AG85" s="27" t="n">
        <v>9.664586592373745</v>
      </c>
      <c r="AH85" s="27" t="n">
        <v>39.02</v>
      </c>
      <c r="AI85" s="27" t="n">
        <v>38.66043347695601</v>
      </c>
      <c r="AJ85" s="25" t="inlineStr">
        <is>
          <t>10 of 17 sourced, 3 derived, 1 proxy, 3 assumption</t>
        </is>
      </c>
    </row>
    <row r="86">
      <c r="A86" s="29" t="n">
        <v>47849</v>
      </c>
      <c r="B86" s="25" t="inlineStr">
        <is>
          <t>Scenario</t>
        </is>
      </c>
      <c r="C86" s="27" t="n">
        <v>5.579445751982315</v>
      </c>
      <c r="D86" s="27" t="n">
        <v>6.082716514189316</v>
      </c>
      <c r="E86" s="27" t="n">
        <v>1.358602834418661</v>
      </c>
      <c r="F86" s="27" t="n">
        <v>0.79832023069018</v>
      </c>
      <c r="G86" s="27" t="n">
        <v>0.005871491269130735</v>
      </c>
      <c r="H86" s="27" t="n">
        <v>14.15509556829357</v>
      </c>
      <c r="I86" s="27" t="n">
        <v>2.69817908972461</v>
      </c>
      <c r="J86" s="27" t="n">
        <v>9.521786094668478</v>
      </c>
      <c r="K86" s="27" t="n">
        <v>0.3729710245080323</v>
      </c>
      <c r="L86" s="27" t="n">
        <v>0.1517508430423206</v>
      </c>
      <c r="M86" s="27" t="n">
        <v>20.59853670614399</v>
      </c>
      <c r="N86" s="27" t="n">
        <v>0.810889429340511</v>
      </c>
      <c r="O86" s="27" t="n">
        <v>0.4746460968977579</v>
      </c>
      <c r="P86" s="27" t="n">
        <v>38.96674341807978</v>
      </c>
      <c r="Q86" s="27" t="n">
        <v>1.841308201415714</v>
      </c>
      <c r="R86" s="27" t="n">
        <v>1.210905243186343</v>
      </c>
      <c r="S86" s="27" t="n">
        <v>30.8299823236101</v>
      </c>
      <c r="T86" s="27" t="n">
        <v>31.15287757746554</v>
      </c>
      <c r="U86" s="27" t="n">
        <v>31.88913672375412</v>
      </c>
      <c r="V86" s="27" t="n">
        <v>39.10896050210854</v>
      </c>
      <c r="W86" s="27" t="n">
        <v>39.10896050210854</v>
      </c>
      <c r="X86" s="27" t="n">
        <v>8.278978178498441</v>
      </c>
      <c r="Y86" s="27" t="n">
        <v>7.956082924643006</v>
      </c>
      <c r="Z86" s="27" t="n">
        <v>7.219823778354421</v>
      </c>
      <c r="AA86" s="27" t="n">
        <v>0.9953118279569892</v>
      </c>
      <c r="AB86" s="27" t="n">
        <v>4.435344086021505</v>
      </c>
      <c r="AC86" s="27" t="n">
        <v>43.54430458813005</v>
      </c>
      <c r="AD86" s="27" t="n">
        <v>43.54430458813005</v>
      </c>
      <c r="AE86" s="27" t="n">
        <v>11.71901043656295</v>
      </c>
      <c r="AF86" s="27" t="n">
        <v>11.39611518270752</v>
      </c>
      <c r="AG86" s="27" t="n">
        <v>10.65985603641893</v>
      </c>
      <c r="AH86" s="27" t="n">
        <v>39.02</v>
      </c>
      <c r="AI86" s="27" t="n">
        <v>38.69432576662435</v>
      </c>
      <c r="AJ86" s="25" t="inlineStr">
        <is>
          <t>10 of 17 sourced, 3 derived, 1 proxy, 3 assumption</t>
        </is>
      </c>
    </row>
    <row r="87">
      <c r="A87" s="29" t="n">
        <v>47880</v>
      </c>
      <c r="B87" s="25" t="inlineStr">
        <is>
          <t>Scenario</t>
        </is>
      </c>
      <c r="C87" s="27" t="n">
        <v>4.573570037829584</v>
      </c>
      <c r="D87" s="27" t="n">
        <v>5.956800681472964</v>
      </c>
      <c r="E87" s="27" t="n">
        <v>0.9488156085245842</v>
      </c>
      <c r="F87" s="27" t="n">
        <v>0.6282692356628753</v>
      </c>
      <c r="G87" s="27" t="n">
        <v>0.005866197531335777</v>
      </c>
      <c r="H87" s="27" t="n">
        <v>14.20153157323998</v>
      </c>
      <c r="I87" s="27" t="n">
        <v>2.652519981328204</v>
      </c>
      <c r="J87" s="27" t="n">
        <v>9.534436825064528</v>
      </c>
      <c r="K87" s="27" t="n">
        <v>0.3734665571559702</v>
      </c>
      <c r="L87" s="27" t="n">
        <v>0.1522463756902585</v>
      </c>
      <c r="M87" s="27" t="n">
        <v>20.72221156745556</v>
      </c>
      <c r="N87" s="27" t="n">
        <v>0.8157580585612846</v>
      </c>
      <c r="O87" s="27" t="n">
        <v>0.4795147261185315</v>
      </c>
      <c r="P87" s="27" t="n">
        <v>39.27091179316973</v>
      </c>
      <c r="Q87" s="27" t="n">
        <v>1.855681168580441</v>
      </c>
      <c r="R87" s="27" t="n">
        <v>1.225278210351071</v>
      </c>
      <c r="S87" s="27" t="n">
        <v>29.11961969127978</v>
      </c>
      <c r="T87" s="27" t="n">
        <v>29.44688804170806</v>
      </c>
      <c r="U87" s="27" t="n">
        <v>30.1926515259406</v>
      </c>
      <c r="V87" s="27" t="n">
        <v>39.13997370468741</v>
      </c>
      <c r="W87" s="27" t="n">
        <v>39.13997370468741</v>
      </c>
      <c r="X87" s="27" t="n">
        <v>10.02035401340762</v>
      </c>
      <c r="Y87" s="27" t="n">
        <v>9.69308566297935</v>
      </c>
      <c r="Z87" s="27" t="n">
        <v>8.947322178746809</v>
      </c>
      <c r="AA87" s="27" t="n">
        <v>1.637940886699507</v>
      </c>
      <c r="AB87" s="27" t="n">
        <v>2.852903530377668</v>
      </c>
      <c r="AC87" s="27" t="n">
        <v>41.99287723506507</v>
      </c>
      <c r="AD87" s="27" t="n">
        <v>41.99287723506507</v>
      </c>
      <c r="AE87" s="27" t="n">
        <v>11.23531665708578</v>
      </c>
      <c r="AF87" s="27" t="n">
        <v>10.90804830665751</v>
      </c>
      <c r="AG87" s="27" t="n">
        <v>10.16228482242497</v>
      </c>
      <c r="AH87" s="27" t="n">
        <v>39.02</v>
      </c>
      <c r="AI87" s="27" t="n">
        <v>38.72824776851255</v>
      </c>
      <c r="AJ87" s="25" t="inlineStr">
        <is>
          <t>10 of 17 sourced, 3 derived, 1 proxy, 3 assumption</t>
        </is>
      </c>
    </row>
    <row r="88">
      <c r="A88" s="29" t="n">
        <v>47908</v>
      </c>
      <c r="B88" s="25" t="inlineStr">
        <is>
          <t>Scenario</t>
        </is>
      </c>
      <c r="C88" s="27" t="n">
        <v>4.068206450284062</v>
      </c>
      <c r="D88" s="27" t="n">
        <v>5.929107185695436</v>
      </c>
      <c r="E88" s="27" t="n">
        <v>0.4351663624518828</v>
      </c>
      <c r="F88" s="27" t="n">
        <v>0.4323125644438967</v>
      </c>
      <c r="G88" s="27" t="n">
        <v>0.005841759970495962</v>
      </c>
      <c r="H88" s="27" t="n">
        <v>14.02246622474038</v>
      </c>
      <c r="I88" s="27" t="n">
        <v>2.556073288794575</v>
      </c>
      <c r="J88" s="27" t="n">
        <v>9.547087555460577</v>
      </c>
      <c r="K88" s="27" t="n">
        <v>0.3739620898039081</v>
      </c>
      <c r="L88" s="27" t="n">
        <v>0.1527419083381964</v>
      </c>
      <c r="M88" s="27" t="n">
        <v>20.84588642876714</v>
      </c>
      <c r="N88" s="27" t="n">
        <v>0.8206266877820583</v>
      </c>
      <c r="O88" s="27" t="n">
        <v>0.4843833553393052</v>
      </c>
      <c r="P88" s="27" t="n">
        <v>39.57508016825969</v>
      </c>
      <c r="Q88" s="27" t="n">
        <v>1.870054135745169</v>
      </c>
      <c r="R88" s="27" t="n">
        <v>1.239651177515798</v>
      </c>
      <c r="S88" s="27" t="n">
        <v>27.60191574471893</v>
      </c>
      <c r="T88" s="27" t="n">
        <v>27.93355719172003</v>
      </c>
      <c r="U88" s="27" t="n">
        <v>28.68882501389653</v>
      </c>
      <c r="V88" s="27" t="n">
        <v>39.17101178918138</v>
      </c>
      <c r="W88" s="27" t="n">
        <v>39.17101178918138</v>
      </c>
      <c r="X88" s="27" t="n">
        <v>11.56909604446245</v>
      </c>
      <c r="Y88" s="27" t="n">
        <v>11.23745459746134</v>
      </c>
      <c r="Z88" s="27" t="n">
        <v>10.48218677528485</v>
      </c>
      <c r="AA88" s="27" t="n">
        <v>2.392172043010753</v>
      </c>
      <c r="AB88" s="27" t="n">
        <v>1.187268817204301</v>
      </c>
      <c r="AC88" s="27" t="n">
        <v>40.35828060638568</v>
      </c>
      <c r="AD88" s="27" t="n">
        <v>40.35828060638568</v>
      </c>
      <c r="AE88" s="27" t="n">
        <v>10.364192818656</v>
      </c>
      <c r="AF88" s="27" t="n">
        <v>10.03255137165489</v>
      </c>
      <c r="AG88" s="27" t="n">
        <v>9.277283549478394</v>
      </c>
      <c r="AH88" s="27" t="n">
        <v>39.02</v>
      </c>
      <c r="AI88" s="27" t="n">
        <v>38.76219950866829</v>
      </c>
      <c r="AJ88" s="25" t="inlineStr">
        <is>
          <t>10 of 17 sourced, 3 derived, 1 proxy, 3 assumption</t>
        </is>
      </c>
    </row>
    <row r="89">
      <c r="A89" s="29" t="n">
        <v>47939</v>
      </c>
      <c r="B89" s="25" t="inlineStr">
        <is>
          <t>Scenario</t>
        </is>
      </c>
      <c r="C89" s="27" t="n">
        <v>4.495762034023503</v>
      </c>
      <c r="D89" s="27" t="n">
        <v>5.862804260967176</v>
      </c>
      <c r="E89" s="27" t="n">
        <v>0.2824806571998834</v>
      </c>
      <c r="F89" s="27" t="n">
        <v>0.3931488205915087</v>
      </c>
      <c r="G89" s="27" t="n">
        <v>0.005824141351256444</v>
      </c>
      <c r="H89" s="27" t="n">
        <v>13.71412009222568</v>
      </c>
      <c r="I89" s="27" t="n">
        <v>2.751944278964868</v>
      </c>
      <c r="J89" s="27" t="n">
        <v>9.559738285856627</v>
      </c>
      <c r="K89" s="27" t="n">
        <v>0.374457622451846</v>
      </c>
      <c r="L89" s="27" t="n">
        <v>0.1532374409861343</v>
      </c>
      <c r="M89" s="27" t="n">
        <v>20.96956129007872</v>
      </c>
      <c r="N89" s="27" t="n">
        <v>0.825495317002832</v>
      </c>
      <c r="O89" s="27" t="n">
        <v>0.4892519845600789</v>
      </c>
      <c r="P89" s="27" t="n">
        <v>39.87924854334964</v>
      </c>
      <c r="Q89" s="27" t="n">
        <v>1.884427102909896</v>
      </c>
      <c r="R89" s="27" t="n">
        <v>1.254024144680526</v>
      </c>
      <c r="S89" s="27" t="n">
        <v>27.65932172631001</v>
      </c>
      <c r="T89" s="27" t="n">
        <v>27.99533626988395</v>
      </c>
      <c r="U89" s="27" t="n">
        <v>28.7601084300044</v>
      </c>
      <c r="V89" s="27" t="n">
        <v>39.20207477616061</v>
      </c>
      <c r="W89" s="27" t="n">
        <v>39.20207477616061</v>
      </c>
      <c r="X89" s="27" t="n">
        <v>11.5427530498506</v>
      </c>
      <c r="Y89" s="27" t="n">
        <v>11.20673850627665</v>
      </c>
      <c r="Z89" s="27" t="n">
        <v>10.44196634615621</v>
      </c>
      <c r="AA89" s="27" t="n">
        <v>2.271922222222222</v>
      </c>
      <c r="AB89" s="27" t="n">
        <v>1.159666666666667</v>
      </c>
      <c r="AC89" s="27" t="n">
        <v>40.36174144282727</v>
      </c>
      <c r="AD89" s="27" t="n">
        <v>40.36174144282727</v>
      </c>
      <c r="AE89" s="27" t="n">
        <v>10.43049749429504</v>
      </c>
      <c r="AF89" s="27" t="n">
        <v>10.0944829507211</v>
      </c>
      <c r="AG89" s="27" t="n">
        <v>9.32971079060065</v>
      </c>
      <c r="AH89" s="27" t="n">
        <v>39.02</v>
      </c>
      <c r="AI89" s="27" t="n">
        <v>38.7961810131621</v>
      </c>
      <c r="AJ89" s="25" t="inlineStr">
        <is>
          <t>10 of 17 sourced, 3 derived, 1 proxy, 3 assumption</t>
        </is>
      </c>
    </row>
    <row r="90">
      <c r="A90" s="29" t="n">
        <v>47969</v>
      </c>
      <c r="B90" s="25" t="inlineStr">
        <is>
          <t>Scenario</t>
        </is>
      </c>
      <c r="C90" s="27" t="n">
        <v>5.792966830004294</v>
      </c>
      <c r="D90" s="27" t="n">
        <v>5.731096638494989</v>
      </c>
      <c r="E90" s="27" t="n">
        <v>0.1956376044099752</v>
      </c>
      <c r="F90" s="27" t="n">
        <v>0.3302799725496066</v>
      </c>
      <c r="G90" s="27" t="n">
        <v>0.005812179221368627</v>
      </c>
      <c r="H90" s="27" t="n">
        <v>14.3118733709199</v>
      </c>
      <c r="I90" s="27" t="n">
        <v>2.991018631852827</v>
      </c>
      <c r="J90" s="27" t="n">
        <v>9.572389016252675</v>
      </c>
      <c r="K90" s="27" t="n">
        <v>0.3749531550997839</v>
      </c>
      <c r="L90" s="27" t="n">
        <v>0.1537329736340722</v>
      </c>
      <c r="M90" s="27" t="n">
        <v>21.09323615139029</v>
      </c>
      <c r="N90" s="27" t="n">
        <v>0.8303639462236055</v>
      </c>
      <c r="O90" s="27" t="n">
        <v>0.4941206137808525</v>
      </c>
      <c r="P90" s="27" t="n">
        <v>40.1834169184396</v>
      </c>
      <c r="Q90" s="27" t="n">
        <v>1.898800070074624</v>
      </c>
      <c r="R90" s="27" t="n">
        <v>1.268397111845253</v>
      </c>
      <c r="S90" s="27" t="n">
        <v>29.51241820108704</v>
      </c>
      <c r="T90" s="27" t="n">
        <v>29.85280584123382</v>
      </c>
      <c r="U90" s="27" t="n">
        <v>30.62708233929822</v>
      </c>
      <c r="V90" s="27" t="n">
        <v>39.23316268621259</v>
      </c>
      <c r="W90" s="27" t="n">
        <v>39.23316268621259</v>
      </c>
      <c r="X90" s="27" t="n">
        <v>9.72074448512555</v>
      </c>
      <c r="Y90" s="27" t="n">
        <v>9.38035684497877</v>
      </c>
      <c r="Z90" s="27" t="n">
        <v>8.606080346914368</v>
      </c>
      <c r="AA90" s="27" t="n">
        <v>2.179247311827957</v>
      </c>
      <c r="AB90" s="27" t="n">
        <v>1.123032258064516</v>
      </c>
      <c r="AC90" s="27" t="n">
        <v>40.35619494427711</v>
      </c>
      <c r="AD90" s="27" t="n">
        <v>40.35619494427711</v>
      </c>
      <c r="AE90" s="27" t="n">
        <v>8.664529431362112</v>
      </c>
      <c r="AF90" s="27" t="n">
        <v>8.324141791215332</v>
      </c>
      <c r="AG90" s="27" t="n">
        <v>7.54986529315093</v>
      </c>
      <c r="AH90" s="27" t="n">
        <v>39.02</v>
      </c>
      <c r="AI90" s="27" t="n">
        <v>38.83019230808738</v>
      </c>
      <c r="AJ90" s="25" t="inlineStr">
        <is>
          <t>10 of 17 sourced, 3 derived, 1 proxy, 3 assumption</t>
        </is>
      </c>
    </row>
    <row r="91">
      <c r="A91" s="29" t="n">
        <v>48000</v>
      </c>
      <c r="B91" s="25" t="inlineStr">
        <is>
          <t>Scenario</t>
        </is>
      </c>
      <c r="C91" s="27" t="n">
        <v>6.680486736221694</v>
      </c>
      <c r="D91" s="27" t="n">
        <v>5.794658284915496</v>
      </c>
      <c r="E91" s="27" t="n">
        <v>0.1861008865852145</v>
      </c>
      <c r="F91" s="27" t="n">
        <v>0.3327629373534614</v>
      </c>
      <c r="G91" s="27" t="n">
        <v>0.005794649817016119</v>
      </c>
      <c r="H91" s="27" t="n">
        <v>14.54182463442464</v>
      </c>
      <c r="I91" s="27" t="n">
        <v>2.932999147140086</v>
      </c>
      <c r="J91" s="27" t="n">
        <v>9.585039746648725</v>
      </c>
      <c r="K91" s="27" t="n">
        <v>0.3754486877477218</v>
      </c>
      <c r="L91" s="27" t="n">
        <v>0.1542285062820101</v>
      </c>
      <c r="M91" s="27" t="n">
        <v>21.21691101270187</v>
      </c>
      <c r="N91" s="27" t="n">
        <v>0.8352325754443792</v>
      </c>
      <c r="O91" s="27" t="n">
        <v>0.4989892430016262</v>
      </c>
      <c r="P91" s="27" t="n">
        <v>40.48758529352955</v>
      </c>
      <c r="Q91" s="27" t="n">
        <v>1.913173037239352</v>
      </c>
      <c r="R91" s="27" t="n">
        <v>1.282770079009981</v>
      </c>
      <c r="S91" s="27" t="n">
        <v>30.62885578273961</v>
      </c>
      <c r="T91" s="27" t="n">
        <v>30.97361651945923</v>
      </c>
      <c r="U91" s="27" t="n">
        <v>31.75739735546759</v>
      </c>
      <c r="V91" s="27" t="n">
        <v>39.26427553994218</v>
      </c>
      <c r="W91" s="27" t="n">
        <v>39.26427553994218</v>
      </c>
      <c r="X91" s="27" t="n">
        <v>8.63541975720257</v>
      </c>
      <c r="Y91" s="27" t="n">
        <v>8.290659020482952</v>
      </c>
      <c r="Z91" s="27" t="n">
        <v>7.506878184474598</v>
      </c>
      <c r="AA91" s="27" t="n">
        <v>1.835466666666667</v>
      </c>
      <c r="AB91" s="27" t="n">
        <v>1.149211111111111</v>
      </c>
      <c r="AC91" s="27" t="n">
        <v>40.4134866510533</v>
      </c>
      <c r="AD91" s="27" t="n">
        <v>40.4134866510533</v>
      </c>
      <c r="AE91" s="27" t="n">
        <v>7.949164201647017</v>
      </c>
      <c r="AF91" s="27" t="n">
        <v>7.604403464927399</v>
      </c>
      <c r="AG91" s="27" t="n">
        <v>6.820622628919045</v>
      </c>
      <c r="AH91" s="27" t="n">
        <v>39.02</v>
      </c>
      <c r="AI91" s="27" t="n">
        <v>38.86423341956037</v>
      </c>
      <c r="AJ91" s="25" t="inlineStr">
        <is>
          <t>10 of 17 sourced, 3 derived, 1 proxy, 3 assumption</t>
        </is>
      </c>
    </row>
    <row r="92">
      <c r="A92" s="29" t="n">
        <v>48030</v>
      </c>
      <c r="B92" s="25" t="inlineStr">
        <is>
          <t>Scenario</t>
        </is>
      </c>
      <c r="C92" s="27" t="n">
        <v>7.270704077454631</v>
      </c>
      <c r="D92" s="27" t="n">
        <v>5.780375507941438</v>
      </c>
      <c r="E92" s="27" t="n">
        <v>0.1739449073925743</v>
      </c>
      <c r="F92" s="27" t="n">
        <v>0.3180100678315418</v>
      </c>
      <c r="G92" s="27" t="n">
        <v>0.005782748259415597</v>
      </c>
      <c r="H92" s="27" t="n">
        <v>14.22991380966947</v>
      </c>
      <c r="I92" s="27" t="n">
        <v>2.798953512470861</v>
      </c>
      <c r="J92" s="27" t="n">
        <v>9.597690477044774</v>
      </c>
      <c r="K92" s="27" t="n">
        <v>0.3759442203956597</v>
      </c>
      <c r="L92" s="27" t="n">
        <v>0.154724038929948</v>
      </c>
      <c r="M92" s="27" t="n">
        <v>21.34058587401345</v>
      </c>
      <c r="N92" s="27" t="n">
        <v>0.8401012046651529</v>
      </c>
      <c r="O92" s="27" t="n">
        <v>0.5038578722223999</v>
      </c>
      <c r="P92" s="27" t="n">
        <v>40.79175366861951</v>
      </c>
      <c r="Q92" s="27" t="n">
        <v>1.927546004404079</v>
      </c>
      <c r="R92" s="27" t="n">
        <v>1.297143046174709</v>
      </c>
      <c r="S92" s="27" t="n">
        <v>30.73240866994988</v>
      </c>
      <c r="T92" s="27" t="n">
        <v>31.08154250324233</v>
      </c>
      <c r="U92" s="27" t="n">
        <v>31.87482767719464</v>
      </c>
      <c r="V92" s="27" t="n">
        <v>39.29541335797166</v>
      </c>
      <c r="W92" s="27" t="n">
        <v>39.29541335797166</v>
      </c>
      <c r="X92" s="27" t="n">
        <v>8.563004688021785</v>
      </c>
      <c r="Y92" s="27" t="n">
        <v>8.213870854729333</v>
      </c>
      <c r="Z92" s="27" t="n">
        <v>7.420585680777023</v>
      </c>
      <c r="AA92" s="27" t="n">
        <v>1.445075268817204</v>
      </c>
      <c r="AB92" s="27" t="n">
        <v>1.521387096774194</v>
      </c>
      <c r="AC92" s="27" t="n">
        <v>40.81680045474585</v>
      </c>
      <c r="AD92" s="27" t="n">
        <v>40.81680045474585</v>
      </c>
      <c r="AE92" s="27" t="n">
        <v>8.639316515978772</v>
      </c>
      <c r="AF92" s="27" t="n">
        <v>8.29018268268632</v>
      </c>
      <c r="AG92" s="27" t="n">
        <v>7.49689750873401</v>
      </c>
      <c r="AH92" s="27" t="n">
        <v>39.02</v>
      </c>
      <c r="AI92" s="27" t="n">
        <v>38.89830437372024</v>
      </c>
      <c r="AJ92" s="25" t="inlineStr">
        <is>
          <t>10 of 17 sourced, 3 derived, 1 proxy, 3 assumption</t>
        </is>
      </c>
    </row>
    <row r="93">
      <c r="A93" s="29" t="n">
        <v>48061</v>
      </c>
      <c r="B93" s="25" t="inlineStr">
        <is>
          <t>Scenario</t>
        </is>
      </c>
      <c r="C93" s="27" t="n">
        <v>8.161645258862009</v>
      </c>
      <c r="D93" s="27" t="n">
        <v>5.847756646811344</v>
      </c>
      <c r="E93" s="27" t="n">
        <v>0.1528105915364982</v>
      </c>
      <c r="F93" s="27" t="n">
        <v>0.309998447397076</v>
      </c>
      <c r="G93" s="27" t="n">
        <v>0.004506754185981527</v>
      </c>
      <c r="H93" s="27" t="n">
        <v>14.68855477995527</v>
      </c>
      <c r="I93" s="27" t="n">
        <v>2.864573466825327</v>
      </c>
      <c r="J93" s="27" t="n">
        <v>9.610341207440822</v>
      </c>
      <c r="K93" s="27" t="n">
        <v>0.3764397530435976</v>
      </c>
      <c r="L93" s="27" t="n">
        <v>0.1552195715778859</v>
      </c>
      <c r="M93" s="27" t="n">
        <v>21.46426073532502</v>
      </c>
      <c r="N93" s="27" t="n">
        <v>0.8449698338859265</v>
      </c>
      <c r="O93" s="27" t="n">
        <v>0.5087265014431734</v>
      </c>
      <c r="P93" s="27" t="n">
        <v>41.09592204370946</v>
      </c>
      <c r="Q93" s="27" t="n">
        <v>1.941918971568807</v>
      </c>
      <c r="R93" s="27" t="n">
        <v>1.311516013339436</v>
      </c>
      <c r="S93" s="27" t="n">
        <v>32.18506551715139</v>
      </c>
      <c r="T93" s="27" t="n">
        <v>32.53857244701668</v>
      </c>
      <c r="U93" s="27" t="n">
        <v>33.34136195891294</v>
      </c>
      <c r="V93" s="27" t="n">
        <v>39.3265761609407</v>
      </c>
      <c r="W93" s="27" t="n">
        <v>39.3265761609407</v>
      </c>
      <c r="X93" s="27" t="n">
        <v>7.141510643789303</v>
      </c>
      <c r="Y93" s="27" t="n">
        <v>6.78800371392402</v>
      </c>
      <c r="Z93" s="27" t="n">
        <v>5.985214202027755</v>
      </c>
      <c r="AA93" s="27" t="n">
        <v>1.741763440860215</v>
      </c>
      <c r="AB93" s="27" t="n">
        <v>2.883548387096774</v>
      </c>
      <c r="AC93" s="27" t="n">
        <v>42.21012454803747</v>
      </c>
      <c r="AD93" s="27" t="n">
        <v>42.21012454803747</v>
      </c>
      <c r="AE93" s="27" t="n">
        <v>8.283295590025862</v>
      </c>
      <c r="AF93" s="27" t="n">
        <v>7.929788660160579</v>
      </c>
      <c r="AG93" s="27" t="n">
        <v>7.126999148264314</v>
      </c>
      <c r="AH93" s="27" t="n">
        <v>39.02</v>
      </c>
      <c r="AI93" s="27" t="n">
        <v>38.93240519672905</v>
      </c>
      <c r="AJ93" s="25" t="inlineStr">
        <is>
          <t>10 of 17 sourced, 3 derived, 1 proxy, 3 assumption</t>
        </is>
      </c>
    </row>
    <row r="94">
      <c r="A94" s="29" t="n">
        <v>48092</v>
      </c>
      <c r="B94" s="25" t="inlineStr">
        <is>
          <t>Scenario</t>
        </is>
      </c>
      <c r="C94" s="27" t="n">
        <v>6.918029331066658</v>
      </c>
      <c r="D94" s="27" t="n">
        <v>5.82171992507825</v>
      </c>
      <c r="E94" s="27" t="n">
        <v>0.1503187068230294</v>
      </c>
      <c r="F94" s="27" t="n">
        <v>0.3175632675083901</v>
      </c>
      <c r="G94" s="27" t="n">
        <v>0.004487238977362174</v>
      </c>
      <c r="H94" s="27" t="n">
        <v>15.4700550280206</v>
      </c>
      <c r="I94" s="27" t="n">
        <v>2.696572146296074</v>
      </c>
      <c r="J94" s="27" t="n">
        <v>9.622991937836872</v>
      </c>
      <c r="K94" s="27" t="n">
        <v>0.3769352856915354</v>
      </c>
      <c r="L94" s="27" t="n">
        <v>0.1557151042258238</v>
      </c>
      <c r="M94" s="27" t="n">
        <v>21.5879355966366</v>
      </c>
      <c r="N94" s="27" t="n">
        <v>0.8498384631067002</v>
      </c>
      <c r="O94" s="27" t="n">
        <v>0.5135951306639471</v>
      </c>
      <c r="P94" s="27" t="n">
        <v>41.40009041879942</v>
      </c>
      <c r="Q94" s="27" t="n">
        <v>1.956291938733534</v>
      </c>
      <c r="R94" s="27" t="n">
        <v>1.325888980504164</v>
      </c>
      <c r="S94" s="27" t="n">
        <v>31.53446074799618</v>
      </c>
      <c r="T94" s="27" t="n">
        <v>31.89234077443431</v>
      </c>
      <c r="U94" s="27" t="n">
        <v>32.70463462427452</v>
      </c>
      <c r="V94" s="27" t="n">
        <v>39.35776396950637</v>
      </c>
      <c r="W94" s="27" t="n">
        <v>39.35776396950637</v>
      </c>
      <c r="X94" s="27" t="n">
        <v>7.823303221510184</v>
      </c>
      <c r="Y94" s="27" t="n">
        <v>7.465423195072059</v>
      </c>
      <c r="Z94" s="27" t="n">
        <v>6.653129345231847</v>
      </c>
      <c r="AA94" s="27" t="n">
        <v>2.412133333333333</v>
      </c>
      <c r="AB94" s="27" t="n">
        <v>2.104855555555555</v>
      </c>
      <c r="AC94" s="27" t="n">
        <v>41.46261952506192</v>
      </c>
      <c r="AD94" s="27" t="n">
        <v>41.46261952506192</v>
      </c>
      <c r="AE94" s="27" t="n">
        <v>7.516025443732403</v>
      </c>
      <c r="AF94" s="27" t="n">
        <v>7.158145417294278</v>
      </c>
      <c r="AG94" s="27" t="n">
        <v>6.345851567454066</v>
      </c>
      <c r="AH94" s="27" t="n">
        <v>39.02</v>
      </c>
      <c r="AI94" s="27" t="n">
        <v>38.96653591477181</v>
      </c>
      <c r="AJ94" s="25" t="inlineStr">
        <is>
          <t>10 of 17 sourced, 3 derived, 1 proxy, 3 assumption</t>
        </is>
      </c>
    </row>
    <row r="95">
      <c r="A95" s="29" t="n">
        <v>48122</v>
      </c>
      <c r="B95" s="25" t="inlineStr">
        <is>
          <t>Scenario</t>
        </is>
      </c>
      <c r="C95" s="27" t="n">
        <v>5.436307874895696</v>
      </c>
      <c r="D95" s="27" t="n">
        <v>5.668351859128716</v>
      </c>
      <c r="E95" s="27" t="n">
        <v>0.208629303991381</v>
      </c>
      <c r="F95" s="27" t="n">
        <v>0.3476996474333924</v>
      </c>
      <c r="G95" s="27" t="n">
        <v>0.004483933466604595</v>
      </c>
      <c r="H95" s="27" t="n">
        <v>15.89548970777218</v>
      </c>
      <c r="I95" s="27" t="n">
        <v>2.572250718464745</v>
      </c>
      <c r="J95" s="27" t="n">
        <v>9.63564266823292</v>
      </c>
      <c r="K95" s="27" t="n">
        <v>0.3774308183394734</v>
      </c>
      <c r="L95" s="27" t="n">
        <v>0.1562106368737617</v>
      </c>
      <c r="M95" s="27" t="n">
        <v>21.71161045794818</v>
      </c>
      <c r="N95" s="27" t="n">
        <v>0.8547070923274739</v>
      </c>
      <c r="O95" s="27" t="n">
        <v>0.5184637598847208</v>
      </c>
      <c r="P95" s="27" t="n">
        <v>41.70425879388937</v>
      </c>
      <c r="Q95" s="27" t="n">
        <v>1.970664905898262</v>
      </c>
      <c r="R95" s="27" t="n">
        <v>1.340261947668891</v>
      </c>
      <c r="S95" s="27" t="n">
        <v>30.28942368202648</v>
      </c>
      <c r="T95" s="27" t="n">
        <v>30.65167680503744</v>
      </c>
      <c r="U95" s="27" t="n">
        <v>31.47347499282161</v>
      </c>
      <c r="V95" s="27" t="n">
        <v>39.38897680434319</v>
      </c>
      <c r="W95" s="27" t="n">
        <v>39.38897680434319</v>
      </c>
      <c r="X95" s="27" t="n">
        <v>9.099553122316717</v>
      </c>
      <c r="Y95" s="27" t="n">
        <v>8.737299999305758</v>
      </c>
      <c r="Z95" s="27" t="n">
        <v>7.915501811521587</v>
      </c>
      <c r="AA95" s="27" t="n">
        <v>2.523494623655914</v>
      </c>
      <c r="AB95" s="27" t="n">
        <v>1.056784946236559</v>
      </c>
      <c r="AC95" s="27" t="n">
        <v>40.44576175057976</v>
      </c>
      <c r="AD95" s="27" t="n">
        <v>40.44576175057976</v>
      </c>
      <c r="AE95" s="27" t="n">
        <v>7.632843444897365</v>
      </c>
      <c r="AF95" s="27" t="n">
        <v>7.270590321886406</v>
      </c>
      <c r="AG95" s="27" t="n">
        <v>6.448792134102234</v>
      </c>
      <c r="AH95" s="27" t="n">
        <v>39.02</v>
      </c>
      <c r="AI95" s="27" t="n">
        <v>39.00069655405649</v>
      </c>
      <c r="AJ95" s="25" t="inlineStr">
        <is>
          <t>10 of 17 sourced, 3 derived, 1 proxy, 3 assumption</t>
        </is>
      </c>
    </row>
    <row r="96">
      <c r="A96" s="29" t="n">
        <v>48153</v>
      </c>
      <c r="B96" s="25" t="inlineStr">
        <is>
          <t>Scenario</t>
        </is>
      </c>
      <c r="C96" s="27" t="n">
        <v>4.645007511031529</v>
      </c>
      <c r="D96" s="27" t="n">
        <v>6.068406732208753</v>
      </c>
      <c r="E96" s="27" t="n">
        <v>0.4013355564337128</v>
      </c>
      <c r="F96" s="27" t="n">
        <v>0.4356941684519934</v>
      </c>
      <c r="G96" s="27" t="n">
        <v>0.00446451707657643</v>
      </c>
      <c r="H96" s="27" t="n">
        <v>16.23512052546222</v>
      </c>
      <c r="I96" s="27" t="n">
        <v>2.514106660763842</v>
      </c>
      <c r="J96" s="27" t="n">
        <v>9.648293398628971</v>
      </c>
      <c r="K96" s="27" t="n">
        <v>0.3779263509874113</v>
      </c>
      <c r="L96" s="27" t="n">
        <v>0.1567061695216996</v>
      </c>
      <c r="M96" s="27" t="n">
        <v>21.83528531925975</v>
      </c>
      <c r="N96" s="27" t="n">
        <v>0.8595757215482475</v>
      </c>
      <c r="O96" s="27" t="n">
        <v>0.5233323891054944</v>
      </c>
      <c r="P96" s="27" t="n">
        <v>42.00842716897932</v>
      </c>
      <c r="Q96" s="27" t="n">
        <v>1.98503787306299</v>
      </c>
      <c r="R96" s="27" t="n">
        <v>1.354634914833619</v>
      </c>
      <c r="S96" s="27" t="n">
        <v>30.46084184095033</v>
      </c>
      <c r="T96" s="27" t="n">
        <v>30.82746806053412</v>
      </c>
      <c r="U96" s="27" t="n">
        <v>31.65877058626224</v>
      </c>
      <c r="V96" s="27" t="n">
        <v>39.40963167559494</v>
      </c>
      <c r="W96" s="27" t="n">
        <v>39.40963167559494</v>
      </c>
      <c r="X96" s="27" t="n">
        <v>8.948789834644618</v>
      </c>
      <c r="Y96" s="27" t="n">
        <v>8.582163615060825</v>
      </c>
      <c r="Z96" s="27" t="n">
        <v>7.750861089332702</v>
      </c>
      <c r="AA96" s="27" t="n">
        <v>1.881788888888889</v>
      </c>
      <c r="AB96" s="27" t="n">
        <v>1.287677777777778</v>
      </c>
      <c r="AC96" s="27" t="n">
        <v>40.69730945337272</v>
      </c>
      <c r="AD96" s="27" t="n">
        <v>40.69730945337272</v>
      </c>
      <c r="AE96" s="27" t="n">
        <v>8.35467872353351</v>
      </c>
      <c r="AF96" s="27" t="n">
        <v>7.988052503949716</v>
      </c>
      <c r="AG96" s="27" t="n">
        <v>7.156749978221593</v>
      </c>
      <c r="AH96" s="27" t="n">
        <v>39.02</v>
      </c>
      <c r="AI96" s="27" t="n">
        <v>39.03488714081401</v>
      </c>
      <c r="AJ96" s="25" t="inlineStr">
        <is>
          <t>10 of 17 sourced, 3 derived, 1 proxy, 3 assumption</t>
        </is>
      </c>
    </row>
    <row r="97">
      <c r="A97" s="29" t="n">
        <v>48183</v>
      </c>
      <c r="B97" s="25" t="inlineStr">
        <is>
          <t>Scenario</t>
        </is>
      </c>
      <c r="C97" s="27" t="n">
        <v>4.588742658117908</v>
      </c>
      <c r="D97" s="27" t="n">
        <v>6.274628996484306</v>
      </c>
      <c r="E97" s="27" t="n">
        <v>0.7401367346887212</v>
      </c>
      <c r="F97" s="27" t="n">
        <v>0.5554116393236709</v>
      </c>
      <c r="G97" s="27" t="n">
        <v>0.004461228303837008</v>
      </c>
      <c r="H97" s="27" t="n">
        <v>16.01719753724603</v>
      </c>
      <c r="I97" s="27" t="n">
        <v>2.399606561380231</v>
      </c>
      <c r="J97" s="27" t="n">
        <v>9.660944129025019</v>
      </c>
      <c r="K97" s="27" t="n">
        <v>0.3784218836353492</v>
      </c>
      <c r="L97" s="27" t="n">
        <v>0.1572017021696375</v>
      </c>
      <c r="M97" s="27" t="n">
        <v>21.95896018057133</v>
      </c>
      <c r="N97" s="27" t="n">
        <v>0.8644443507690212</v>
      </c>
      <c r="O97" s="27" t="n">
        <v>0.5282010183262681</v>
      </c>
      <c r="P97" s="27" t="n">
        <v>42.31259554406928</v>
      </c>
      <c r="Q97" s="27" t="n">
        <v>1.999410840227717</v>
      </c>
      <c r="R97" s="27" t="n">
        <v>1.369007881998346</v>
      </c>
      <c r="S97" s="27" t="n">
        <v>30.73738705771434</v>
      </c>
      <c r="T97" s="27" t="n">
        <v>31.10838637387097</v>
      </c>
      <c r="U97" s="27" t="n">
        <v>31.94919323754305</v>
      </c>
      <c r="V97" s="27" t="n">
        <v>39.41656782134501</v>
      </c>
      <c r="W97" s="27" t="n">
        <v>39.41656782134501</v>
      </c>
      <c r="X97" s="27" t="n">
        <v>8.679180763630669</v>
      </c>
      <c r="Y97" s="27" t="n">
        <v>8.308181447474038</v>
      </c>
      <c r="Z97" s="27" t="n">
        <v>7.467374583801959</v>
      </c>
      <c r="AA97" s="27" t="n">
        <v>1.379204301075269</v>
      </c>
      <c r="AB97" s="27" t="n">
        <v>2.158774193548387</v>
      </c>
      <c r="AC97" s="27" t="n">
        <v>41.5753420148934</v>
      </c>
      <c r="AD97" s="27" t="n">
        <v>41.5753420148934</v>
      </c>
      <c r="AE97" s="27" t="n">
        <v>9.458750656103788</v>
      </c>
      <c r="AF97" s="27" t="n">
        <v>9.087751339947157</v>
      </c>
      <c r="AG97" s="27" t="n">
        <v>8.246944476275079</v>
      </c>
      <c r="AH97" s="27" t="n">
        <v>39.02</v>
      </c>
      <c r="AI97" s="27" t="n">
        <v>39.06910770129832</v>
      </c>
      <c r="AJ97" s="25" t="inlineStr">
        <is>
          <t>10 of 17 sourced, 3 derived, 1 proxy, 3 assumption</t>
        </is>
      </c>
    </row>
    <row r="98">
      <c r="A98" s="29" t="n">
        <v>48214</v>
      </c>
      <c r="B98" s="25" t="inlineStr">
        <is>
          <t>Scenario</t>
        </is>
      </c>
      <c r="C98" s="27" t="n">
        <v>5.579445751982315</v>
      </c>
      <c r="D98" s="27" t="n">
        <v>6.13091390351837</v>
      </c>
      <c r="E98" s="27" t="n">
        <v>1.317844749386101</v>
      </c>
      <c r="F98" s="27" t="n">
        <v>0.7743706237694745</v>
      </c>
      <c r="G98" s="27" t="n">
        <v>0.005695346531056814</v>
      </c>
      <c r="H98" s="27" t="n">
        <v>15.40481531001708</v>
      </c>
      <c r="I98" s="27" t="n">
        <v>2.643528614566458</v>
      </c>
      <c r="J98" s="27" t="n">
        <v>9.673594859421067</v>
      </c>
      <c r="K98" s="27" t="n">
        <v>0.3789174162832871</v>
      </c>
      <c r="L98" s="27" t="n">
        <v>0.1576972348175754</v>
      </c>
      <c r="M98" s="27" t="n">
        <v>22.0826350418829</v>
      </c>
      <c r="N98" s="27" t="n">
        <v>0.8693129799897947</v>
      </c>
      <c r="O98" s="27" t="n">
        <v>0.5330696475470417</v>
      </c>
      <c r="P98" s="27" t="n">
        <v>42.61676391915924</v>
      </c>
      <c r="Q98" s="27" t="n">
        <v>2.013783807392445</v>
      </c>
      <c r="R98" s="27" t="n">
        <v>1.383380849163074</v>
      </c>
      <c r="S98" s="27" t="n">
        <v>32.01431153458843</v>
      </c>
      <c r="T98" s="27" t="n">
        <v>32.3896839473179</v>
      </c>
      <c r="U98" s="27" t="n">
        <v>33.23999514893393</v>
      </c>
      <c r="V98" s="27" t="n">
        <v>39.42004294921241</v>
      </c>
      <c r="W98" s="27" t="n">
        <v>39.42004294921241</v>
      </c>
      <c r="X98" s="27" t="n">
        <v>7.405731414623979</v>
      </c>
      <c r="Y98" s="27" t="n">
        <v>7.03035900189451</v>
      </c>
      <c r="Z98" s="27" t="n">
        <v>6.18004780027848</v>
      </c>
      <c r="AA98" s="27" t="n">
        <v>0.9953118279569892</v>
      </c>
      <c r="AB98" s="27" t="n">
        <v>4.435344086021505</v>
      </c>
      <c r="AC98" s="27" t="n">
        <v>43.85538703523392</v>
      </c>
      <c r="AD98" s="27" t="n">
        <v>43.85538703523392</v>
      </c>
      <c r="AE98" s="27" t="n">
        <v>10.8457636726885</v>
      </c>
      <c r="AF98" s="27" t="n">
        <v>10.47039125995903</v>
      </c>
      <c r="AG98" s="27" t="n">
        <v>9.620080058343</v>
      </c>
      <c r="AH98" s="27" t="n">
        <v>39.02</v>
      </c>
      <c r="AI98" s="27" t="n">
        <v>39.08627424944056</v>
      </c>
      <c r="AJ98" s="25" t="inlineStr">
        <is>
          <t>10 of 17 sourced, 3 derived, 1 proxy, 3 assumption</t>
        </is>
      </c>
    </row>
    <row r="99">
      <c r="A99" s="29" t="n">
        <v>48245</v>
      </c>
      <c r="B99" s="25" t="inlineStr">
        <is>
          <t>Scenario</t>
        </is>
      </c>
      <c r="C99" s="27" t="n">
        <v>4.573570037829584</v>
      </c>
      <c r="D99" s="27" t="n">
        <v>6.00400035631081</v>
      </c>
      <c r="E99" s="27" t="n">
        <v>0.9203511402688467</v>
      </c>
      <c r="F99" s="27" t="n">
        <v>0.609421158592989</v>
      </c>
      <c r="G99" s="27" t="n">
        <v>0.005690211605395703</v>
      </c>
      <c r="H99" s="27" t="n">
        <v>15.16644253291303</v>
      </c>
      <c r="I99" s="27" t="n">
        <v>2.598794312080328</v>
      </c>
      <c r="J99" s="27" t="n">
        <v>9.686245589817117</v>
      </c>
      <c r="K99" s="27" t="n">
        <v>0.379412948931225</v>
      </c>
      <c r="L99" s="27" t="n">
        <v>0.1581927674655133</v>
      </c>
      <c r="M99" s="27" t="n">
        <v>22.20630990319448</v>
      </c>
      <c r="N99" s="27" t="n">
        <v>0.8741816092105684</v>
      </c>
      <c r="O99" s="27" t="n">
        <v>0.5379382767678154</v>
      </c>
      <c r="P99" s="27" t="n">
        <v>42.9209322942492</v>
      </c>
      <c r="Q99" s="27" t="n">
        <v>2.028156774557173</v>
      </c>
      <c r="R99" s="27" t="n">
        <v>1.397753816327802</v>
      </c>
      <c r="S99" s="27" t="n">
        <v>30.0364625170665</v>
      </c>
      <c r="T99" s="27" t="n">
        <v>30.4162080263688</v>
      </c>
      <c r="U99" s="27" t="n">
        <v>31.27602356592879</v>
      </c>
      <c r="V99" s="27" t="n">
        <v>39.42351902089015</v>
      </c>
      <c r="W99" s="27" t="n">
        <v>39.42351902089015</v>
      </c>
      <c r="X99" s="27" t="n">
        <v>9.387056503823644</v>
      </c>
      <c r="Y99" s="27" t="n">
        <v>9.007310994521344</v>
      </c>
      <c r="Z99" s="27" t="n">
        <v>8.147495454961355</v>
      </c>
      <c r="AA99" s="27" t="n">
        <v>1.637940886699507</v>
      </c>
      <c r="AB99" s="27" t="n">
        <v>2.852903530377668</v>
      </c>
      <c r="AC99" s="27" t="n">
        <v>42.27642255126781</v>
      </c>
      <c r="AD99" s="27" t="n">
        <v>42.27642255126781</v>
      </c>
      <c r="AE99" s="27" t="n">
        <v>10.6020191475018</v>
      </c>
      <c r="AF99" s="27" t="n">
        <v>10.2222736381995</v>
      </c>
      <c r="AG99" s="27" t="n">
        <v>9.362458098639515</v>
      </c>
      <c r="AH99" s="27" t="n">
        <v>39.02</v>
      </c>
      <c r="AI99" s="27" t="n">
        <v>39.10344834038048</v>
      </c>
      <c r="AJ99" s="25" t="inlineStr">
        <is>
          <t>10 of 17 sourced, 3 derived, 1 proxy, 3 assumption</t>
        </is>
      </c>
    </row>
    <row r="100">
      <c r="A100" s="29" t="n">
        <v>48274</v>
      </c>
      <c r="B100" s="25" t="inlineStr">
        <is>
          <t>Scenario</t>
        </is>
      </c>
      <c r="C100" s="27" t="n">
        <v>4.068206450284062</v>
      </c>
      <c r="D100" s="27" t="n">
        <v>5.976087426634833</v>
      </c>
      <c r="E100" s="27" t="n">
        <v>0.4221113715783263</v>
      </c>
      <c r="F100" s="27" t="n">
        <v>0.4193431875105798</v>
      </c>
      <c r="G100" s="27" t="n">
        <v>0.005666507171381083</v>
      </c>
      <c r="H100" s="27" t="n">
        <v>14.70041434656364</v>
      </c>
      <c r="I100" s="27" t="n">
        <v>2.504301106472185</v>
      </c>
      <c r="J100" s="27" t="n">
        <v>9.698896320213166</v>
      </c>
      <c r="K100" s="27" t="n">
        <v>0.3799084815791629</v>
      </c>
      <c r="L100" s="27" t="n">
        <v>0.1586883001134512</v>
      </c>
      <c r="M100" s="27" t="n">
        <v>22.32998476450606</v>
      </c>
      <c r="N100" s="27" t="n">
        <v>0.8790502384313421</v>
      </c>
      <c r="O100" s="27" t="n">
        <v>0.5428069059885891</v>
      </c>
      <c r="P100" s="27" t="n">
        <v>43.22510066933916</v>
      </c>
      <c r="Q100" s="27" t="n">
        <v>2.0425297417219</v>
      </c>
      <c r="R100" s="27" t="n">
        <v>1.41212678349253</v>
      </c>
      <c r="S100" s="27" t="n">
        <v>28.25481869632846</v>
      </c>
      <c r="T100" s="27" t="n">
        <v>28.6389373022036</v>
      </c>
      <c r="U100" s="27" t="n">
        <v>29.50825717970754</v>
      </c>
      <c r="V100" s="27" t="n">
        <v>39.42699603663554</v>
      </c>
      <c r="W100" s="27" t="n">
        <v>39.42699603663554</v>
      </c>
      <c r="X100" s="27" t="n">
        <v>11.17217734030708</v>
      </c>
      <c r="Y100" s="27" t="n">
        <v>10.78805873443195</v>
      </c>
      <c r="Z100" s="27" t="n">
        <v>9.918738856928005</v>
      </c>
      <c r="AA100" s="27" t="n">
        <v>2.392172043010753</v>
      </c>
      <c r="AB100" s="27" t="n">
        <v>1.187268817204301</v>
      </c>
      <c r="AC100" s="27" t="n">
        <v>40.61426485383984</v>
      </c>
      <c r="AD100" s="27" t="n">
        <v>40.61426485383984</v>
      </c>
      <c r="AE100" s="27" t="n">
        <v>9.967274114500629</v>
      </c>
      <c r="AF100" s="27" t="n">
        <v>9.583155508625492</v>
      </c>
      <c r="AG100" s="27" t="n">
        <v>8.713835631121551</v>
      </c>
      <c r="AH100" s="27" t="n">
        <v>39.02</v>
      </c>
      <c r="AI100" s="27" t="n">
        <v>39.12062997743232</v>
      </c>
      <c r="AJ100" s="25" t="inlineStr">
        <is>
          <t>10 of 17 sourced, 3 derived, 1 proxy, 3 assumption</t>
        </is>
      </c>
    </row>
    <row r="101">
      <c r="A101" s="29" t="n">
        <v>48305</v>
      </c>
      <c r="B101" s="25" t="inlineStr">
        <is>
          <t>Scenario</t>
        </is>
      </c>
      <c r="C101" s="27" t="n">
        <v>4.495762034023503</v>
      </c>
      <c r="D101" s="27" t="n">
        <v>5.909259139945459</v>
      </c>
      <c r="E101" s="27" t="n">
        <v>0.2740062374838869</v>
      </c>
      <c r="F101" s="27" t="n">
        <v>0.3813543559737634</v>
      </c>
      <c r="G101" s="27" t="n">
        <v>0.00564941711071875</v>
      </c>
      <c r="H101" s="27" t="n">
        <v>14.1992926518784</v>
      </c>
      <c r="I101" s="27" t="n">
        <v>2.696204812660747</v>
      </c>
      <c r="J101" s="27" t="n">
        <v>9.711547050609216</v>
      </c>
      <c r="K101" s="27" t="n">
        <v>0.3804040142271008</v>
      </c>
      <c r="L101" s="27" t="n">
        <v>0.1591838327613891</v>
      </c>
      <c r="M101" s="27" t="n">
        <v>22.45365962581763</v>
      </c>
      <c r="N101" s="27" t="n">
        <v>0.8839188676521157</v>
      </c>
      <c r="O101" s="27" t="n">
        <v>0.5476755352093626</v>
      </c>
      <c r="P101" s="27" t="n">
        <v>43.52926904442911</v>
      </c>
      <c r="Q101" s="27" t="n">
        <v>2.056902708886628</v>
      </c>
      <c r="R101" s="27" t="n">
        <v>1.426499750657257</v>
      </c>
      <c r="S101" s="27" t="n">
        <v>28.12071248183787</v>
      </c>
      <c r="T101" s="27" t="n">
        <v>28.50920418428584</v>
      </c>
      <c r="U101" s="27" t="n">
        <v>29.38802839973373</v>
      </c>
      <c r="V101" s="27" t="n">
        <v>39.43047399670598</v>
      </c>
      <c r="W101" s="27" t="n">
        <v>39.43047399670598</v>
      </c>
      <c r="X101" s="27" t="n">
        <v>11.30976151486812</v>
      </c>
      <c r="Y101" s="27" t="n">
        <v>10.92126981242015</v>
      </c>
      <c r="Z101" s="27" t="n">
        <v>10.04244559697225</v>
      </c>
      <c r="AA101" s="27" t="n">
        <v>2.271922222222222</v>
      </c>
      <c r="AB101" s="27" t="n">
        <v>1.159666666666667</v>
      </c>
      <c r="AC101" s="27" t="n">
        <v>40.59014066337265</v>
      </c>
      <c r="AD101" s="27" t="n">
        <v>40.59014066337265</v>
      </c>
      <c r="AE101" s="27" t="n">
        <v>10.19750595931256</v>
      </c>
      <c r="AF101" s="27" t="n">
        <v>9.809014256864589</v>
      </c>
      <c r="AG101" s="27" t="n">
        <v>8.930190041416694</v>
      </c>
      <c r="AH101" s="27" t="n">
        <v>39.02</v>
      </c>
      <c r="AI101" s="27" t="n">
        <v>39.13781916391174</v>
      </c>
      <c r="AJ101" s="25" t="inlineStr">
        <is>
          <t>10 of 17 sourced, 3 derived, 1 proxy, 3 assumption</t>
        </is>
      </c>
    </row>
    <row r="102">
      <c r="A102" s="29" t="n">
        <v>48335</v>
      </c>
      <c r="B102" s="25" t="inlineStr">
        <is>
          <t>Scenario</t>
        </is>
      </c>
      <c r="C102" s="27" t="n">
        <v>5.792966830004294</v>
      </c>
      <c r="D102" s="27" t="n">
        <v>5.776507910798016</v>
      </c>
      <c r="E102" s="27" t="n">
        <v>0.1897684762776759</v>
      </c>
      <c r="F102" s="27" t="n">
        <v>0.3203715733731184</v>
      </c>
      <c r="G102" s="27" t="n">
        <v>0.005637813844727569</v>
      </c>
      <c r="H102" s="27" t="n">
        <v>14.63710916827362</v>
      </c>
      <c r="I102" s="27" t="n">
        <v>2.930436815745756</v>
      </c>
      <c r="J102" s="27" t="n">
        <v>9.724197781005264</v>
      </c>
      <c r="K102" s="27" t="n">
        <v>0.3808995468750387</v>
      </c>
      <c r="L102" s="27" t="n">
        <v>0.159679365409327</v>
      </c>
      <c r="M102" s="27" t="n">
        <v>22.57733448712921</v>
      </c>
      <c r="N102" s="27" t="n">
        <v>0.8887874968728893</v>
      </c>
      <c r="O102" s="27" t="n">
        <v>0.5525441644301362</v>
      </c>
      <c r="P102" s="27" t="n">
        <v>43.83343741951907</v>
      </c>
      <c r="Q102" s="27" t="n">
        <v>2.071275676051356</v>
      </c>
      <c r="R102" s="27" t="n">
        <v>1.440872717821985</v>
      </c>
      <c r="S102" s="27" t="n">
        <v>29.81247795372654</v>
      </c>
      <c r="T102" s="27" t="n">
        <v>30.20534275274735</v>
      </c>
      <c r="U102" s="27" t="n">
        <v>31.0936713061392</v>
      </c>
      <c r="V102" s="27" t="n">
        <v>39.43395290135895</v>
      </c>
      <c r="W102" s="27" t="n">
        <v>39.43395290135895</v>
      </c>
      <c r="X102" s="27" t="n">
        <v>9.621474947632411</v>
      </c>
      <c r="Y102" s="27" t="n">
        <v>9.228610148611605</v>
      </c>
      <c r="Z102" s="27" t="n">
        <v>8.340281595219754</v>
      </c>
      <c r="AA102" s="27" t="n">
        <v>2.179247311827957</v>
      </c>
      <c r="AB102" s="27" t="n">
        <v>1.123032258064516</v>
      </c>
      <c r="AC102" s="27" t="n">
        <v>40.55698515942347</v>
      </c>
      <c r="AD102" s="27" t="n">
        <v>40.55698515942347</v>
      </c>
      <c r="AE102" s="27" t="n">
        <v>8.565259893868973</v>
      </c>
      <c r="AF102" s="27" t="n">
        <v>8.172395094848167</v>
      </c>
      <c r="AG102" s="27" t="n">
        <v>7.284066541456315</v>
      </c>
      <c r="AH102" s="27" t="n">
        <v>39.02</v>
      </c>
      <c r="AI102" s="27" t="n">
        <v>39.15501590313589</v>
      </c>
      <c r="AJ102" s="25" t="inlineStr">
        <is>
          <t>10 of 17 sourced, 3 derived, 1 proxy, 3 assumption</t>
        </is>
      </c>
    </row>
    <row r="103">
      <c r="A103" s="29" t="n">
        <v>48366</v>
      </c>
      <c r="B103" s="25" t="inlineStr">
        <is>
          <t>Scenario</t>
        </is>
      </c>
      <c r="C103" s="27" t="n">
        <v>6.680486736221694</v>
      </c>
      <c r="D103" s="27" t="n">
        <v>5.840573198217045</v>
      </c>
      <c r="E103" s="27" t="n">
        <v>0.180517859987658</v>
      </c>
      <c r="F103" s="27" t="n">
        <v>0.3227800492328575</v>
      </c>
      <c r="G103" s="27" t="n">
        <v>0.005620810322505635</v>
      </c>
      <c r="H103" s="27" t="n">
        <v>14.78827058143899</v>
      </c>
      <c r="I103" s="27" t="n">
        <v>2.873592491132675</v>
      </c>
      <c r="J103" s="27" t="n">
        <v>9.736848511401313</v>
      </c>
      <c r="K103" s="27" t="n">
        <v>0.3813950795229766</v>
      </c>
      <c r="L103" s="27" t="n">
        <v>0.1601748980572649</v>
      </c>
      <c r="M103" s="27" t="n">
        <v>22.70100934844078</v>
      </c>
      <c r="N103" s="27" t="n">
        <v>0.893656126093663</v>
      </c>
      <c r="O103" s="27" t="n">
        <v>0.5574127936509099</v>
      </c>
      <c r="P103" s="27" t="n">
        <v>44.13760579460903</v>
      </c>
      <c r="Q103" s="27" t="n">
        <v>2.085648643216083</v>
      </c>
      <c r="R103" s="27" t="n">
        <v>1.455245684986713</v>
      </c>
      <c r="S103" s="27" t="n">
        <v>30.85201662461069</v>
      </c>
      <c r="T103" s="27" t="n">
        <v>31.24925452020434</v>
      </c>
      <c r="U103" s="27" t="n">
        <v>32.14708741154014</v>
      </c>
      <c r="V103" s="27" t="n">
        <v>39.43743275085197</v>
      </c>
      <c r="W103" s="27" t="n">
        <v>39.43743275085197</v>
      </c>
      <c r="X103" s="27" t="n">
        <v>8.585416126241277</v>
      </c>
      <c r="Y103" s="27" t="n">
        <v>8.18817823064763</v>
      </c>
      <c r="Z103" s="27" t="n">
        <v>7.290345339311827</v>
      </c>
      <c r="AA103" s="27" t="n">
        <v>1.835466666666667</v>
      </c>
      <c r="AB103" s="27" t="n">
        <v>1.149211111111111</v>
      </c>
      <c r="AC103" s="27" t="n">
        <v>40.58664386196308</v>
      </c>
      <c r="AD103" s="27" t="n">
        <v>40.58664386196308</v>
      </c>
      <c r="AE103" s="27" t="n">
        <v>7.899160570685725</v>
      </c>
      <c r="AF103" s="27" t="n">
        <v>7.501922675092077</v>
      </c>
      <c r="AG103" s="27" t="n">
        <v>6.604089783756274</v>
      </c>
      <c r="AH103" s="27" t="n">
        <v>39.02</v>
      </c>
      <c r="AI103" s="27" t="n">
        <v>39.17222019842337</v>
      </c>
      <c r="AJ103" s="25" t="inlineStr">
        <is>
          <t>10 of 17 sourced, 3 derived, 1 proxy, 3 assumption</t>
        </is>
      </c>
    </row>
    <row r="104">
      <c r="A104" s="29" t="n">
        <v>48396</v>
      </c>
      <c r="B104" s="25" t="inlineStr">
        <is>
          <t>Scenario</t>
        </is>
      </c>
      <c r="C104" s="27" t="n">
        <v>7.270704077454631</v>
      </c>
      <c r="D104" s="27" t="n">
        <v>5.826177249346695</v>
      </c>
      <c r="E104" s="27" t="n">
        <v>0.168726560170797</v>
      </c>
      <c r="F104" s="27" t="n">
        <v>0.3084697657965955</v>
      </c>
      <c r="G104" s="27" t="n">
        <v>0.005609265811633128</v>
      </c>
      <c r="H104" s="27" t="n">
        <v>14.38978393145688</v>
      </c>
      <c r="I104" s="27" t="n">
        <v>2.742261894043959</v>
      </c>
      <c r="J104" s="27" t="n">
        <v>9.749499241797363</v>
      </c>
      <c r="K104" s="27" t="n">
        <v>0.3818906121709145</v>
      </c>
      <c r="L104" s="27" t="n">
        <v>0.1606704307052028</v>
      </c>
      <c r="M104" s="27" t="n">
        <v>22.82468420975236</v>
      </c>
      <c r="N104" s="27" t="n">
        <v>0.8985247553144367</v>
      </c>
      <c r="O104" s="27" t="n">
        <v>0.5622814228716836</v>
      </c>
      <c r="P104" s="27" t="n">
        <v>44.44177416969899</v>
      </c>
      <c r="Q104" s="27" t="n">
        <v>2.100021610380811</v>
      </c>
      <c r="R104" s="27" t="n">
        <v>1.46961865215144</v>
      </c>
      <c r="S104" s="27" t="n">
        <v>30.8724031747864</v>
      </c>
      <c r="T104" s="27" t="n">
        <v>31.27401416695288</v>
      </c>
      <c r="U104" s="27" t="n">
        <v>32.18135139623264</v>
      </c>
      <c r="V104" s="27" t="n">
        <v>39.44091354544263</v>
      </c>
      <c r="W104" s="27" t="n">
        <v>39.44091354544263</v>
      </c>
      <c r="X104" s="27" t="n">
        <v>8.568510370656231</v>
      </c>
      <c r="Y104" s="27" t="n">
        <v>8.166899378489749</v>
      </c>
      <c r="Z104" s="27" t="n">
        <v>7.259562149209991</v>
      </c>
      <c r="AA104" s="27" t="n">
        <v>1.445075268817204</v>
      </c>
      <c r="AB104" s="27" t="n">
        <v>1.521387096774194</v>
      </c>
      <c r="AC104" s="27" t="n">
        <v>40.96230064221682</v>
      </c>
      <c r="AD104" s="27" t="n">
        <v>40.96230064221682</v>
      </c>
      <c r="AE104" s="27" t="n">
        <v>8.644822198613218</v>
      </c>
      <c r="AF104" s="27" t="n">
        <v>8.243211206446736</v>
      </c>
      <c r="AG104" s="27" t="n">
        <v>7.335873977166978</v>
      </c>
      <c r="AH104" s="27" t="n">
        <v>39.02</v>
      </c>
      <c r="AI104" s="27" t="n">
        <v>39.18943205309422</v>
      </c>
      <c r="AJ104" s="25" t="inlineStr">
        <is>
          <t>10 of 17 sourced, 3 derived, 1 proxy, 3 assumption</t>
        </is>
      </c>
    </row>
    <row r="105">
      <c r="A105" s="29" t="n">
        <v>48427</v>
      </c>
      <c r="B105" s="25" t="inlineStr">
        <is>
          <t>Scenario</t>
        </is>
      </c>
      <c r="C105" s="27" t="n">
        <v>8.161645258862009</v>
      </c>
      <c r="D105" s="27" t="n">
        <v>5.894092293582069</v>
      </c>
      <c r="E105" s="27" t="n">
        <v>0.1482262737904032</v>
      </c>
      <c r="F105" s="27" t="n">
        <v>0.3006984939751637</v>
      </c>
      <c r="G105" s="27" t="n">
        <v>0.004371551560402081</v>
      </c>
      <c r="H105" s="27" t="n">
        <v>14.77060529854541</v>
      </c>
      <c r="I105" s="27" t="n">
        <v>2.806552744003916</v>
      </c>
      <c r="J105" s="27" t="n">
        <v>9.762149972193411</v>
      </c>
      <c r="K105" s="27" t="n">
        <v>0.3823861448188524</v>
      </c>
      <c r="L105" s="27" t="n">
        <v>0.1611659633531407</v>
      </c>
      <c r="M105" s="27" t="n">
        <v>22.94835907106394</v>
      </c>
      <c r="N105" s="27" t="n">
        <v>0.9033933845352102</v>
      </c>
      <c r="O105" s="27" t="n">
        <v>0.5671500520924572</v>
      </c>
      <c r="P105" s="27" t="n">
        <v>44.74594254478895</v>
      </c>
      <c r="Q105" s="27" t="n">
        <v>2.114394577545539</v>
      </c>
      <c r="R105" s="27" t="n">
        <v>1.483991619316168</v>
      </c>
      <c r="S105" s="27" t="n">
        <v>32.24735787767251</v>
      </c>
      <c r="T105" s="27" t="n">
        <v>32.65334196641183</v>
      </c>
      <c r="U105" s="27" t="n">
        <v>33.57018353363554</v>
      </c>
      <c r="V105" s="27" t="n">
        <v>39.44439528538862</v>
      </c>
      <c r="W105" s="27" t="n">
        <v>39.44439528538862</v>
      </c>
      <c r="X105" s="27" t="n">
        <v>7.197037407716103</v>
      </c>
      <c r="Y105" s="27" t="n">
        <v>6.791053318976786</v>
      </c>
      <c r="Z105" s="27" t="n">
        <v>5.874211751753073</v>
      </c>
      <c r="AA105" s="27" t="n">
        <v>1.741763440860215</v>
      </c>
      <c r="AB105" s="27" t="n">
        <v>2.883548387096774</v>
      </c>
      <c r="AC105" s="27" t="n">
        <v>42.32794367248539</v>
      </c>
      <c r="AD105" s="27" t="n">
        <v>42.32794367248539</v>
      </c>
      <c r="AE105" s="27" t="n">
        <v>8.338822353952661</v>
      </c>
      <c r="AF105" s="27" t="n">
        <v>7.932838265213345</v>
      </c>
      <c r="AG105" s="27" t="n">
        <v>7.015996697989632</v>
      </c>
      <c r="AH105" s="27" t="n">
        <v>39.02</v>
      </c>
      <c r="AI105" s="27" t="n">
        <v>39.20665147046996</v>
      </c>
      <c r="AJ105" s="25" t="inlineStr">
        <is>
          <t>10 of 17 sourced, 3 derived, 1 proxy, 3 assumption</t>
        </is>
      </c>
    </row>
    <row r="106">
      <c r="A106" s="29" t="n">
        <v>48458</v>
      </c>
      <c r="B106" s="25" t="inlineStr">
        <is>
          <t>Scenario</t>
        </is>
      </c>
      <c r="C106" s="27" t="n">
        <v>6.918029331066658</v>
      </c>
      <c r="D106" s="27" t="n">
        <v>5.867849265667964</v>
      </c>
      <c r="E106" s="27" t="n">
        <v>0.1458091456183385</v>
      </c>
      <c r="F106" s="27" t="n">
        <v>0.3080363694831384</v>
      </c>
      <c r="G106" s="27" t="n">
        <v>0.004352621808041308</v>
      </c>
      <c r="H106" s="27" t="n">
        <v>15.4700550280206</v>
      </c>
      <c r="I106" s="27" t="n">
        <v>2.641954219096749</v>
      </c>
      <c r="J106" s="27" t="n">
        <v>9.774800702589461</v>
      </c>
      <c r="K106" s="27" t="n">
        <v>0.3828816774667902</v>
      </c>
      <c r="L106" s="27" t="n">
        <v>0.1616614960010786</v>
      </c>
      <c r="M106" s="27" t="n">
        <v>23.07203393237551</v>
      </c>
      <c r="N106" s="27" t="n">
        <v>0.9082620137559838</v>
      </c>
      <c r="O106" s="27" t="n">
        <v>0.5720186813132307</v>
      </c>
      <c r="P106" s="27" t="n">
        <v>45.0501109198789</v>
      </c>
      <c r="Q106" s="27" t="n">
        <v>2.128767544710267</v>
      </c>
      <c r="R106" s="27" t="n">
        <v>1.498364586480896</v>
      </c>
      <c r="S106" s="27" t="n">
        <v>31.51774747676257</v>
      </c>
      <c r="T106" s="27" t="n">
        <v>31.92810466207472</v>
      </c>
      <c r="U106" s="27" t="n">
        <v>32.85445056724238</v>
      </c>
      <c r="V106" s="27" t="n">
        <v>39.44787797094769</v>
      </c>
      <c r="W106" s="27" t="n">
        <v>39.44787797094769</v>
      </c>
      <c r="X106" s="27" t="n">
        <v>7.930130494185121</v>
      </c>
      <c r="Y106" s="27" t="n">
        <v>7.519773308872967</v>
      </c>
      <c r="Z106" s="27" t="n">
        <v>6.593427403705306</v>
      </c>
      <c r="AA106" s="27" t="n">
        <v>2.412133333333333</v>
      </c>
      <c r="AB106" s="27" t="n">
        <v>2.104855555555555</v>
      </c>
      <c r="AC106" s="27" t="n">
        <v>41.55273352650324</v>
      </c>
      <c r="AD106" s="27" t="n">
        <v>41.55273352650324</v>
      </c>
      <c r="AE106" s="27" t="n">
        <v>7.622852716407341</v>
      </c>
      <c r="AF106" s="27" t="n">
        <v>7.212495531095186</v>
      </c>
      <c r="AG106" s="27" t="n">
        <v>6.286149625927525</v>
      </c>
      <c r="AH106" s="27" t="n">
        <v>39.02</v>
      </c>
      <c r="AI106" s="27" t="n">
        <v>39.22387845387357</v>
      </c>
      <c r="AJ106" s="25" t="inlineStr">
        <is>
          <t>10 of 17 sourced, 3 derived, 1 proxy, 3 assumption</t>
        </is>
      </c>
    </row>
    <row r="107">
      <c r="A107" s="29" t="n">
        <v>48488</v>
      </c>
      <c r="B107" s="25" t="inlineStr">
        <is>
          <t>Scenario</t>
        </is>
      </c>
      <c r="C107" s="27" t="n">
        <v>5.436307874895696</v>
      </c>
      <c r="D107" s="27" t="n">
        <v>5.713265963011611</v>
      </c>
      <c r="E107" s="27" t="n">
        <v>0.2023704248716396</v>
      </c>
      <c r="F107" s="27" t="n">
        <v>0.3372686580103906</v>
      </c>
      <c r="G107" s="27" t="n">
        <v>0.004349415462606457</v>
      </c>
      <c r="H107" s="27" t="n">
        <v>15.89548970777218</v>
      </c>
      <c r="I107" s="27" t="n">
        <v>2.520150869153281</v>
      </c>
      <c r="J107" s="27" t="n">
        <v>9.78745143298551</v>
      </c>
      <c r="K107" s="27" t="n">
        <v>0.3833772101147282</v>
      </c>
      <c r="L107" s="27" t="n">
        <v>0.1621570286490165</v>
      </c>
      <c r="M107" s="27" t="n">
        <v>23.19570879368709</v>
      </c>
      <c r="N107" s="27" t="n">
        <v>0.9131306429767575</v>
      </c>
      <c r="O107" s="27" t="n">
        <v>0.5768873105340044</v>
      </c>
      <c r="P107" s="27" t="n">
        <v>45.35427929496886</v>
      </c>
      <c r="Q107" s="27" t="n">
        <v>2.143140511874994</v>
      </c>
      <c r="R107" s="27" t="n">
        <v>1.512737553645624</v>
      </c>
      <c r="S107" s="27" t="n">
        <v>30.27135994182642</v>
      </c>
      <c r="T107" s="27" t="n">
        <v>30.68609022371141</v>
      </c>
      <c r="U107" s="27" t="n">
        <v>31.62194046682303</v>
      </c>
      <c r="V107" s="27" t="n">
        <v>39.45136160237763</v>
      </c>
      <c r="W107" s="27" t="n">
        <v>39.45136160237763</v>
      </c>
      <c r="X107" s="27" t="n">
        <v>9.180001660551209</v>
      </c>
      <c r="Y107" s="27" t="n">
        <v>8.76527137866622</v>
      </c>
      <c r="Z107" s="27" t="n">
        <v>7.8294211355546</v>
      </c>
      <c r="AA107" s="27" t="n">
        <v>2.523494623655914</v>
      </c>
      <c r="AB107" s="27" t="n">
        <v>1.056784946236559</v>
      </c>
      <c r="AC107" s="27" t="n">
        <v>40.50814654861419</v>
      </c>
      <c r="AD107" s="27" t="n">
        <v>40.50814654861419</v>
      </c>
      <c r="AE107" s="27" t="n">
        <v>7.713291983131857</v>
      </c>
      <c r="AF107" s="27" t="n">
        <v>7.298561701246868</v>
      </c>
      <c r="AG107" s="27" t="n">
        <v>6.362711458135248</v>
      </c>
      <c r="AH107" s="27" t="n">
        <v>39.02</v>
      </c>
      <c r="AI107" s="27" t="n">
        <v>39.24111300662946</v>
      </c>
      <c r="AJ107" s="25" t="inlineStr">
        <is>
          <t>10 of 17 sourced, 3 derived, 1 proxy, 3 assumption</t>
        </is>
      </c>
    </row>
    <row r="108">
      <c r="A108" s="29" t="n">
        <v>48519</v>
      </c>
      <c r="B108" s="25" t="inlineStr">
        <is>
          <t>Scenario</t>
        </is>
      </c>
      <c r="C108" s="27" t="n">
        <v>4.645007511031529</v>
      </c>
      <c r="D108" s="27" t="n">
        <v>6.116490735662972</v>
      </c>
      <c r="E108" s="27" t="n">
        <v>0.3892954897407014</v>
      </c>
      <c r="F108" s="27" t="n">
        <v>0.4226233433984335</v>
      </c>
      <c r="G108" s="27" t="n">
        <v>0.004330581564279136</v>
      </c>
      <c r="H108" s="27" t="n">
        <v>16.23512052546222</v>
      </c>
      <c r="I108" s="27" t="n">
        <v>2.463184494725174</v>
      </c>
      <c r="J108" s="27" t="n">
        <v>9.80010216338156</v>
      </c>
      <c r="K108" s="27" t="n">
        <v>0.3838727427626661</v>
      </c>
      <c r="L108" s="27" t="n">
        <v>0.1626525612969544</v>
      </c>
      <c r="M108" s="27" t="n">
        <v>23.31938365499867</v>
      </c>
      <c r="N108" s="27" t="n">
        <v>0.9179992721975312</v>
      </c>
      <c r="O108" s="27" t="n">
        <v>0.5817559397547781</v>
      </c>
      <c r="P108" s="27" t="n">
        <v>45.65844767005882</v>
      </c>
      <c r="Q108" s="27" t="n">
        <v>2.157513479039722</v>
      </c>
      <c r="R108" s="27" t="n">
        <v>1.527110520810351</v>
      </c>
      <c r="S108" s="27" t="n">
        <v>30.43870524288226</v>
      </c>
      <c r="T108" s="27" t="n">
        <v>30.85780862134009</v>
      </c>
      <c r="U108" s="27" t="n">
        <v>31.80316320239566</v>
      </c>
      <c r="V108" s="27" t="n">
        <v>39.45484617993637</v>
      </c>
      <c r="W108" s="27" t="n">
        <v>39.45484617993637</v>
      </c>
      <c r="X108" s="27" t="n">
        <v>9.016140937054104</v>
      </c>
      <c r="Y108" s="27" t="n">
        <v>8.597037558596281</v>
      </c>
      <c r="Z108" s="27" t="n">
        <v>7.651682977540709</v>
      </c>
      <c r="AA108" s="27" t="n">
        <v>1.881788888888889</v>
      </c>
      <c r="AB108" s="27" t="n">
        <v>1.287677777777778</v>
      </c>
      <c r="AC108" s="27" t="n">
        <v>40.74252395771415</v>
      </c>
      <c r="AD108" s="27" t="n">
        <v>40.74252395771415</v>
      </c>
      <c r="AE108" s="27" t="n">
        <v>8.422029825942996</v>
      </c>
      <c r="AF108" s="27" t="n">
        <v>8.002926447485173</v>
      </c>
      <c r="AG108" s="27" t="n">
        <v>7.0575718664296</v>
      </c>
      <c r="AH108" s="27" t="n">
        <v>39.02</v>
      </c>
      <c r="AI108" s="27" t="n">
        <v>39.25835513206354</v>
      </c>
      <c r="AJ108" s="25" t="inlineStr">
        <is>
          <t>10 of 17 sourced, 3 derived, 1 proxy, 3 assumption</t>
        </is>
      </c>
    </row>
    <row r="109">
      <c r="A109" s="29" t="n">
        <v>48549</v>
      </c>
      <c r="B109" s="25" t="inlineStr">
        <is>
          <t>Scenario</t>
        </is>
      </c>
      <c r="C109" s="27" t="n">
        <v>4.588742658117908</v>
      </c>
      <c r="D109" s="27" t="n">
        <v>6.324347035444935</v>
      </c>
      <c r="E109" s="27" t="n">
        <v>0.7179326326480595</v>
      </c>
      <c r="F109" s="27" t="n">
        <v>0.5387492901439608</v>
      </c>
      <c r="G109" s="27" t="n">
        <v>0.004327391454721897</v>
      </c>
      <c r="H109" s="27" t="n">
        <v>16.01719753724603</v>
      </c>
      <c r="I109" s="27" t="n">
        <v>2.351003546379683</v>
      </c>
      <c r="J109" s="27" t="n">
        <v>9.812752893777608</v>
      </c>
      <c r="K109" s="27" t="n">
        <v>0.384368275410604</v>
      </c>
      <c r="L109" s="27" t="n">
        <v>0.1631480939448923</v>
      </c>
      <c r="M109" s="27" t="n">
        <v>23.44305851631024</v>
      </c>
      <c r="N109" s="27" t="n">
        <v>0.9228679014183048</v>
      </c>
      <c r="O109" s="27" t="n">
        <v>0.5866245689755517</v>
      </c>
      <c r="P109" s="27" t="n">
        <v>45.96261604514878</v>
      </c>
      <c r="Q109" s="27" t="n">
        <v>2.17188644620445</v>
      </c>
      <c r="R109" s="27" t="n">
        <v>1.541483487975079</v>
      </c>
      <c r="S109" s="27" t="n">
        <v>30.70544818538019</v>
      </c>
      <c r="T109" s="27" t="n">
        <v>31.12892466041085</v>
      </c>
      <c r="U109" s="27" t="n">
        <v>32.08378357941038</v>
      </c>
      <c r="V109" s="27" t="n">
        <v>39.45833170388183</v>
      </c>
      <c r="W109" s="27" t="n">
        <v>39.45833170388183</v>
      </c>
      <c r="X109" s="27" t="n">
        <v>8.752883518501644</v>
      </c>
      <c r="Y109" s="27" t="n">
        <v>8.329407043470983</v>
      </c>
      <c r="Z109" s="27" t="n">
        <v>7.374548124471453</v>
      </c>
      <c r="AA109" s="27" t="n">
        <v>1.379204301075269</v>
      </c>
      <c r="AB109" s="27" t="n">
        <v>2.158774193548387</v>
      </c>
      <c r="AC109" s="27" t="n">
        <v>41.61710589743022</v>
      </c>
      <c r="AD109" s="27" t="n">
        <v>41.61710589743022</v>
      </c>
      <c r="AE109" s="27" t="n">
        <v>9.532453410974764</v>
      </c>
      <c r="AF109" s="27" t="n">
        <v>9.108976935944103</v>
      </c>
      <c r="AG109" s="27" t="n">
        <v>8.154118016944572</v>
      </c>
      <c r="AH109" s="27" t="n">
        <v>39.02</v>
      </c>
      <c r="AI109" s="27" t="n">
        <v>39.27560483350316</v>
      </c>
      <c r="AJ109" s="25" t="inlineStr">
        <is>
          <t>10 of 17 sourced, 3 derived, 1 proxy, 3 assumption</t>
        </is>
      </c>
    </row>
    <row r="110">
      <c r="A110" s="29" t="n">
        <v>48580</v>
      </c>
      <c r="B110" s="25" t="inlineStr">
        <is>
          <t>Scenario</t>
        </is>
      </c>
      <c r="C110" s="27" t="n">
        <v>5.579445751982315</v>
      </c>
      <c r="D110" s="27" t="n">
        <v>6.179493192666809</v>
      </c>
      <c r="E110" s="27" t="n">
        <v>1.278309406904518</v>
      </c>
      <c r="F110" s="27" t="n">
        <v>0.7511395050563904</v>
      </c>
      <c r="G110" s="27" t="n">
        <v>0.00552448613512511</v>
      </c>
      <c r="H110" s="27" t="n">
        <v>15.40481531001708</v>
      </c>
      <c r="I110" s="27" t="n">
        <v>2.589985061645746</v>
      </c>
      <c r="J110" s="27" t="n">
        <v>9.825403624173656</v>
      </c>
      <c r="K110" s="27" t="n">
        <v>0.3848638080585419</v>
      </c>
      <c r="L110" s="27" t="n">
        <v>0.1636436265928302</v>
      </c>
      <c r="M110" s="27" t="n">
        <v>23.56673337762182</v>
      </c>
      <c r="N110" s="27" t="n">
        <v>0.9277365306390783</v>
      </c>
      <c r="O110" s="27" t="n">
        <v>0.5914931981963253</v>
      </c>
      <c r="P110" s="27" t="n">
        <v>46.26678442023874</v>
      </c>
      <c r="Q110" s="27" t="n">
        <v>2.186259413369177</v>
      </c>
      <c r="R110" s="27" t="n">
        <v>1.555856455139807</v>
      </c>
      <c r="S110" s="27" t="n">
        <v>31.95235634100081</v>
      </c>
      <c r="T110" s="27" t="n">
        <v>32.38020591260431</v>
      </c>
      <c r="U110" s="27" t="n">
        <v>33.34456916954779</v>
      </c>
      <c r="V110" s="27" t="n">
        <v>39.46007624099035</v>
      </c>
      <c r="W110" s="27" t="n">
        <v>39.46007624099035</v>
      </c>
      <c r="X110" s="27" t="n">
        <v>7.507719899989542</v>
      </c>
      <c r="Y110" s="27" t="n">
        <v>7.079870328386043</v>
      </c>
      <c r="Z110" s="27" t="n">
        <v>6.115507071442565</v>
      </c>
      <c r="AA110" s="27" t="n">
        <v>0.9953118279569892</v>
      </c>
      <c r="AB110" s="27" t="n">
        <v>4.435344086021505</v>
      </c>
      <c r="AC110" s="27" t="n">
        <v>43.89542032701186</v>
      </c>
      <c r="AD110" s="27" t="n">
        <v>43.89542032701186</v>
      </c>
      <c r="AE110" s="27" t="n">
        <v>10.94775215805406</v>
      </c>
      <c r="AF110" s="27" t="n">
        <v>10.51990258645056</v>
      </c>
      <c r="AG110" s="27" t="n">
        <v>9.555539329507084</v>
      </c>
      <c r="AH110" s="27" t="n">
        <v>39.02</v>
      </c>
      <c r="AI110" s="27" t="n">
        <v>39.2842438977525</v>
      </c>
      <c r="AJ110" s="25" t="inlineStr">
        <is>
          <t>10 of 17 sourced, 3 derived, 1 proxy, 3 assumption</t>
        </is>
      </c>
    </row>
    <row r="111">
      <c r="A111" s="29" t="n">
        <v>48611</v>
      </c>
      <c r="B111" s="25" t="inlineStr">
        <is>
          <t>Scenario</t>
        </is>
      </c>
      <c r="C111" s="27" t="n">
        <v>4.573570037829584</v>
      </c>
      <c r="D111" s="27" t="n">
        <v>6.051574025415699</v>
      </c>
      <c r="E111" s="27" t="n">
        <v>0.8927406060607812</v>
      </c>
      <c r="F111" s="27" t="n">
        <v>0.5911385238351993</v>
      </c>
      <c r="G111" s="27" t="n">
        <v>0.005519505257233832</v>
      </c>
      <c r="H111" s="27" t="n">
        <v>15.16644253291303</v>
      </c>
      <c r="I111" s="27" t="n">
        <v>2.546156833517707</v>
      </c>
      <c r="J111" s="27" t="n">
        <v>9.838054354569707</v>
      </c>
      <c r="K111" s="27" t="n">
        <v>0.3853593407064798</v>
      </c>
      <c r="L111" s="27" t="n">
        <v>0.1641391592407681</v>
      </c>
      <c r="M111" s="27" t="n">
        <v>23.69040823893339</v>
      </c>
      <c r="N111" s="27" t="n">
        <v>0.932605159859852</v>
      </c>
      <c r="O111" s="27" t="n">
        <v>0.596361827417099</v>
      </c>
      <c r="P111" s="27" t="n">
        <v>46.57095279532869</v>
      </c>
      <c r="Q111" s="27" t="n">
        <v>2.200632380533905</v>
      </c>
      <c r="R111" s="27" t="n">
        <v>1.570229422304534</v>
      </c>
      <c r="S111" s="27" t="n">
        <v>29.99128122407001</v>
      </c>
      <c r="T111" s="27" t="n">
        <v>30.42350389224634</v>
      </c>
      <c r="U111" s="27" t="n">
        <v>31.39737148713377</v>
      </c>
      <c r="V111" s="27" t="n">
        <v>39.46182101517966</v>
      </c>
      <c r="W111" s="27" t="n">
        <v>39.46182101517966</v>
      </c>
      <c r="X111" s="27" t="n">
        <v>9.470539791109651</v>
      </c>
      <c r="Y111" s="27" t="n">
        <v>9.038317122933321</v>
      </c>
      <c r="Z111" s="27" t="n">
        <v>8.064449528045884</v>
      </c>
      <c r="AA111" s="27" t="n">
        <v>1.637940886699507</v>
      </c>
      <c r="AB111" s="27" t="n">
        <v>2.852903530377668</v>
      </c>
      <c r="AC111" s="27" t="n">
        <v>42.31472454555733</v>
      </c>
      <c r="AD111" s="27" t="n">
        <v>42.31472454555733</v>
      </c>
      <c r="AE111" s="27" t="n">
        <v>10.68550243478781</v>
      </c>
      <c r="AF111" s="27" t="n">
        <v>10.25327976661148</v>
      </c>
      <c r="AG111" s="27" t="n">
        <v>9.279412171724044</v>
      </c>
      <c r="AH111" s="27" t="n">
        <v>39.02</v>
      </c>
      <c r="AI111" s="27" t="n">
        <v>39.29288486225091</v>
      </c>
      <c r="AJ111" s="25" t="inlineStr">
        <is>
          <t>10 of 17 sourced, 3 derived, 1 proxy, 3 assumption</t>
        </is>
      </c>
    </row>
    <row r="112">
      <c r="A112" s="29" t="n">
        <v>48639</v>
      </c>
      <c r="B112" s="25" t="inlineStr">
        <is>
          <t>Scenario</t>
        </is>
      </c>
      <c r="C112" s="27" t="n">
        <v>4.068206450284062</v>
      </c>
      <c r="D112" s="27" t="n">
        <v>6.023439923121245</v>
      </c>
      <c r="E112" s="27" t="n">
        <v>0.4094480304309765</v>
      </c>
      <c r="F112" s="27" t="n">
        <v>0.4067628918852623</v>
      </c>
      <c r="G112" s="27" t="n">
        <v>0.00549651195623965</v>
      </c>
      <c r="H112" s="27" t="n">
        <v>14.70041434656364</v>
      </c>
      <c r="I112" s="27" t="n">
        <v>2.453577547784403</v>
      </c>
      <c r="J112" s="27" t="n">
        <v>9.850705084965755</v>
      </c>
      <c r="K112" s="27" t="n">
        <v>0.3858548733544176</v>
      </c>
      <c r="L112" s="27" t="n">
        <v>0.164634691888706</v>
      </c>
      <c r="M112" s="27" t="n">
        <v>23.81408310024497</v>
      </c>
      <c r="N112" s="27" t="n">
        <v>0.9374737890806257</v>
      </c>
      <c r="O112" s="27" t="n">
        <v>0.6012304566378727</v>
      </c>
      <c r="P112" s="27" t="n">
        <v>46.87512117041865</v>
      </c>
      <c r="Q112" s="27" t="n">
        <v>2.215005347698633</v>
      </c>
      <c r="R112" s="27" t="n">
        <v>1.584602389469262</v>
      </c>
      <c r="S112" s="27" t="n">
        <v>28.23198039391454</v>
      </c>
      <c r="T112" s="27" t="n">
        <v>28.6685761586637</v>
      </c>
      <c r="U112" s="27" t="n">
        <v>29.65194809149509</v>
      </c>
      <c r="V112" s="27" t="n">
        <v>39.4635660264821</v>
      </c>
      <c r="W112" s="27" t="n">
        <v>39.4635660264821</v>
      </c>
      <c r="X112" s="27" t="n">
        <v>11.23158563256756</v>
      </c>
      <c r="Y112" s="27" t="n">
        <v>10.7949898678184</v>
      </c>
      <c r="Z112" s="27" t="n">
        <v>9.811617934987009</v>
      </c>
      <c r="AA112" s="27" t="n">
        <v>2.392172043010753</v>
      </c>
      <c r="AB112" s="27" t="n">
        <v>1.187268817204301</v>
      </c>
      <c r="AC112" s="27" t="n">
        <v>40.6508348436864</v>
      </c>
      <c r="AD112" s="27" t="n">
        <v>40.6508348436864</v>
      </c>
      <c r="AE112" s="27" t="n">
        <v>10.02668240676111</v>
      </c>
      <c r="AF112" s="27" t="n">
        <v>9.590086642011943</v>
      </c>
      <c r="AG112" s="27" t="n">
        <v>8.606714709180554</v>
      </c>
      <c r="AH112" s="27" t="n">
        <v>39.02</v>
      </c>
      <c r="AI112" s="27" t="n">
        <v>39.30152772741635</v>
      </c>
      <c r="AJ112" s="25" t="inlineStr">
        <is>
          <t>10 of 17 sourced, 3 derived, 1 proxy, 3 assumption</t>
        </is>
      </c>
    </row>
    <row r="113">
      <c r="A113" s="29" t="n">
        <v>48670</v>
      </c>
      <c r="B113" s="25" t="inlineStr">
        <is>
          <t>Scenario</t>
        </is>
      </c>
      <c r="C113" s="27" t="n">
        <v>4.495762034023503</v>
      </c>
      <c r="D113" s="27" t="n">
        <v>5.956082111680184</v>
      </c>
      <c r="E113" s="27" t="n">
        <v>0.2657860503593703</v>
      </c>
      <c r="F113" s="27" t="n">
        <v>0.3699137252945505</v>
      </c>
      <c r="G113" s="27" t="n">
        <v>0.005479934597397188</v>
      </c>
      <c r="H113" s="27" t="n">
        <v>14.1992926518784</v>
      </c>
      <c r="I113" s="27" t="n">
        <v>2.641594325648691</v>
      </c>
      <c r="J113" s="27" t="n">
        <v>9.863355815361803</v>
      </c>
      <c r="K113" s="27" t="n">
        <v>0.3863504060023555</v>
      </c>
      <c r="L113" s="27" t="n">
        <v>0.1651302245366439</v>
      </c>
      <c r="M113" s="27" t="n">
        <v>23.93775796155655</v>
      </c>
      <c r="N113" s="27" t="n">
        <v>0.9423424183013993</v>
      </c>
      <c r="O113" s="27" t="n">
        <v>0.6060990858586462</v>
      </c>
      <c r="P113" s="27" t="n">
        <v>47.1792895455086</v>
      </c>
      <c r="Q113" s="27" t="n">
        <v>2.22937831486336</v>
      </c>
      <c r="R113" s="27" t="n">
        <v>1.59897535663399</v>
      </c>
      <c r="S113" s="27" t="n">
        <v>28.09904105801873</v>
      </c>
      <c r="T113" s="27" t="n">
        <v>28.54000991934074</v>
      </c>
      <c r="U113" s="27" t="n">
        <v>29.53288619011608</v>
      </c>
      <c r="V113" s="27" t="n">
        <v>39.46531127493</v>
      </c>
      <c r="W113" s="27" t="n">
        <v>39.46531127493</v>
      </c>
      <c r="X113" s="27" t="n">
        <v>11.36627021691127</v>
      </c>
      <c r="Y113" s="27" t="n">
        <v>10.92530135558927</v>
      </c>
      <c r="Z113" s="27" t="n">
        <v>9.932425084813922</v>
      </c>
      <c r="AA113" s="27" t="n">
        <v>2.271922222222222</v>
      </c>
      <c r="AB113" s="27" t="n">
        <v>1.159666666666667</v>
      </c>
      <c r="AC113" s="27" t="n">
        <v>40.62497794159667</v>
      </c>
      <c r="AD113" s="27" t="n">
        <v>40.62497794159667</v>
      </c>
      <c r="AE113" s="27" t="n">
        <v>10.25401466135571</v>
      </c>
      <c r="AF113" s="27" t="n">
        <v>9.813045800033709</v>
      </c>
      <c r="AG113" s="27" t="n">
        <v>8.820169529258365</v>
      </c>
      <c r="AH113" s="27" t="n">
        <v>39.02</v>
      </c>
      <c r="AI113" s="27" t="n">
        <v>39.3101724936669</v>
      </c>
      <c r="AJ113" s="25" t="inlineStr">
        <is>
          <t>10 of 17 sourced, 3 derived, 1 proxy, 3 assumption</t>
        </is>
      </c>
    </row>
    <row r="114">
      <c r="A114" s="29" t="n">
        <v>48700</v>
      </c>
      <c r="B114" s="25" t="inlineStr">
        <is>
          <t>Scenario</t>
        </is>
      </c>
      <c r="C114" s="27" t="n">
        <v>5.792966830004294</v>
      </c>
      <c r="D114" s="27" t="n">
        <v>5.822279006670992</v>
      </c>
      <c r="E114" s="27" t="n">
        <v>0.1840754219893456</v>
      </c>
      <c r="F114" s="27" t="n">
        <v>0.3107604261719249</v>
      </c>
      <c r="G114" s="27" t="n">
        <v>0.005468679429385741</v>
      </c>
      <c r="H114" s="27" t="n">
        <v>14.63710916827362</v>
      </c>
      <c r="I114" s="27" t="n">
        <v>2.871082058675945</v>
      </c>
      <c r="J114" s="27" t="n">
        <v>9.876006545757853</v>
      </c>
      <c r="K114" s="27" t="n">
        <v>0.3868459386502934</v>
      </c>
      <c r="L114" s="27" t="n">
        <v>0.1656257571845818</v>
      </c>
      <c r="M114" s="27" t="n">
        <v>24.06143282286812</v>
      </c>
      <c r="N114" s="27" t="n">
        <v>0.9472110475221729</v>
      </c>
      <c r="O114" s="27" t="n">
        <v>0.6109677150794198</v>
      </c>
      <c r="P114" s="27" t="n">
        <v>47.48345792059856</v>
      </c>
      <c r="Q114" s="27" t="n">
        <v>2.243751282028088</v>
      </c>
      <c r="R114" s="27" t="n">
        <v>1.613348323798717</v>
      </c>
      <c r="S114" s="27" t="n">
        <v>29.78936734840009</v>
      </c>
      <c r="T114" s="27" t="n">
        <v>30.23470930629492</v>
      </c>
      <c r="U114" s="27" t="n">
        <v>31.23708991501422</v>
      </c>
      <c r="V114" s="27" t="n">
        <v>39.46705676055574</v>
      </c>
      <c r="W114" s="27" t="n">
        <v>39.46705676055574</v>
      </c>
      <c r="X114" s="27" t="n">
        <v>9.677689412155647</v>
      </c>
      <c r="Y114" s="27" t="n">
        <v>9.232347454260811</v>
      </c>
      <c r="Z114" s="27" t="n">
        <v>8.229966845541512</v>
      </c>
      <c r="AA114" s="27" t="n">
        <v>2.179247311827957</v>
      </c>
      <c r="AB114" s="27" t="n">
        <v>1.123032258064516</v>
      </c>
      <c r="AC114" s="27" t="n">
        <v>40.59008901862025</v>
      </c>
      <c r="AD114" s="27" t="n">
        <v>40.59008901862025</v>
      </c>
      <c r="AE114" s="27" t="n">
        <v>8.621474358392209</v>
      </c>
      <c r="AF114" s="27" t="n">
        <v>8.176132400497373</v>
      </c>
      <c r="AG114" s="27" t="n">
        <v>7.173751791778074</v>
      </c>
      <c r="AH114" s="27" t="n">
        <v>39.02</v>
      </c>
      <c r="AI114" s="27" t="n">
        <v>39.31881916142072</v>
      </c>
      <c r="AJ114" s="25" t="inlineStr">
        <is>
          <t>10 of 17 sourced, 3 derived, 1 proxy, 3 assumption</t>
        </is>
      </c>
    </row>
    <row r="115">
      <c r="A115" s="29" t="n">
        <v>48731</v>
      </c>
      <c r="B115" s="25" t="inlineStr">
        <is>
          <t>Scenario</t>
        </is>
      </c>
      <c r="C115" s="27" t="n">
        <v>6.680486736221694</v>
      </c>
      <c r="D115" s="27" t="n">
        <v>5.886851925769554</v>
      </c>
      <c r="E115" s="27" t="n">
        <v>0.1751023241880283</v>
      </c>
      <c r="F115" s="27" t="n">
        <v>0.3130966477558717</v>
      </c>
      <c r="G115" s="27" t="n">
        <v>0.005452186012830465</v>
      </c>
      <c r="H115" s="27" t="n">
        <v>14.78827058143899</v>
      </c>
      <c r="I115" s="27" t="n">
        <v>2.815389091792223</v>
      </c>
      <c r="J115" s="27" t="n">
        <v>9.888657276153902</v>
      </c>
      <c r="K115" s="27" t="n">
        <v>0.3873414712982313</v>
      </c>
      <c r="L115" s="27" t="n">
        <v>0.1661212898325196</v>
      </c>
      <c r="M115" s="27" t="n">
        <v>24.1851076841797</v>
      </c>
      <c r="N115" s="27" t="n">
        <v>0.9520796767429466</v>
      </c>
      <c r="O115" s="27" t="n">
        <v>0.6158363443001935</v>
      </c>
      <c r="P115" s="27" t="n">
        <v>47.78762629568852</v>
      </c>
      <c r="Q115" s="27" t="n">
        <v>2.258124249192816</v>
      </c>
      <c r="R115" s="27" t="n">
        <v>1.627721290963445</v>
      </c>
      <c r="S115" s="27" t="n">
        <v>30.83077078301171</v>
      </c>
      <c r="T115" s="27" t="n">
        <v>31.28048583747938</v>
      </c>
      <c r="U115" s="27" t="n">
        <v>32.29237078414263</v>
      </c>
      <c r="V115" s="27" t="n">
        <v>39.46880248339166</v>
      </c>
      <c r="W115" s="27" t="n">
        <v>39.46880248339166</v>
      </c>
      <c r="X115" s="27" t="n">
        <v>8.638031700379944</v>
      </c>
      <c r="Y115" s="27" t="n">
        <v>8.188316645912273</v>
      </c>
      <c r="Z115" s="27" t="n">
        <v>7.176431699249022</v>
      </c>
      <c r="AA115" s="27" t="n">
        <v>1.835466666666667</v>
      </c>
      <c r="AB115" s="27" t="n">
        <v>1.149211111111111</v>
      </c>
      <c r="AC115" s="27" t="n">
        <v>40.61801359450277</v>
      </c>
      <c r="AD115" s="27" t="n">
        <v>40.61801359450277</v>
      </c>
      <c r="AE115" s="27" t="n">
        <v>7.951776144824391</v>
      </c>
      <c r="AF115" s="27" t="n">
        <v>7.502061090356721</v>
      </c>
      <c r="AG115" s="27" t="n">
        <v>6.49017614369347</v>
      </c>
      <c r="AH115" s="27" t="n">
        <v>39.02</v>
      </c>
      <c r="AI115" s="27" t="n">
        <v>39.32746773109606</v>
      </c>
      <c r="AJ115" s="25" t="inlineStr">
        <is>
          <t>10 of 17 sourced, 3 derived, 1 proxy, 3 assumption</t>
        </is>
      </c>
    </row>
    <row r="116">
      <c r="A116" s="29" t="n">
        <v>48761</v>
      </c>
      <c r="B116" s="25" t="inlineStr">
        <is>
          <t>Scenario</t>
        </is>
      </c>
      <c r="C116" s="27" t="n">
        <v>7.270704077454631</v>
      </c>
      <c r="D116" s="27" t="n">
        <v>5.872341908267063</v>
      </c>
      <c r="E116" s="27" t="n">
        <v>0.1636647633656731</v>
      </c>
      <c r="F116" s="27" t="n">
        <v>0.2992156728226977</v>
      </c>
      <c r="G116" s="27" t="n">
        <v>0.005440987837284135</v>
      </c>
      <c r="H116" s="27" t="n">
        <v>14.38978393145688</v>
      </c>
      <c r="I116" s="27" t="n">
        <v>2.686718540347266</v>
      </c>
      <c r="J116" s="27" t="n">
        <v>9.90130800654995</v>
      </c>
      <c r="K116" s="27" t="n">
        <v>0.3878370039461692</v>
      </c>
      <c r="L116" s="27" t="n">
        <v>0.1666168224804575</v>
      </c>
      <c r="M116" s="27" t="n">
        <v>24.30878254549128</v>
      </c>
      <c r="N116" s="27" t="n">
        <v>0.9569483059637203</v>
      </c>
      <c r="O116" s="27" t="n">
        <v>0.6207049735209672</v>
      </c>
      <c r="P116" s="27" t="n">
        <v>48.09179467077848</v>
      </c>
      <c r="Q116" s="27" t="n">
        <v>2.272497216357543</v>
      </c>
      <c r="R116" s="27" t="n">
        <v>1.642094258128173</v>
      </c>
      <c r="S116" s="27" t="n">
        <v>30.85448670403196</v>
      </c>
      <c r="T116" s="27" t="n">
        <v>31.30857485507247</v>
      </c>
      <c r="U116" s="27" t="n">
        <v>32.32996413967967</v>
      </c>
      <c r="V116" s="27" t="n">
        <v>39.47054844347013</v>
      </c>
      <c r="W116" s="27" t="n">
        <v>39.47054844347013</v>
      </c>
      <c r="X116" s="27" t="n">
        <v>8.616061739438173</v>
      </c>
      <c r="Y116" s="27" t="n">
        <v>8.161973588397661</v>
      </c>
      <c r="Z116" s="27" t="n">
        <v>7.140584303790455</v>
      </c>
      <c r="AA116" s="27" t="n">
        <v>1.445075268817204</v>
      </c>
      <c r="AB116" s="27" t="n">
        <v>1.521387096774194</v>
      </c>
      <c r="AC116" s="27" t="n">
        <v>40.99193554024432</v>
      </c>
      <c r="AD116" s="27" t="n">
        <v>40.99193554024432</v>
      </c>
      <c r="AE116" s="27" t="n">
        <v>8.69237356739516</v>
      </c>
      <c r="AF116" s="27" t="n">
        <v>8.238285416354648</v>
      </c>
      <c r="AG116" s="27" t="n">
        <v>7.216896131747442</v>
      </c>
      <c r="AH116" s="27" t="n">
        <v>39.02</v>
      </c>
      <c r="AI116" s="27" t="n">
        <v>39.33611820311128</v>
      </c>
      <c r="AJ116" s="25" t="inlineStr">
        <is>
          <t>10 of 17 sourced, 3 derived, 1 proxy, 3 assumption</t>
        </is>
      </c>
    </row>
    <row r="117">
      <c r="A117" s="29" t="n">
        <v>48792</v>
      </c>
      <c r="B117" s="25" t="inlineStr">
        <is>
          <t>Scenario</t>
        </is>
      </c>
      <c r="C117" s="27" t="n">
        <v>8.161645258862009</v>
      </c>
      <c r="D117" s="27" t="n">
        <v>5.940795088353529</v>
      </c>
      <c r="E117" s="27" t="n">
        <v>0.1437794855766911</v>
      </c>
      <c r="F117" s="27" t="n">
        <v>0.2916775391559088</v>
      </c>
      <c r="G117" s="27" t="n">
        <v>0.004240405013590019</v>
      </c>
      <c r="H117" s="27" t="n">
        <v>14.77060529854541</v>
      </c>
      <c r="I117" s="27" t="n">
        <v>2.749707206359532</v>
      </c>
      <c r="J117" s="27" t="n">
        <v>9.913958736946</v>
      </c>
      <c r="K117" s="27" t="n">
        <v>0.3883325365941071</v>
      </c>
      <c r="L117" s="27" t="n">
        <v>0.1671123551283954</v>
      </c>
      <c r="M117" s="27" t="n">
        <v>24.43245740680285</v>
      </c>
      <c r="N117" s="27" t="n">
        <v>0.9618169351844938</v>
      </c>
      <c r="O117" s="27" t="n">
        <v>0.6255736027417408</v>
      </c>
      <c r="P117" s="27" t="n">
        <v>48.39596304586843</v>
      </c>
      <c r="Q117" s="27" t="n">
        <v>2.286870183522271</v>
      </c>
      <c r="R117" s="27" t="n">
        <v>1.6564672252929</v>
      </c>
      <c r="S117" s="27" t="n">
        <v>32.22956263699506</v>
      </c>
      <c r="T117" s="27" t="n">
        <v>32.68802388460841</v>
      </c>
      <c r="U117" s="27" t="n">
        <v>33.71891750715957</v>
      </c>
      <c r="V117" s="27" t="n">
        <v>39.47229464082351</v>
      </c>
      <c r="W117" s="27" t="n">
        <v>39.47229464082351</v>
      </c>
      <c r="X117" s="27" t="n">
        <v>7.242732003828444</v>
      </c>
      <c r="Y117" s="27" t="n">
        <v>6.784270756215101</v>
      </c>
      <c r="Z117" s="27" t="n">
        <v>5.753377133663939</v>
      </c>
      <c r="AA117" s="27" t="n">
        <v>1.741763440860215</v>
      </c>
      <c r="AB117" s="27" t="n">
        <v>2.883548387096774</v>
      </c>
      <c r="AC117" s="27" t="n">
        <v>42.35584302792028</v>
      </c>
      <c r="AD117" s="27" t="n">
        <v>42.35584302792028</v>
      </c>
      <c r="AE117" s="27" t="n">
        <v>8.384516950065002</v>
      </c>
      <c r="AF117" s="27" t="n">
        <v>7.926055702451659</v>
      </c>
      <c r="AG117" s="27" t="n">
        <v>6.895162079900498</v>
      </c>
      <c r="AH117" s="27" t="n">
        <v>39.02</v>
      </c>
      <c r="AI117" s="27" t="n">
        <v>39.34477057788482</v>
      </c>
      <c r="AJ117" s="25" t="inlineStr">
        <is>
          <t>10 of 17 sourced, 3 derived, 1 proxy, 3 assumption</t>
        </is>
      </c>
    </row>
    <row r="118">
      <c r="A118" s="29" t="n">
        <v>48823</v>
      </c>
      <c r="B118" s="25" t="inlineStr">
        <is>
          <t>Scenario</t>
        </is>
      </c>
      <c r="C118" s="27" t="n">
        <v>6.918029331066658</v>
      </c>
      <c r="D118" s="27" t="n">
        <v>5.914344119557978</v>
      </c>
      <c r="E118" s="27" t="n">
        <v>0.1414348712497884</v>
      </c>
      <c r="F118" s="27" t="n">
        <v>0.2987952783986442</v>
      </c>
      <c r="G118" s="27" t="n">
        <v>0.004222043153800069</v>
      </c>
      <c r="H118" s="27" t="n">
        <v>15.4700550280206</v>
      </c>
      <c r="I118" s="27" t="n">
        <v>2.588442554889738</v>
      </c>
      <c r="J118" s="27" t="n">
        <v>9.926609467342049</v>
      </c>
      <c r="K118" s="27" t="n">
        <v>0.388828069242045</v>
      </c>
      <c r="L118" s="27" t="n">
        <v>0.1676078877763333</v>
      </c>
      <c r="M118" s="27" t="n">
        <v>24.55613226811443</v>
      </c>
      <c r="N118" s="27" t="n">
        <v>0.9666855644052674</v>
      </c>
      <c r="O118" s="27" t="n">
        <v>0.6304422319625144</v>
      </c>
      <c r="P118" s="27" t="n">
        <v>48.70013142095839</v>
      </c>
      <c r="Q118" s="27" t="n">
        <v>2.301243150686999</v>
      </c>
      <c r="R118" s="27" t="n">
        <v>1.670840192457628</v>
      </c>
      <c r="S118" s="27" t="n">
        <v>31.50293111411354</v>
      </c>
      <c r="T118" s="27" t="n">
        <v>31.96576545829972</v>
      </c>
      <c r="U118" s="27" t="n">
        <v>33.00616341879483</v>
      </c>
      <c r="V118" s="27" t="n">
        <v>39.47404107548417</v>
      </c>
      <c r="W118" s="27" t="n">
        <v>39.47404107548417</v>
      </c>
      <c r="X118" s="27" t="n">
        <v>7.971109961370626</v>
      </c>
      <c r="Y118" s="27" t="n">
        <v>7.508275617184445</v>
      </c>
      <c r="Z118" s="27" t="n">
        <v>6.467877656689332</v>
      </c>
      <c r="AA118" s="27" t="n">
        <v>2.412133333333333</v>
      </c>
      <c r="AB118" s="27" t="n">
        <v>2.104855555555555</v>
      </c>
      <c r="AC118" s="27" t="n">
        <v>41.57889663103972</v>
      </c>
      <c r="AD118" s="27" t="n">
        <v>41.57889663103972</v>
      </c>
      <c r="AE118" s="27" t="n">
        <v>7.663832183592845</v>
      </c>
      <c r="AF118" s="27" t="n">
        <v>7.200997839406664</v>
      </c>
      <c r="AG118" s="27" t="n">
        <v>6.160599878911551</v>
      </c>
      <c r="AH118" s="27" t="n">
        <v>39.02</v>
      </c>
      <c r="AI118" s="27" t="n">
        <v>39.35342485583519</v>
      </c>
      <c r="AJ118" s="25" t="inlineStr">
        <is>
          <t>10 of 17 sourced, 3 derived, 1 proxy, 3 assumption</t>
        </is>
      </c>
    </row>
    <row r="119">
      <c r="A119" s="29" t="n">
        <v>48853</v>
      </c>
      <c r="B119" s="25" t="inlineStr">
        <is>
          <t>Scenario</t>
        </is>
      </c>
      <c r="C119" s="27" t="n">
        <v>5.436307874895696</v>
      </c>
      <c r="D119" s="27" t="n">
        <v>5.758535951069964</v>
      </c>
      <c r="E119" s="27" t="n">
        <v>0.1962993121254904</v>
      </c>
      <c r="F119" s="27" t="n">
        <v>0.3271505982700789</v>
      </c>
      <c r="G119" s="27" t="n">
        <v>0.004218932998728263</v>
      </c>
      <c r="H119" s="27" t="n">
        <v>15.89548970777218</v>
      </c>
      <c r="I119" s="27" t="n">
        <v>2.469106280232568</v>
      </c>
      <c r="J119" s="27" t="n">
        <v>9.939260197738097</v>
      </c>
      <c r="K119" s="27" t="n">
        <v>0.3893236018899829</v>
      </c>
      <c r="L119" s="27" t="n">
        <v>0.1681034204242712</v>
      </c>
      <c r="M119" s="27" t="n">
        <v>24.67980712942601</v>
      </c>
      <c r="N119" s="27" t="n">
        <v>0.9715541936260411</v>
      </c>
      <c r="O119" s="27" t="n">
        <v>0.6353108611832881</v>
      </c>
      <c r="P119" s="27" t="n">
        <v>49.00429979604834</v>
      </c>
      <c r="Q119" s="27" t="n">
        <v>2.315616117851726</v>
      </c>
      <c r="R119" s="27" t="n">
        <v>1.685213159622356</v>
      </c>
      <c r="S119" s="27" t="n">
        <v>30.25521207778897</v>
      </c>
      <c r="T119" s="27" t="n">
        <v>30.72241951854799</v>
      </c>
      <c r="U119" s="27" t="n">
        <v>31.77232181698706</v>
      </c>
      <c r="V119" s="27" t="n">
        <v>39.4757877474845</v>
      </c>
      <c r="W119" s="27" t="n">
        <v>39.4757877474845</v>
      </c>
      <c r="X119" s="27" t="n">
        <v>9.220575669695524</v>
      </c>
      <c r="Y119" s="27" t="n">
        <v>8.753368228936505</v>
      </c>
      <c r="Z119" s="27" t="n">
        <v>7.703465930497437</v>
      </c>
      <c r="AA119" s="27" t="n">
        <v>2.523494623655914</v>
      </c>
      <c r="AB119" s="27" t="n">
        <v>1.056784946236559</v>
      </c>
      <c r="AC119" s="27" t="n">
        <v>40.53257269372106</v>
      </c>
      <c r="AD119" s="27" t="n">
        <v>40.53257269372106</v>
      </c>
      <c r="AE119" s="27" t="n">
        <v>7.753865992276172</v>
      </c>
      <c r="AF119" s="27" t="n">
        <v>7.286658551517153</v>
      </c>
      <c r="AG119" s="27" t="n">
        <v>6.236756253078084</v>
      </c>
      <c r="AH119" s="27" t="n">
        <v>39.02</v>
      </c>
      <c r="AI119" s="27" t="n">
        <v>39.36208103738102</v>
      </c>
      <c r="AJ119" s="25" t="inlineStr">
        <is>
          <t>10 of 17 sourced, 3 derived, 1 proxy, 3 assumption</t>
        </is>
      </c>
    </row>
    <row r="120">
      <c r="A120" s="29" t="n">
        <v>48884</v>
      </c>
      <c r="B120" s="25" t="inlineStr">
        <is>
          <t>Scenario</t>
        </is>
      </c>
      <c r="C120" s="27" t="n">
        <v>4.645007511031529</v>
      </c>
      <c r="D120" s="27" t="n">
        <v>6.164955740505237</v>
      </c>
      <c r="E120" s="27" t="n">
        <v>0.3776166250484803</v>
      </c>
      <c r="F120" s="27" t="n">
        <v>0.4099446430964805</v>
      </c>
      <c r="G120" s="27" t="n">
        <v>0.004200664117350762</v>
      </c>
      <c r="H120" s="27" t="n">
        <v>16.23512052546222</v>
      </c>
      <c r="I120" s="27" t="n">
        <v>2.413293735601152</v>
      </c>
      <c r="J120" s="27" t="n">
        <v>9.951910928134147</v>
      </c>
      <c r="K120" s="27" t="n">
        <v>0.3898191345379208</v>
      </c>
      <c r="L120" s="27" t="n">
        <v>0.1685989530722091</v>
      </c>
      <c r="M120" s="27" t="n">
        <v>24.80348199073758</v>
      </c>
      <c r="N120" s="27" t="n">
        <v>0.9764228228468148</v>
      </c>
      <c r="O120" s="27" t="n">
        <v>0.6401794904040617</v>
      </c>
      <c r="P120" s="27" t="n">
        <v>49.3084681711383</v>
      </c>
      <c r="Q120" s="27" t="n">
        <v>2.329989085016454</v>
      </c>
      <c r="R120" s="27" t="n">
        <v>1.699586126787084</v>
      </c>
      <c r="S120" s="27" t="n">
        <v>30.41873839793466</v>
      </c>
      <c r="T120" s="27" t="n">
        <v>30.89031893526651</v>
      </c>
      <c r="U120" s="27" t="n">
        <v>31.94972557164953</v>
      </c>
      <c r="V120" s="27" t="n">
        <v>39.47753465685685</v>
      </c>
      <c r="W120" s="27" t="n">
        <v>39.47753465685685</v>
      </c>
      <c r="X120" s="27" t="n">
        <v>9.058796258922197</v>
      </c>
      <c r="Y120" s="27" t="n">
        <v>8.587215721590344</v>
      </c>
      <c r="Z120" s="27" t="n">
        <v>7.527809085207323</v>
      </c>
      <c r="AA120" s="27" t="n">
        <v>1.881788888888889</v>
      </c>
      <c r="AB120" s="27" t="n">
        <v>1.287677777777778</v>
      </c>
      <c r="AC120" s="27" t="n">
        <v>40.76521243463463</v>
      </c>
      <c r="AD120" s="27" t="n">
        <v>40.76521243463463</v>
      </c>
      <c r="AE120" s="27" t="n">
        <v>8.464685147811089</v>
      </c>
      <c r="AF120" s="27" t="n">
        <v>7.993104610479235</v>
      </c>
      <c r="AG120" s="27" t="n">
        <v>6.933697974096215</v>
      </c>
      <c r="AH120" s="27" t="n">
        <v>39.02</v>
      </c>
      <c r="AI120" s="27" t="n">
        <v>39.37073912294104</v>
      </c>
      <c r="AJ120" s="25" t="inlineStr">
        <is>
          <t>10 of 17 sourced, 3 derived, 1 proxy, 3 assumption</t>
        </is>
      </c>
    </row>
    <row r="121">
      <c r="A121" s="29" t="n">
        <v>48914</v>
      </c>
      <c r="B121" s="25" t="inlineStr">
        <is>
          <t>Scenario</t>
        </is>
      </c>
      <c r="C121" s="27" t="n">
        <v>4.588742658117908</v>
      </c>
      <c r="D121" s="27" t="n">
        <v>6.374459023338558</v>
      </c>
      <c r="E121" s="27" t="n">
        <v>0.6963946536686179</v>
      </c>
      <c r="F121" s="27" t="n">
        <v>0.5225868114396419</v>
      </c>
      <c r="G121" s="27" t="n">
        <v>0.004197569711080241</v>
      </c>
      <c r="H121" s="27" t="n">
        <v>16.01719753724603</v>
      </c>
      <c r="I121" s="27" t="n">
        <v>2.303384964871343</v>
      </c>
      <c r="J121" s="27" t="n">
        <v>9.964561658530195</v>
      </c>
      <c r="K121" s="27" t="n">
        <v>0.3903146671858587</v>
      </c>
      <c r="L121" s="27" t="n">
        <v>0.169094485720147</v>
      </c>
      <c r="M121" s="27" t="n">
        <v>24.92715685204916</v>
      </c>
      <c r="N121" s="27" t="n">
        <v>0.9812914520675884</v>
      </c>
      <c r="O121" s="27" t="n">
        <v>0.6450481196248353</v>
      </c>
      <c r="P121" s="27" t="n">
        <v>49.61263654622826</v>
      </c>
      <c r="Q121" s="27" t="n">
        <v>2.344362052181182</v>
      </c>
      <c r="R121" s="27" t="n">
        <v>1.713959093951811</v>
      </c>
      <c r="S121" s="27" t="n">
        <v>30.67605770411332</v>
      </c>
      <c r="T121" s="27" t="n">
        <v>31.15201133801801</v>
      </c>
      <c r="U121" s="27" t="n">
        <v>32.22092231234499</v>
      </c>
      <c r="V121" s="27" t="n">
        <v>39.47928180363363</v>
      </c>
      <c r="W121" s="27" t="n">
        <v>39.47928180363363</v>
      </c>
      <c r="X121" s="27" t="n">
        <v>8.80322409952031</v>
      </c>
      <c r="Y121" s="27" t="n">
        <v>8.327270465615623</v>
      </c>
      <c r="Z121" s="27" t="n">
        <v>7.258359491288644</v>
      </c>
      <c r="AA121" s="27" t="n">
        <v>1.379204301075269</v>
      </c>
      <c r="AB121" s="27" t="n">
        <v>2.158774193548387</v>
      </c>
      <c r="AC121" s="27" t="n">
        <v>41.63805599718202</v>
      </c>
      <c r="AD121" s="27" t="n">
        <v>41.63805599718202</v>
      </c>
      <c r="AE121" s="27" t="n">
        <v>9.58279399199343</v>
      </c>
      <c r="AF121" s="27" t="n">
        <v>9.106840358088743</v>
      </c>
      <c r="AG121" s="27" t="n">
        <v>8.037929383761764</v>
      </c>
      <c r="AH121" s="27" t="n">
        <v>39.02</v>
      </c>
      <c r="AI121" s="27" t="n">
        <v>39.37939911293405</v>
      </c>
      <c r="AJ121" s="25" t="inlineStr">
        <is>
          <t>10 of 17 sourced, 3 derived, 1 proxy, 3 assumption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57"/>
  <sheetViews>
    <sheetView workbookViewId="0">
      <selection activeCell="A1" sqref="A1"/>
    </sheetView>
  </sheetViews>
  <sheetFormatPr baseColWidth="8" defaultRowHeight="15"/>
  <sheetData>
    <row r="1">
      <c r="B1" t="inlineStr">
        <is>
          <t>Month</t>
        </is>
      </c>
      <c r="C1" t="inlineStr">
        <is>
          <t>Storage injection (Bcf/d)</t>
        </is>
      </c>
      <c r="D1" t="inlineStr">
        <is>
          <t>Storage withdrawal (Bcf/d)</t>
        </is>
      </c>
      <c r="E1" t="inlineStr">
        <is>
          <t>Net injection (+) (Bcf/d)</t>
        </is>
      </c>
      <c r="F1" t="inlineStr">
        <is>
          <t>Flow basis</t>
        </is>
      </c>
      <c r="G1" t="inlineStr">
        <is>
          <t>Working gas stock, month end (Bcf)</t>
        </is>
      </c>
      <c r="H1" t="inlineStr">
        <is>
          <t>Stock basis</t>
        </is>
      </c>
      <c r="I1" t="inlineStr">
        <is>
          <t>Working gas capacity, EIA annual, held to next report (Bcf)</t>
        </is>
      </c>
      <c r="J1" t="inlineStr">
        <is>
          <t>Stock as % of working gas capacity</t>
        </is>
      </c>
    </row>
    <row r="2">
      <c r="A2" t="n">
        <v>0</v>
      </c>
      <c r="B2" s="3" t="n">
        <v>44197</v>
      </c>
      <c r="C2" t="n">
        <v>0.5196451612903226</v>
      </c>
      <c r="D2" t="n">
        <v>2.56</v>
      </c>
      <c r="E2" t="n">
        <v>-2.040354838709677</v>
      </c>
      <c r="F2" t="inlineStr">
        <is>
          <t>EIA</t>
        </is>
      </c>
      <c r="G2" t="n">
        <v>366.023</v>
      </c>
      <c r="H2" t="inlineStr">
        <is>
          <t>EIA</t>
        </is>
      </c>
      <c r="I2" t="n">
        <v>544.3150000000001</v>
      </c>
      <c r="J2" t="n">
        <v>67.24470205671348</v>
      </c>
    </row>
    <row r="3">
      <c r="A3" t="n">
        <v>1</v>
      </c>
      <c r="B3" s="3" t="n">
        <v>44228</v>
      </c>
      <c r="C3" t="n">
        <v>1.272107142857143</v>
      </c>
      <c r="D3" t="n">
        <v>4.41275</v>
      </c>
      <c r="E3" t="n">
        <v>-3.140642857142857</v>
      </c>
      <c r="F3" t="inlineStr">
        <is>
          <t>EIA</t>
        </is>
      </c>
      <c r="G3" t="n">
        <v>280.432</v>
      </c>
      <c r="H3" t="inlineStr">
        <is>
          <t>EIA</t>
        </is>
      </c>
      <c r="I3" t="n">
        <v>544.3150000000001</v>
      </c>
      <c r="J3" t="n">
        <v>51.52016755003995</v>
      </c>
    </row>
    <row r="4">
      <c r="A4" t="n">
        <v>2</v>
      </c>
      <c r="B4" s="3" t="n">
        <v>44256</v>
      </c>
      <c r="C4" t="n">
        <v>1.762354838709677</v>
      </c>
      <c r="D4" t="n">
        <v>1.144354838709677</v>
      </c>
      <c r="E4" t="n">
        <v>0.6179999999999999</v>
      </c>
      <c r="F4" t="inlineStr">
        <is>
          <t>EIA</t>
        </is>
      </c>
      <c r="G4" t="n">
        <v>299.158</v>
      </c>
      <c r="H4" t="inlineStr">
        <is>
          <t>EIA</t>
        </is>
      </c>
      <c r="I4" t="n">
        <v>544.3150000000001</v>
      </c>
      <c r="J4" t="n">
        <v>54.96045488366111</v>
      </c>
    </row>
    <row r="5">
      <c r="A5" t="n">
        <v>3</v>
      </c>
      <c r="B5" s="3" t="n">
        <v>44287</v>
      </c>
      <c r="C5" t="n">
        <v>1.559</v>
      </c>
      <c r="D5" t="n">
        <v>0.7668666666666667</v>
      </c>
      <c r="E5" t="n">
        <v>0.7921333333333332</v>
      </c>
      <c r="F5" t="inlineStr">
        <is>
          <t>EIA</t>
        </is>
      </c>
      <c r="G5" t="n">
        <v>323.595</v>
      </c>
      <c r="H5" t="inlineStr">
        <is>
          <t>EIA</t>
        </is>
      </c>
      <c r="I5" t="n">
        <v>544.3150000000001</v>
      </c>
      <c r="J5" t="n">
        <v>59.44995085566263</v>
      </c>
    </row>
    <row r="6">
      <c r="A6" t="n">
        <v>4</v>
      </c>
      <c r="B6" s="3" t="n">
        <v>44317</v>
      </c>
      <c r="C6" t="n">
        <v>2.060290322580645</v>
      </c>
      <c r="D6" t="n">
        <v>0.3708387096774193</v>
      </c>
      <c r="E6" t="n">
        <v>1.689451612903226</v>
      </c>
      <c r="F6" t="inlineStr">
        <is>
          <t>EIA</t>
        </is>
      </c>
      <c r="G6" t="n">
        <v>375.994</v>
      </c>
      <c r="H6" t="inlineStr">
        <is>
          <t>EIA</t>
        </is>
      </c>
      <c r="I6" t="n">
        <v>544.3150000000001</v>
      </c>
      <c r="J6" t="n">
        <v>69.07654575016305</v>
      </c>
    </row>
    <row r="7">
      <c r="A7" t="n">
        <v>5</v>
      </c>
      <c r="B7" s="3" t="n">
        <v>44348</v>
      </c>
      <c r="C7" t="n">
        <v>1.1406</v>
      </c>
      <c r="D7" t="n">
        <v>1.339333333333333</v>
      </c>
      <c r="E7" t="n">
        <v>-0.1987333333333334</v>
      </c>
      <c r="F7" t="inlineStr">
        <is>
          <t>EIA</t>
        </is>
      </c>
      <c r="G7" t="n">
        <v>370.019</v>
      </c>
      <c r="H7" t="inlineStr">
        <is>
          <t>EIA</t>
        </is>
      </c>
      <c r="I7" t="n">
        <v>544.3150000000001</v>
      </c>
      <c r="J7" t="n">
        <v>67.97883578442629</v>
      </c>
    </row>
    <row r="8">
      <c r="A8" t="n">
        <v>6</v>
      </c>
      <c r="B8" s="3" t="n">
        <v>44378</v>
      </c>
      <c r="C8" t="n">
        <v>0.9387096774193548</v>
      </c>
      <c r="D8" t="n">
        <v>1.255870967741935</v>
      </c>
      <c r="E8" t="n">
        <v>-0.3171612903225804</v>
      </c>
      <c r="F8" t="inlineStr">
        <is>
          <t>EIA</t>
        </is>
      </c>
      <c r="G8" t="n">
        <v>360.18</v>
      </c>
      <c r="H8" t="inlineStr">
        <is>
          <t>EIA</t>
        </is>
      </c>
      <c r="I8" t="n">
        <v>544.3150000000001</v>
      </c>
      <c r="J8" t="n">
        <v>66.17124275465493</v>
      </c>
    </row>
    <row r="9">
      <c r="A9" t="n">
        <v>7</v>
      </c>
      <c r="B9" s="3" t="n">
        <v>44409</v>
      </c>
      <c r="C9" t="n">
        <v>1.041451612903226</v>
      </c>
      <c r="D9" t="n">
        <v>1.687774193548387</v>
      </c>
      <c r="E9" t="n">
        <v>-0.6463225806451611</v>
      </c>
      <c r="F9" t="inlineStr">
        <is>
          <t>EIA</t>
        </is>
      </c>
      <c r="G9" t="n">
        <v>339.759</v>
      </c>
      <c r="H9" t="inlineStr">
        <is>
          <t>EIA</t>
        </is>
      </c>
      <c r="I9" t="n">
        <v>544.3150000000001</v>
      </c>
      <c r="J9" t="n">
        <v>62.41955485334778</v>
      </c>
    </row>
    <row r="10">
      <c r="A10" t="n">
        <v>8</v>
      </c>
      <c r="B10" s="3" t="n">
        <v>44440</v>
      </c>
      <c r="C10" t="n">
        <v>2.160866666666667</v>
      </c>
      <c r="D10" t="n">
        <v>0.6753333333333333</v>
      </c>
      <c r="E10" t="n">
        <v>1.485533333333333</v>
      </c>
      <c r="F10" t="inlineStr">
        <is>
          <t>EIA</t>
        </is>
      </c>
      <c r="G10" t="n">
        <v>382.958</v>
      </c>
      <c r="H10" t="inlineStr">
        <is>
          <t>EIA</t>
        </is>
      </c>
      <c r="I10" t="n">
        <v>544.3150000000001</v>
      </c>
      <c r="J10" t="n">
        <v>70.35595197633722</v>
      </c>
    </row>
    <row r="11">
      <c r="A11" t="n">
        <v>9</v>
      </c>
      <c r="B11" s="3" t="n">
        <v>44470</v>
      </c>
      <c r="C11" t="n">
        <v>2.154032258064516</v>
      </c>
      <c r="D11" t="n">
        <v>0.5892903225806452</v>
      </c>
      <c r="E11" t="n">
        <v>1.564741935483871</v>
      </c>
      <c r="F11" t="inlineStr">
        <is>
          <t>EIA</t>
        </is>
      </c>
      <c r="G11" t="n">
        <v>431.071</v>
      </c>
      <c r="H11" t="inlineStr">
        <is>
          <t>EIA</t>
        </is>
      </c>
      <c r="I11" t="n">
        <v>544.3150000000001</v>
      </c>
      <c r="J11" t="n">
        <v>79.19513516989242</v>
      </c>
    </row>
    <row r="12">
      <c r="A12" t="n">
        <v>10</v>
      </c>
      <c r="B12" s="3" t="n">
        <v>44501</v>
      </c>
      <c r="C12" t="n">
        <v>1.294366666666667</v>
      </c>
      <c r="D12" t="n">
        <v>1.114866666666666</v>
      </c>
      <c r="E12" t="n">
        <v>0.1795000000000002</v>
      </c>
      <c r="F12" t="inlineStr">
        <is>
          <t>EIA</t>
        </is>
      </c>
      <c r="G12" t="n">
        <v>436.713</v>
      </c>
      <c r="H12" t="inlineStr">
        <is>
          <t>EIA</t>
        </is>
      </c>
      <c r="I12" t="n">
        <v>544.3150000000001</v>
      </c>
      <c r="J12" t="n">
        <v>80.23166732498645</v>
      </c>
    </row>
    <row r="13">
      <c r="A13" t="n">
        <v>11</v>
      </c>
      <c r="B13" s="3" t="n">
        <v>44531</v>
      </c>
      <c r="C13" t="n">
        <v>1.387967741935484</v>
      </c>
      <c r="D13" t="n">
        <v>1.367516129032258</v>
      </c>
      <c r="E13" t="n">
        <v>0.02045161290322595</v>
      </c>
      <c r="F13" t="inlineStr">
        <is>
          <t>EIA</t>
        </is>
      </c>
      <c r="G13" t="n">
        <v>438.618</v>
      </c>
      <c r="H13" t="inlineStr">
        <is>
          <t>EIA</t>
        </is>
      </c>
      <c r="I13" t="n">
        <v>544.3150000000001</v>
      </c>
      <c r="J13" t="n">
        <v>80.58164849397866</v>
      </c>
    </row>
    <row r="14">
      <c r="A14" t="n">
        <v>12</v>
      </c>
      <c r="B14" s="3" t="n">
        <v>44562</v>
      </c>
      <c r="C14" t="n">
        <v>0.5149677419354839</v>
      </c>
      <c r="D14" t="n">
        <v>4.000612903225806</v>
      </c>
      <c r="E14" t="n">
        <v>-3.485645161290322</v>
      </c>
      <c r="F14" t="inlineStr">
        <is>
          <t>EIA</t>
        </is>
      </c>
      <c r="G14" t="n">
        <v>328.69</v>
      </c>
      <c r="H14" t="inlineStr">
        <is>
          <t>EIA</t>
        </is>
      </c>
      <c r="I14" t="n">
        <v>551.806</v>
      </c>
      <c r="J14" t="n">
        <v>59.56622436146036</v>
      </c>
    </row>
    <row r="15">
      <c r="A15" t="n">
        <v>13</v>
      </c>
      <c r="B15" s="3" t="n">
        <v>44593</v>
      </c>
      <c r="C15" t="n">
        <v>0.7398571428571429</v>
      </c>
      <c r="D15" t="n">
        <v>3.681178571428572</v>
      </c>
      <c r="E15" t="n">
        <v>-2.941321428571429</v>
      </c>
      <c r="F15" t="inlineStr">
        <is>
          <t>EIA</t>
        </is>
      </c>
      <c r="G15" t="n">
        <v>246.445</v>
      </c>
      <c r="H15" t="inlineStr">
        <is>
          <t>EIA</t>
        </is>
      </c>
      <c r="I15" t="n">
        <v>551.806</v>
      </c>
      <c r="J15" t="n">
        <v>44.66152959554626</v>
      </c>
    </row>
    <row r="16">
      <c r="A16" t="n">
        <v>14</v>
      </c>
      <c r="B16" s="3" t="n">
        <v>44621</v>
      </c>
      <c r="C16" t="n">
        <v>1.433064516129032</v>
      </c>
      <c r="D16" t="n">
        <v>1.425935483870968</v>
      </c>
      <c r="E16" t="n">
        <v>0.007129032258064605</v>
      </c>
      <c r="F16" t="inlineStr">
        <is>
          <t>EIA</t>
        </is>
      </c>
      <c r="G16" t="n">
        <v>246.634</v>
      </c>
      <c r="H16" t="inlineStr">
        <is>
          <t>EIA</t>
        </is>
      </c>
      <c r="I16" t="n">
        <v>551.806</v>
      </c>
      <c r="J16" t="n">
        <v>44.69578076352921</v>
      </c>
    </row>
    <row r="17">
      <c r="A17" t="n">
        <v>15</v>
      </c>
      <c r="B17" s="3" t="n">
        <v>44652</v>
      </c>
      <c r="C17" t="n">
        <v>2.011033333333333</v>
      </c>
      <c r="D17" t="n">
        <v>0.5206000000000001</v>
      </c>
      <c r="E17" t="n">
        <v>1.490433333333333</v>
      </c>
      <c r="F17" t="inlineStr">
        <is>
          <t>EIA</t>
        </is>
      </c>
      <c r="G17" t="n">
        <v>291.172</v>
      </c>
      <c r="H17" t="inlineStr">
        <is>
          <t>EIA</t>
        </is>
      </c>
      <c r="I17" t="n">
        <v>551.806</v>
      </c>
      <c r="J17" t="n">
        <v>52.76709568217816</v>
      </c>
    </row>
    <row r="18">
      <c r="A18" t="n">
        <v>16</v>
      </c>
      <c r="B18" s="3" t="n">
        <v>44682</v>
      </c>
      <c r="C18" t="n">
        <v>1.664612903225806</v>
      </c>
      <c r="D18" t="n">
        <v>0.6686129032258065</v>
      </c>
      <c r="E18" t="n">
        <v>0.9959999999999999</v>
      </c>
      <c r="F18" t="inlineStr">
        <is>
          <t>EIA</t>
        </is>
      </c>
      <c r="G18" t="n">
        <v>322.46</v>
      </c>
      <c r="H18" t="inlineStr">
        <is>
          <t>EIA</t>
        </is>
      </c>
      <c r="I18" t="n">
        <v>551.806</v>
      </c>
      <c r="J18" t="n">
        <v>58.43720437980014</v>
      </c>
    </row>
    <row r="19">
      <c r="A19" t="n">
        <v>17</v>
      </c>
      <c r="B19" s="3" t="n">
        <v>44713</v>
      </c>
      <c r="C19" t="n">
        <v>1.453166666666667</v>
      </c>
      <c r="D19" t="n">
        <v>0.7817999999999999</v>
      </c>
      <c r="E19" t="n">
        <v>0.6713666666666668</v>
      </c>
      <c r="F19" t="inlineStr">
        <is>
          <t>EIA</t>
        </is>
      </c>
      <c r="G19" t="n">
        <v>343.02</v>
      </c>
      <c r="H19" t="inlineStr">
        <is>
          <t>EIA</t>
        </is>
      </c>
      <c r="I19" t="n">
        <v>551.806</v>
      </c>
      <c r="J19" t="n">
        <v>62.1631515423899</v>
      </c>
    </row>
    <row r="20">
      <c r="A20" t="n">
        <v>18</v>
      </c>
      <c r="B20" s="3" t="n">
        <v>44743</v>
      </c>
      <c r="C20" t="n">
        <v>1.202129032258065</v>
      </c>
      <c r="D20" t="n">
        <v>1.388</v>
      </c>
      <c r="E20" t="n">
        <v>-0.1858709677419352</v>
      </c>
      <c r="F20" t="inlineStr">
        <is>
          <t>EIA</t>
        </is>
      </c>
      <c r="G20" t="n">
        <v>335.775</v>
      </c>
      <c r="H20" t="inlineStr">
        <is>
          <t>EIA</t>
        </is>
      </c>
      <c r="I20" t="n">
        <v>551.806</v>
      </c>
      <c r="J20" t="n">
        <v>60.85019010304345</v>
      </c>
    </row>
    <row r="21">
      <c r="A21" t="n">
        <v>19</v>
      </c>
      <c r="B21" s="3" t="n">
        <v>44774</v>
      </c>
      <c r="C21" t="n">
        <v>1.73141935483871</v>
      </c>
      <c r="D21" t="n">
        <v>1.743612903225806</v>
      </c>
      <c r="E21" t="n">
        <v>-0.01219354838709652</v>
      </c>
      <c r="F21" t="inlineStr">
        <is>
          <t>EIA</t>
        </is>
      </c>
      <c r="G21" t="n">
        <v>334.806</v>
      </c>
      <c r="H21" t="inlineStr">
        <is>
          <t>EIA</t>
        </is>
      </c>
      <c r="I21" t="n">
        <v>551.806</v>
      </c>
      <c r="J21" t="n">
        <v>60.6745849084642</v>
      </c>
    </row>
    <row r="22">
      <c r="A22" t="n">
        <v>20</v>
      </c>
      <c r="B22" s="3" t="n">
        <v>44805</v>
      </c>
      <c r="C22" t="n">
        <v>2.6006</v>
      </c>
      <c r="D22" t="n">
        <v>1.136133333333333</v>
      </c>
      <c r="E22" t="n">
        <v>1.464466666666667</v>
      </c>
      <c r="F22" t="inlineStr">
        <is>
          <t>EIA</t>
        </is>
      </c>
      <c r="G22" t="n">
        <v>378.599</v>
      </c>
      <c r="H22" t="inlineStr">
        <is>
          <t>EIA</t>
        </is>
      </c>
      <c r="I22" t="n">
        <v>551.806</v>
      </c>
      <c r="J22" t="n">
        <v>68.61088860940258</v>
      </c>
    </row>
    <row r="23">
      <c r="A23" t="n">
        <v>21</v>
      </c>
      <c r="B23" s="3" t="n">
        <v>44835</v>
      </c>
      <c r="C23" t="n">
        <v>2.467064516129032</v>
      </c>
      <c r="D23" t="n">
        <v>0.4530645161290323</v>
      </c>
      <c r="E23" t="n">
        <v>2.014</v>
      </c>
      <c r="F23" t="inlineStr">
        <is>
          <t>EIA</t>
        </is>
      </c>
      <c r="G23" t="n">
        <v>440.783</v>
      </c>
      <c r="H23" t="inlineStr">
        <is>
          <t>EIA</t>
        </is>
      </c>
      <c r="I23" t="n">
        <v>551.806</v>
      </c>
      <c r="J23" t="n">
        <v>79.88006654512635</v>
      </c>
    </row>
    <row r="24">
      <c r="A24" t="n">
        <v>22</v>
      </c>
      <c r="B24" s="3" t="n">
        <v>44866</v>
      </c>
      <c r="C24" t="n">
        <v>1.554566666666667</v>
      </c>
      <c r="D24" t="n">
        <v>1.4176</v>
      </c>
      <c r="E24" t="n">
        <v>0.1369666666666667</v>
      </c>
      <c r="F24" t="inlineStr">
        <is>
          <t>EIA</t>
        </is>
      </c>
      <c r="G24" t="n">
        <v>445.661</v>
      </c>
      <c r="H24" t="inlineStr">
        <is>
          <t>EIA</t>
        </is>
      </c>
      <c r="I24" t="n">
        <v>551.806</v>
      </c>
      <c r="J24" t="n">
        <v>80.76407288068633</v>
      </c>
    </row>
    <row r="25">
      <c r="A25" t="n">
        <v>23</v>
      </c>
      <c r="B25" s="3" t="n">
        <v>44896</v>
      </c>
      <c r="C25" t="n">
        <v>1.395903225806452</v>
      </c>
      <c r="D25" t="n">
        <v>2.284096774193548</v>
      </c>
      <c r="E25" t="n">
        <v>-0.8881935483870966</v>
      </c>
      <c r="F25" t="inlineStr">
        <is>
          <t>EIA</t>
        </is>
      </c>
      <c r="G25" t="n">
        <v>417.487</v>
      </c>
      <c r="H25" t="inlineStr">
        <is>
          <t>EIA</t>
        </is>
      </c>
      <c r="I25" t="n">
        <v>551.806</v>
      </c>
      <c r="J25" t="n">
        <v>75.65829295078342</v>
      </c>
    </row>
    <row r="26">
      <c r="A26" t="n">
        <v>24</v>
      </c>
      <c r="B26" s="3" t="n">
        <v>44927</v>
      </c>
      <c r="C26" t="n">
        <v>1.189967741935484</v>
      </c>
      <c r="D26" t="n">
        <v>1.932354838709677</v>
      </c>
      <c r="E26" t="n">
        <v>-0.7423870967741935</v>
      </c>
      <c r="F26" t="inlineStr">
        <is>
          <t>EIA</t>
        </is>
      </c>
      <c r="G26" t="n">
        <v>394.359</v>
      </c>
      <c r="H26" t="inlineStr">
        <is>
          <t>EIA</t>
        </is>
      </c>
      <c r="I26" t="n">
        <v>554.4829999999999</v>
      </c>
      <c r="J26" t="n">
        <v>71.12192799418557</v>
      </c>
    </row>
    <row r="27">
      <c r="A27" t="n">
        <v>25</v>
      </c>
      <c r="B27" s="3" t="n">
        <v>44958</v>
      </c>
      <c r="C27" t="n">
        <v>1.318821428571429</v>
      </c>
      <c r="D27" t="n">
        <v>1.893642857142857</v>
      </c>
      <c r="E27" t="n">
        <v>-0.5748214285714286</v>
      </c>
      <c r="F27" t="inlineStr">
        <is>
          <t>EIA</t>
        </is>
      </c>
      <c r="G27" t="n">
        <v>378.107</v>
      </c>
      <c r="H27" t="inlineStr">
        <is>
          <t>EIA</t>
        </is>
      </c>
      <c r="I27" t="n">
        <v>554.4829999999999</v>
      </c>
      <c r="J27" t="n">
        <v>68.19090936962901</v>
      </c>
    </row>
    <row r="28">
      <c r="A28" t="n">
        <v>26</v>
      </c>
      <c r="B28" s="3" t="n">
        <v>44986</v>
      </c>
      <c r="C28" t="n">
        <v>1.539709677419355</v>
      </c>
      <c r="D28" t="n">
        <v>1.019161290322581</v>
      </c>
      <c r="E28" t="n">
        <v>0.5205483870967742</v>
      </c>
      <c r="F28" t="inlineStr">
        <is>
          <t>EIA</t>
        </is>
      </c>
      <c r="G28" t="n">
        <v>394.207</v>
      </c>
      <c r="H28" t="inlineStr">
        <is>
          <t>EIA</t>
        </is>
      </c>
      <c r="I28" t="n">
        <v>554.4829999999999</v>
      </c>
      <c r="J28" t="n">
        <v>71.09451507079568</v>
      </c>
    </row>
    <row r="29">
      <c r="A29" t="n">
        <v>27</v>
      </c>
      <c r="B29" s="3" t="n">
        <v>45017</v>
      </c>
      <c r="C29" t="n">
        <v>1.441633333333334</v>
      </c>
      <c r="D29" t="n">
        <v>0.6953333333333334</v>
      </c>
      <c r="E29" t="n">
        <v>0.7463000000000002</v>
      </c>
      <c r="F29" t="inlineStr">
        <is>
          <t>EIA</t>
        </is>
      </c>
      <c r="G29" t="n">
        <v>416.4</v>
      </c>
      <c r="H29" t="inlineStr">
        <is>
          <t>EIA</t>
        </is>
      </c>
      <c r="I29" t="n">
        <v>554.4829999999999</v>
      </c>
      <c r="J29" t="n">
        <v>75.09698223390076</v>
      </c>
    </row>
    <row r="30">
      <c r="A30" t="n">
        <v>28</v>
      </c>
      <c r="B30" s="3" t="n">
        <v>45047</v>
      </c>
      <c r="C30" t="n">
        <v>1.817225806451613</v>
      </c>
      <c r="D30" t="n">
        <v>0.7054838709677419</v>
      </c>
      <c r="E30" t="n">
        <v>1.111741935483871</v>
      </c>
      <c r="F30" t="inlineStr">
        <is>
          <t>EIA</t>
        </is>
      </c>
      <c r="G30" t="n">
        <v>450.94</v>
      </c>
      <c r="H30" t="inlineStr">
        <is>
          <t>EIA</t>
        </is>
      </c>
      <c r="I30" t="n">
        <v>554.4829999999999</v>
      </c>
      <c r="J30" t="n">
        <v>81.32620837789437</v>
      </c>
    </row>
    <row r="31">
      <c r="A31" t="n">
        <v>29</v>
      </c>
      <c r="B31" s="3" t="n">
        <v>45078</v>
      </c>
      <c r="C31" t="n">
        <v>1.372766666666667</v>
      </c>
      <c r="D31" t="n">
        <v>1.0153</v>
      </c>
      <c r="E31" t="n">
        <v>0.3574666666666668</v>
      </c>
      <c r="F31" t="inlineStr">
        <is>
          <t>EIA</t>
        </is>
      </c>
      <c r="G31" t="n">
        <v>461.639</v>
      </c>
      <c r="H31" t="inlineStr">
        <is>
          <t>EIA</t>
        </is>
      </c>
      <c r="I31" t="n">
        <v>554.4829999999999</v>
      </c>
      <c r="J31" t="n">
        <v>83.25575355781874</v>
      </c>
    </row>
    <row r="32">
      <c r="A32" t="n">
        <v>30</v>
      </c>
      <c r="B32" s="3" t="n">
        <v>45108</v>
      </c>
      <c r="C32" t="n">
        <v>0.9224516129032259</v>
      </c>
      <c r="D32" t="n">
        <v>1.486451612903226</v>
      </c>
      <c r="E32" t="n">
        <v>-0.5640000000000001</v>
      </c>
      <c r="F32" t="inlineStr">
        <is>
          <t>EIA</t>
        </is>
      </c>
      <c r="G32" t="n">
        <v>444.124</v>
      </c>
      <c r="H32" t="inlineStr">
        <is>
          <t>EIA</t>
        </is>
      </c>
      <c r="I32" t="n">
        <v>554.4829999999999</v>
      </c>
      <c r="J32" t="n">
        <v>80.09695518167375</v>
      </c>
    </row>
    <row r="33">
      <c r="A33" t="n">
        <v>31</v>
      </c>
      <c r="B33" s="3" t="n">
        <v>45139</v>
      </c>
      <c r="C33" t="n">
        <v>1.958129032258065</v>
      </c>
      <c r="D33" t="n">
        <v>3.372032258064516</v>
      </c>
      <c r="E33" t="n">
        <v>-1.413903225806451</v>
      </c>
      <c r="F33" t="inlineStr">
        <is>
          <t>EIA</t>
        </is>
      </c>
      <c r="G33" t="n">
        <v>401.143</v>
      </c>
      <c r="H33" t="inlineStr">
        <is>
          <t>EIA</t>
        </is>
      </c>
      <c r="I33" t="n">
        <v>554.4829999999999</v>
      </c>
      <c r="J33" t="n">
        <v>72.34541004863991</v>
      </c>
    </row>
    <row r="34">
      <c r="A34" t="n">
        <v>32</v>
      </c>
      <c r="B34" s="3" t="n">
        <v>45170</v>
      </c>
      <c r="C34" t="n">
        <v>3.023566666666667</v>
      </c>
      <c r="D34" t="n">
        <v>2.7875</v>
      </c>
      <c r="E34" t="n">
        <v>0.2360666666666664</v>
      </c>
      <c r="F34" t="inlineStr">
        <is>
          <t>EIA</t>
        </is>
      </c>
      <c r="G34" t="n">
        <v>408.178</v>
      </c>
      <c r="H34" t="inlineStr">
        <is>
          <t>EIA</t>
        </is>
      </c>
      <c r="I34" t="n">
        <v>554.4829999999999</v>
      </c>
      <c r="J34" t="n">
        <v>73.61415949632361</v>
      </c>
    </row>
    <row r="35">
      <c r="A35" t="n">
        <v>33</v>
      </c>
      <c r="B35" s="3" t="n">
        <v>45200</v>
      </c>
      <c r="C35" t="n">
        <v>2.598548387096774</v>
      </c>
      <c r="D35" t="n">
        <v>1.050774193548387</v>
      </c>
      <c r="E35" t="n">
        <v>1.547774193548387</v>
      </c>
      <c r="F35" t="inlineStr">
        <is>
          <t>EIA</t>
        </is>
      </c>
      <c r="G35" t="n">
        <v>453.602</v>
      </c>
      <c r="H35" t="inlineStr">
        <is>
          <t>EIA</t>
        </is>
      </c>
      <c r="I35" t="n">
        <v>554.4829999999999</v>
      </c>
      <c r="J35" t="n">
        <v>81.80629523357796</v>
      </c>
    </row>
    <row r="36">
      <c r="A36" t="n">
        <v>34</v>
      </c>
      <c r="B36" s="3" t="n">
        <v>45231</v>
      </c>
      <c r="C36" t="n">
        <v>1.747533333333333</v>
      </c>
      <c r="D36" t="n">
        <v>1.378966666666667</v>
      </c>
      <c r="E36" t="n">
        <v>0.3685666666666667</v>
      </c>
      <c r="F36" t="inlineStr">
        <is>
          <t>EIA</t>
        </is>
      </c>
      <c r="G36" t="n">
        <v>464.64</v>
      </c>
      <c r="H36" t="inlineStr">
        <is>
          <t>EIA</t>
        </is>
      </c>
      <c r="I36" t="n">
        <v>554.4829999999999</v>
      </c>
      <c r="J36" t="n">
        <v>83.79697844658899</v>
      </c>
    </row>
    <row r="37">
      <c r="A37" t="n">
        <v>35</v>
      </c>
      <c r="B37" s="3" t="n">
        <v>45261</v>
      </c>
      <c r="C37" t="n">
        <v>1.347290322580645</v>
      </c>
      <c r="D37" t="n">
        <v>1.436451612903226</v>
      </c>
      <c r="E37" t="n">
        <v>-0.08916129032258069</v>
      </c>
      <c r="F37" t="inlineStr">
        <is>
          <t>EIA</t>
        </is>
      </c>
      <c r="G37" t="n">
        <v>461.605</v>
      </c>
      <c r="H37" t="inlineStr">
        <is>
          <t>EIA</t>
        </is>
      </c>
      <c r="I37" t="n">
        <v>554.4829999999999</v>
      </c>
      <c r="J37" t="n">
        <v>83.24962171969204</v>
      </c>
    </row>
    <row r="38">
      <c r="A38" t="n">
        <v>36</v>
      </c>
      <c r="B38" s="3" t="n">
        <v>45292</v>
      </c>
      <c r="C38" t="n">
        <v>0.917741935483871</v>
      </c>
      <c r="D38" t="n">
        <v>3.95441935483871</v>
      </c>
      <c r="E38" t="n">
        <v>-3.036677419354839</v>
      </c>
      <c r="F38" t="inlineStr">
        <is>
          <t>EIA</t>
        </is>
      </c>
      <c r="G38" t="n">
        <v>367.458</v>
      </c>
      <c r="H38" t="inlineStr">
        <is>
          <t>EIA</t>
        </is>
      </c>
      <c r="I38" t="n">
        <v>563.188</v>
      </c>
      <c r="J38" t="n">
        <v>65.24606348146624</v>
      </c>
    </row>
    <row r="39">
      <c r="A39" t="n">
        <v>37</v>
      </c>
      <c r="B39" s="3" t="n">
        <v>45323</v>
      </c>
      <c r="C39" t="n">
        <v>2.00796551724138</v>
      </c>
      <c r="D39" t="n">
        <v>1.601103448275862</v>
      </c>
      <c r="E39" t="n">
        <v>0.4068620689655174</v>
      </c>
      <c r="F39" t="inlineStr">
        <is>
          <t>EIA</t>
        </is>
      </c>
      <c r="G39" t="n">
        <v>379.941</v>
      </c>
      <c r="H39" t="inlineStr">
        <is>
          <t>EIA</t>
        </is>
      </c>
      <c r="I39" t="n">
        <v>563.188</v>
      </c>
      <c r="J39" t="n">
        <v>67.46255246915773</v>
      </c>
    </row>
    <row r="40">
      <c r="A40" t="n">
        <v>38</v>
      </c>
      <c r="B40" s="3" t="n">
        <v>45352</v>
      </c>
      <c r="C40" t="n">
        <v>2.315548387096774</v>
      </c>
      <c r="D40" t="n">
        <v>1.130161290322581</v>
      </c>
      <c r="E40" t="n">
        <v>1.185387096774194</v>
      </c>
      <c r="F40" t="inlineStr">
        <is>
          <t>EIA</t>
        </is>
      </c>
      <c r="G40" t="n">
        <v>419.212</v>
      </c>
      <c r="H40" t="inlineStr">
        <is>
          <t>EIA</t>
        </is>
      </c>
      <c r="I40" t="n">
        <v>563.188</v>
      </c>
      <c r="J40" t="n">
        <v>74.43553484804364</v>
      </c>
    </row>
    <row r="41">
      <c r="A41" t="n">
        <v>39</v>
      </c>
      <c r="B41" s="3" t="n">
        <v>45383</v>
      </c>
      <c r="C41" t="n">
        <v>2.3053</v>
      </c>
      <c r="D41" t="n">
        <v>1.326766666666667</v>
      </c>
      <c r="E41" t="n">
        <v>0.9785333333333337</v>
      </c>
      <c r="F41" t="inlineStr">
        <is>
          <t>EIA</t>
        </is>
      </c>
      <c r="G41" t="n">
        <v>448.511</v>
      </c>
      <c r="H41" t="inlineStr">
        <is>
          <t>EIA</t>
        </is>
      </c>
      <c r="I41" t="n">
        <v>563.188</v>
      </c>
      <c r="J41" t="n">
        <v>79.637882909437</v>
      </c>
    </row>
    <row r="42">
      <c r="A42" t="n">
        <v>40</v>
      </c>
      <c r="B42" s="3" t="n">
        <v>45413</v>
      </c>
      <c r="C42" t="n">
        <v>1.905258064516129</v>
      </c>
      <c r="D42" t="n">
        <v>1.243225806451613</v>
      </c>
      <c r="E42" t="n">
        <v>0.6620322580645162</v>
      </c>
      <c r="F42" t="inlineStr">
        <is>
          <t>EIA</t>
        </is>
      </c>
      <c r="G42" t="n">
        <v>469.057</v>
      </c>
      <c r="H42" t="inlineStr">
        <is>
          <t>EIA</t>
        </is>
      </c>
      <c r="I42" t="n">
        <v>563.188</v>
      </c>
      <c r="J42" t="n">
        <v>83.28604302648495</v>
      </c>
    </row>
    <row r="43">
      <c r="A43" t="n">
        <v>41</v>
      </c>
      <c r="B43" s="3" t="n">
        <v>45444</v>
      </c>
      <c r="C43" t="n">
        <v>1.550366666666667</v>
      </c>
      <c r="D43" t="n">
        <v>1.3302</v>
      </c>
      <c r="E43" t="n">
        <v>0.2201666666666666</v>
      </c>
      <c r="F43" t="inlineStr">
        <is>
          <t>EIA</t>
        </is>
      </c>
      <c r="G43" t="n">
        <v>475.85</v>
      </c>
      <c r="H43" t="inlineStr">
        <is>
          <t>EIA</t>
        </is>
      </c>
      <c r="I43" t="n">
        <v>563.188</v>
      </c>
      <c r="J43" t="n">
        <v>84.49221219202114</v>
      </c>
    </row>
    <row r="44">
      <c r="A44" t="n">
        <v>42</v>
      </c>
      <c r="B44" s="3" t="n">
        <v>45474</v>
      </c>
      <c r="C44" t="n">
        <v>1.135903225806452</v>
      </c>
      <c r="D44" t="n">
        <v>1.670774193548387</v>
      </c>
      <c r="E44" t="n">
        <v>-0.5348709677419354</v>
      </c>
      <c r="F44" t="inlineStr">
        <is>
          <t>EIA</t>
        </is>
      </c>
      <c r="G44" t="n">
        <v>459.361</v>
      </c>
      <c r="H44" t="inlineStr">
        <is>
          <t>EIA</t>
        </is>
      </c>
      <c r="I44" t="n">
        <v>563.188</v>
      </c>
      <c r="J44" t="n">
        <v>81.56441543498796</v>
      </c>
    </row>
    <row r="45">
      <c r="A45" t="n">
        <v>43</v>
      </c>
      <c r="B45" s="3" t="n">
        <v>45505</v>
      </c>
      <c r="C45" t="n">
        <v>1.875322580645161</v>
      </c>
      <c r="D45" t="n">
        <v>3.474741935483871</v>
      </c>
      <c r="E45" t="n">
        <v>-1.599419354838709</v>
      </c>
      <c r="F45" t="inlineStr">
        <is>
          <t>EIA</t>
        </is>
      </c>
      <c r="G45" t="n">
        <v>408.159</v>
      </c>
      <c r="H45" t="inlineStr">
        <is>
          <t>EIA</t>
        </is>
      </c>
      <c r="I45" t="n">
        <v>563.188</v>
      </c>
      <c r="J45" t="n">
        <v>72.47295752040172</v>
      </c>
    </row>
    <row r="46">
      <c r="A46" t="n">
        <v>44</v>
      </c>
      <c r="B46" s="3" t="n">
        <v>45536</v>
      </c>
      <c r="C46" t="n">
        <v>2.5233</v>
      </c>
      <c r="D46" t="n">
        <v>2.227366666666667</v>
      </c>
      <c r="E46" t="n">
        <v>0.2959333333333336</v>
      </c>
      <c r="F46" t="inlineStr">
        <is>
          <t>EIA</t>
        </is>
      </c>
      <c r="G46" t="n">
        <v>415.999</v>
      </c>
      <c r="H46" t="inlineStr">
        <is>
          <t>EIA</t>
        </is>
      </c>
      <c r="I46" t="n">
        <v>563.188</v>
      </c>
      <c r="J46" t="n">
        <v>73.86503263563856</v>
      </c>
    </row>
    <row r="47">
      <c r="A47" t="n">
        <v>45</v>
      </c>
      <c r="B47" s="3" t="n">
        <v>45566</v>
      </c>
      <c r="C47" t="n">
        <v>2.784935483870968</v>
      </c>
      <c r="D47" t="n">
        <v>0.9893548387096774</v>
      </c>
      <c r="E47" t="n">
        <v>1.79558064516129</v>
      </c>
      <c r="F47" t="inlineStr">
        <is>
          <t>EIA</t>
        </is>
      </c>
      <c r="G47" t="n">
        <v>471.529</v>
      </c>
      <c r="H47" t="inlineStr">
        <is>
          <t>EIA</t>
        </is>
      </c>
      <c r="I47" t="n">
        <v>563.188</v>
      </c>
      <c r="J47" t="n">
        <v>83.72497283322798</v>
      </c>
    </row>
    <row r="48">
      <c r="A48" t="n">
        <v>46</v>
      </c>
      <c r="B48" s="3" t="n">
        <v>45597</v>
      </c>
      <c r="C48" t="n">
        <v>1.816766666666667</v>
      </c>
      <c r="D48" t="n">
        <v>1.256833333333333</v>
      </c>
      <c r="E48" t="n">
        <v>0.5599333333333334</v>
      </c>
      <c r="F48" t="inlineStr">
        <is>
          <t>EIA</t>
        </is>
      </c>
      <c r="G48" t="n">
        <v>487.899</v>
      </c>
      <c r="H48" t="inlineStr">
        <is>
          <t>EIA</t>
        </is>
      </c>
      <c r="I48" t="n">
        <v>563.188</v>
      </c>
      <c r="J48" t="n">
        <v>86.63163987869061</v>
      </c>
    </row>
    <row r="49">
      <c r="A49" t="n">
        <v>47</v>
      </c>
      <c r="B49" s="3" t="n">
        <v>45627</v>
      </c>
      <c r="C49" t="n">
        <v>1.449032258064516</v>
      </c>
      <c r="D49" t="n">
        <v>1.874064516129032</v>
      </c>
      <c r="E49" t="n">
        <v>-0.4250322580645161</v>
      </c>
      <c r="F49" t="inlineStr">
        <is>
          <t>EIA</t>
        </is>
      </c>
      <c r="G49" t="n">
        <v>473.928</v>
      </c>
      <c r="H49" t="inlineStr">
        <is>
          <t>EIA</t>
        </is>
      </c>
      <c r="I49" t="n">
        <v>563.188</v>
      </c>
      <c r="J49" t="n">
        <v>84.15094071606639</v>
      </c>
    </row>
    <row r="50">
      <c r="A50" t="n">
        <v>48</v>
      </c>
      <c r="B50" s="3" t="n">
        <v>45658</v>
      </c>
      <c r="C50" t="n">
        <v>1.033096774193548</v>
      </c>
      <c r="D50" t="n">
        <v>4.680032258064516</v>
      </c>
      <c r="E50" t="n">
        <v>-3.646935483870968</v>
      </c>
      <c r="F50" t="inlineStr">
        <is>
          <t>EIA</t>
        </is>
      </c>
      <c r="G50" t="n">
        <v>358.838</v>
      </c>
      <c r="H50" t="inlineStr">
        <is>
          <t>EIA</t>
        </is>
      </c>
      <c r="I50" t="n">
        <v>563.188</v>
      </c>
      <c r="J50" t="n">
        <v>63.71549109711145</v>
      </c>
    </row>
    <row r="51">
      <c r="A51" t="n">
        <v>49</v>
      </c>
      <c r="B51" s="3" t="n">
        <v>45689</v>
      </c>
      <c r="C51" t="n">
        <v>1.292535714285714</v>
      </c>
      <c r="D51" t="n">
        <v>4.061928571428572</v>
      </c>
      <c r="E51" t="n">
        <v>-2.769392857142858</v>
      </c>
      <c r="F51" t="inlineStr">
        <is>
          <t>EIA</t>
        </is>
      </c>
      <c r="G51" t="n">
        <v>281.412</v>
      </c>
      <c r="H51" t="inlineStr">
        <is>
          <t>EIA</t>
        </is>
      </c>
      <c r="I51" t="n">
        <v>563.188</v>
      </c>
      <c r="J51" t="n">
        <v>49.96768397053914</v>
      </c>
    </row>
    <row r="52">
      <c r="A52" t="n">
        <v>50</v>
      </c>
      <c r="B52" s="3" t="n">
        <v>45717</v>
      </c>
      <c r="C52" t="n">
        <v>2.661516129032258</v>
      </c>
      <c r="D52" t="n">
        <v>1.247129032258065</v>
      </c>
      <c r="E52" t="n">
        <v>1.414387096774193</v>
      </c>
      <c r="F52" t="inlineStr">
        <is>
          <t>EIA</t>
        </is>
      </c>
      <c r="G52" t="n">
        <v>325.574</v>
      </c>
      <c r="H52" t="inlineStr">
        <is>
          <t>EIA</t>
        </is>
      </c>
      <c r="I52" t="n">
        <v>563.188</v>
      </c>
      <c r="J52" t="n">
        <v>57.80911525103518</v>
      </c>
    </row>
    <row r="53">
      <c r="A53" t="n">
        <v>51</v>
      </c>
      <c r="B53" s="3" t="n">
        <v>45748</v>
      </c>
      <c r="C53" t="n">
        <v>2.422766666666667</v>
      </c>
      <c r="D53" t="n">
        <v>1.021366666666667</v>
      </c>
      <c r="E53" t="n">
        <v>1.4014</v>
      </c>
      <c r="F53" t="inlineStr">
        <is>
          <t>EIA</t>
        </is>
      </c>
      <c r="G53" t="n">
        <v>367.289</v>
      </c>
      <c r="H53" t="inlineStr">
        <is>
          <t>EIA</t>
        </is>
      </c>
      <c r="I53" t="n">
        <v>563.188</v>
      </c>
      <c r="J53" t="n">
        <v>65.216055739824</v>
      </c>
    </row>
    <row r="54">
      <c r="A54" t="n">
        <v>52</v>
      </c>
      <c r="B54" s="3" t="n">
        <v>45778</v>
      </c>
      <c r="C54" t="n">
        <v>2.441677419354839</v>
      </c>
      <c r="D54" t="n">
        <v>0.8430322580645161</v>
      </c>
      <c r="E54" t="n">
        <v>1.598645161290323</v>
      </c>
      <c r="F54" t="inlineStr">
        <is>
          <t>EIA</t>
        </is>
      </c>
      <c r="G54" t="n">
        <v>416.461</v>
      </c>
      <c r="H54" t="inlineStr">
        <is>
          <t>EIA</t>
        </is>
      </c>
      <c r="I54" t="n">
        <v>563.188</v>
      </c>
      <c r="J54" t="n">
        <v>73.94706563350071</v>
      </c>
    </row>
    <row r="55">
      <c r="A55" t="n">
        <v>53</v>
      </c>
      <c r="B55" s="3" t="n">
        <v>45809</v>
      </c>
      <c r="C55" t="n">
        <v>2.011666666666667</v>
      </c>
      <c r="D55" t="n">
        <v>0.7972</v>
      </c>
      <c r="E55" t="n">
        <v>1.214466666666667</v>
      </c>
      <c r="F55" t="inlineStr">
        <is>
          <t>EIA</t>
        </is>
      </c>
      <c r="G55" t="n">
        <v>452.267</v>
      </c>
      <c r="H55" t="inlineStr">
        <is>
          <t>EIA</t>
        </is>
      </c>
      <c r="I55" t="n">
        <v>563.188</v>
      </c>
      <c r="J55" t="n">
        <v>80.30480052842034</v>
      </c>
    </row>
    <row r="56">
      <c r="A56" t="n">
        <v>54</v>
      </c>
      <c r="B56" s="3" t="n">
        <v>45839</v>
      </c>
      <c r="C56" t="n">
        <v>1.676290322580645</v>
      </c>
      <c r="D56" t="n">
        <v>1.450903225806452</v>
      </c>
      <c r="E56" t="n">
        <v>0.2253870967741936</v>
      </c>
      <c r="F56" t="inlineStr">
        <is>
          <t>EIA</t>
        </is>
      </c>
      <c r="G56" t="n">
        <v>458.453</v>
      </c>
      <c r="H56" t="inlineStr">
        <is>
          <t>EIA</t>
        </is>
      </c>
      <c r="I56" t="n">
        <v>563.188</v>
      </c>
      <c r="J56" t="n">
        <v>81.40319040888654</v>
      </c>
    </row>
    <row r="57">
      <c r="A57" t="n">
        <v>55</v>
      </c>
      <c r="B57" s="3" t="n">
        <v>45870</v>
      </c>
      <c r="C57" t="n">
        <v>1.391838709677419</v>
      </c>
      <c r="D57" t="n">
        <v>1.803870967741935</v>
      </c>
      <c r="E57" t="n">
        <v>-0.4120322580645162</v>
      </c>
      <c r="F57" t="inlineStr">
        <is>
          <t>EIA</t>
        </is>
      </c>
      <c r="G57" t="n">
        <v>445.611</v>
      </c>
      <c r="H57" t="inlineStr">
        <is>
          <t>EIA</t>
        </is>
      </c>
      <c r="I57" t="n">
        <v>563.188</v>
      </c>
      <c r="J57" t="n">
        <v>79.12295716528051</v>
      </c>
    </row>
    <row r="58">
      <c r="A58" t="n">
        <v>56</v>
      </c>
      <c r="B58" s="3" t="n">
        <v>45901</v>
      </c>
      <c r="C58" t="n">
        <v>1.689533333333333</v>
      </c>
      <c r="D58" t="n">
        <v>1.2997</v>
      </c>
      <c r="E58" t="n">
        <v>0.3898333333333333</v>
      </c>
      <c r="F58" t="inlineStr">
        <is>
          <t>EIA</t>
        </is>
      </c>
      <c r="G58" t="n">
        <v>456.882</v>
      </c>
      <c r="H58" t="inlineStr">
        <is>
          <t>EIA</t>
        </is>
      </c>
      <c r="I58" t="n">
        <v>563.188</v>
      </c>
      <c r="J58" t="n">
        <v>81.12424270403488</v>
      </c>
    </row>
    <row r="59">
      <c r="A59" t="n">
        <v>57</v>
      </c>
      <c r="B59" s="3" t="n">
        <v>45931</v>
      </c>
      <c r="C59" t="n">
        <v>2.187</v>
      </c>
      <c r="D59" t="n">
        <v>1.130225806451613</v>
      </c>
      <c r="E59" t="n">
        <v>1.056774193548387</v>
      </c>
      <c r="F59" t="inlineStr">
        <is>
          <t>EIA</t>
        </is>
      </c>
      <c r="G59" t="n">
        <v>488.923</v>
      </c>
      <c r="H59" t="inlineStr">
        <is>
          <t>EIA</t>
        </is>
      </c>
      <c r="I59" t="n">
        <v>563.188</v>
      </c>
      <c r="J59" t="n">
        <v>86.81346193455826</v>
      </c>
    </row>
    <row r="60">
      <c r="A60" t="n">
        <v>58</v>
      </c>
      <c r="B60" s="3" t="n">
        <v>45962</v>
      </c>
      <c r="C60" t="n">
        <v>2.081066666666667</v>
      </c>
      <c r="D60" t="n">
        <v>1.227233333333333</v>
      </c>
      <c r="E60" t="n">
        <v>0.8538333333333332</v>
      </c>
      <c r="F60" t="inlineStr">
        <is>
          <t>EIA</t>
        </is>
      </c>
      <c r="G60" t="n">
        <v>515.843</v>
      </c>
      <c r="H60" t="inlineStr">
        <is>
          <t>EIA</t>
        </is>
      </c>
      <c r="I60" t="n">
        <v>563.188</v>
      </c>
      <c r="J60" t="n">
        <v>91.59339332514188</v>
      </c>
    </row>
    <row r="61">
      <c r="A61" t="n">
        <v>59</v>
      </c>
      <c r="B61" s="3" t="n">
        <v>45992</v>
      </c>
      <c r="C61" t="n">
        <v>1.341290322580645</v>
      </c>
      <c r="D61" t="n">
        <v>3.165806451612903</v>
      </c>
      <c r="E61" t="n">
        <v>-1.824516129032258</v>
      </c>
      <c r="F61" t="inlineStr">
        <is>
          <t>EIA</t>
        </is>
      </c>
      <c r="G61" t="n">
        <v>458.395</v>
      </c>
      <c r="H61" t="inlineStr">
        <is>
          <t>EIA</t>
        </is>
      </c>
      <c r="I61" t="n">
        <v>563.188</v>
      </c>
      <c r="J61" t="n">
        <v>81.39289189400343</v>
      </c>
    </row>
    <row r="62">
      <c r="A62" t="n">
        <v>60</v>
      </c>
      <c r="B62" s="3" t="n">
        <v>46023</v>
      </c>
      <c r="C62" t="n">
        <v>1.035096774193548</v>
      </c>
      <c r="D62" t="n">
        <v>4.671580645161291</v>
      </c>
      <c r="E62" t="n">
        <v>-3.636483870967743</v>
      </c>
      <c r="F62" t="inlineStr">
        <is>
          <t>EIA</t>
        </is>
      </c>
      <c r="G62" t="n">
        <v>347.764</v>
      </c>
      <c r="H62" t="inlineStr">
        <is>
          <t>EIA</t>
        </is>
      </c>
      <c r="I62" t="n">
        <v>563.188</v>
      </c>
      <c r="J62" t="n">
        <v>61.74918499683942</v>
      </c>
    </row>
    <row r="63">
      <c r="A63" t="n">
        <v>61</v>
      </c>
      <c r="B63" s="3" t="n">
        <v>46054</v>
      </c>
      <c r="C63" t="n">
        <v>1.613321428571429</v>
      </c>
      <c r="D63" t="n">
        <v>2.895678571428572</v>
      </c>
      <c r="E63" t="n">
        <v>-1.282357142857143</v>
      </c>
      <c r="F63" t="inlineStr">
        <is>
          <t>EIA</t>
        </is>
      </c>
      <c r="G63" t="n">
        <v>311.856</v>
      </c>
      <c r="H63" t="inlineStr">
        <is>
          <t>EIA</t>
        </is>
      </c>
      <c r="I63" t="n">
        <v>563.188</v>
      </c>
      <c r="J63" t="n">
        <v>55.37333892057359</v>
      </c>
    </row>
    <row r="64">
      <c r="A64" t="n">
        <v>62</v>
      </c>
      <c r="B64" s="3" t="n">
        <v>46082</v>
      </c>
      <c r="C64" t="n">
        <v>2.199451612903226</v>
      </c>
      <c r="D64" t="n">
        <v>1.184516129032258</v>
      </c>
      <c r="E64" t="n">
        <v>1.014935483870968</v>
      </c>
      <c r="F64" t="inlineStr">
        <is>
          <t>EIA</t>
        </is>
      </c>
      <c r="G64" t="n">
        <v>341.7</v>
      </c>
      <c r="H64" t="inlineStr">
        <is>
          <t>EIA</t>
        </is>
      </c>
      <c r="I64" t="n">
        <v>563.188</v>
      </c>
      <c r="J64" t="n">
        <v>60.67245750974808</v>
      </c>
    </row>
    <row r="65">
      <c r="A65" t="n">
        <v>63</v>
      </c>
      <c r="B65" s="3" t="n">
        <v>46113</v>
      </c>
      <c r="C65" t="n">
        <v>2.0877</v>
      </c>
      <c r="D65" t="n">
        <v>1.130866666666666</v>
      </c>
      <c r="E65" t="n">
        <v>0.9568333333333334</v>
      </c>
      <c r="F65" t="inlineStr">
        <is>
          <t>EIA</t>
        </is>
      </c>
      <c r="G65" t="n">
        <v>370.631</v>
      </c>
      <c r="H65" t="inlineStr">
        <is>
          <t>EIA</t>
        </is>
      </c>
      <c r="I65" t="n">
        <v>563.188</v>
      </c>
      <c r="J65" t="n">
        <v>65.80946326981399</v>
      </c>
    </row>
    <row r="66">
      <c r="A66" t="n">
        <v>64</v>
      </c>
      <c r="B66" s="3" t="n">
        <v>46143</v>
      </c>
      <c r="C66" t="n">
        <v>2.190806451612903</v>
      </c>
      <c r="D66" t="n">
        <v>1.282838709677419</v>
      </c>
      <c r="E66" t="n">
        <v>0.9079677419354841</v>
      </c>
      <c r="F66" t="inlineStr">
        <is>
          <t>EIA</t>
        </is>
      </c>
      <c r="G66" t="n">
        <v>398.667</v>
      </c>
      <c r="H66" t="inlineStr">
        <is>
          <t>EIA</t>
        </is>
      </c>
      <c r="I66" t="n">
        <v>563.188</v>
      </c>
      <c r="J66" t="n">
        <v>70.78755229159712</v>
      </c>
    </row>
    <row r="67">
      <c r="A67" t="n">
        <v>65</v>
      </c>
      <c r="B67" s="3" t="n">
        <v>46174</v>
      </c>
      <c r="C67" t="n">
        <v>1.944366666666667</v>
      </c>
      <c r="D67" t="n">
        <v>1.320233333333333</v>
      </c>
      <c r="E67" t="n">
        <v>0.6241333333333332</v>
      </c>
      <c r="F67" t="inlineStr">
        <is>
          <t>EIA</t>
        </is>
      </c>
      <c r="G67" t="n">
        <v>417.361</v>
      </c>
      <c r="H67" t="inlineStr">
        <is>
          <t>EIA</t>
        </is>
      </c>
      <c r="I67" t="n">
        <v>563.188</v>
      </c>
      <c r="J67" t="n">
        <v>74.10687017479066</v>
      </c>
    </row>
    <row r="68">
      <c r="A68" t="n">
        <v>66</v>
      </c>
      <c r="B68" s="3" t="n">
        <v>46204</v>
      </c>
      <c r="C68" t="n">
        <v>1.523032258064516</v>
      </c>
      <c r="D68" t="n">
        <v>1.442483870967742</v>
      </c>
      <c r="E68" t="n">
        <v>0.08054838709677425</v>
      </c>
      <c r="F68" t="inlineStr">
        <is>
          <t>EIA</t>
        </is>
      </c>
      <c r="G68" t="n">
        <v>420.105</v>
      </c>
      <c r="H68" t="inlineStr">
        <is>
          <t>EIA</t>
        </is>
      </c>
      <c r="I68" t="n">
        <v>563.188</v>
      </c>
      <c r="J68" t="n">
        <v>74.59409646512356</v>
      </c>
    </row>
    <row r="69">
      <c r="A69" t="n">
        <v>67</v>
      </c>
      <c r="B69" s="3" t="n">
        <v>46235</v>
      </c>
      <c r="C69" t="n">
        <v>1.741763440860215</v>
      </c>
      <c r="D69" t="n">
        <v>2.883548387096774</v>
      </c>
      <c r="E69" t="n">
        <v>-1.141784946236559</v>
      </c>
      <c r="F69" t="inlineStr">
        <is>
          <t>seasonal pattern of Aug/23-Jul/26</t>
        </is>
      </c>
      <c r="G69" t="n">
        <v>384.7096666666667</v>
      </c>
      <c r="H69" t="inlineStr">
        <is>
          <t>projected from net injection</t>
        </is>
      </c>
      <c r="I69" t="n">
        <v>563.188</v>
      </c>
      <c r="J69" t="n">
        <v>68.30927979052585</v>
      </c>
    </row>
    <row r="70">
      <c r="A70" t="n">
        <v>68</v>
      </c>
      <c r="B70" s="3" t="n">
        <v>46266</v>
      </c>
      <c r="C70" t="n">
        <v>2.412133333333333</v>
      </c>
      <c r="D70" t="n">
        <v>2.104855555555555</v>
      </c>
      <c r="E70" t="n">
        <v>0.3072777777777778</v>
      </c>
      <c r="F70" t="inlineStr">
        <is>
          <t>seasonal pattern of Aug/23-Jul/26</t>
        </is>
      </c>
      <c r="G70" t="n">
        <v>393.928</v>
      </c>
      <c r="H70" t="inlineStr">
        <is>
          <t>projected from net injection</t>
        </is>
      </c>
      <c r="I70" t="n">
        <v>563.188</v>
      </c>
      <c r="J70" t="n">
        <v>69.94609260140486</v>
      </c>
    </row>
    <row r="71">
      <c r="A71" t="n">
        <v>69</v>
      </c>
      <c r="B71" s="3" t="n">
        <v>46296</v>
      </c>
      <c r="C71" t="n">
        <v>2.523494623655914</v>
      </c>
      <c r="D71" t="n">
        <v>1.056784946236559</v>
      </c>
      <c r="E71" t="n">
        <v>1.466709677419355</v>
      </c>
      <c r="F71" t="inlineStr">
        <is>
          <t>seasonal pattern of Aug/23-Jul/26</t>
        </is>
      </c>
      <c r="G71" t="n">
        <v>439.396</v>
      </c>
      <c r="H71" t="inlineStr">
        <is>
          <t>projected from net injection</t>
        </is>
      </c>
      <c r="I71" t="n">
        <v>563.188</v>
      </c>
      <c r="J71" t="n">
        <v>78.01941802737275</v>
      </c>
    </row>
    <row r="72">
      <c r="A72" t="n">
        <v>70</v>
      </c>
      <c r="B72" s="3" t="n">
        <v>46327</v>
      </c>
      <c r="C72" t="n">
        <v>1.881788888888889</v>
      </c>
      <c r="D72" t="n">
        <v>1.287677777777778</v>
      </c>
      <c r="E72" t="n">
        <v>0.5941111111111113</v>
      </c>
      <c r="F72" t="inlineStr">
        <is>
          <t>seasonal pattern of Aug/23-Jul/26</t>
        </is>
      </c>
      <c r="G72" t="n">
        <v>457.2193333333333</v>
      </c>
      <c r="H72" t="inlineStr">
        <is>
          <t>projected from net injection</t>
        </is>
      </c>
      <c r="I72" t="n">
        <v>563.188</v>
      </c>
      <c r="J72" t="n">
        <v>81.18413981358505</v>
      </c>
    </row>
    <row r="73">
      <c r="A73" t="n">
        <v>71</v>
      </c>
      <c r="B73" s="3" t="n">
        <v>46357</v>
      </c>
      <c r="C73" t="n">
        <v>1.379204301075269</v>
      </c>
      <c r="D73" t="n">
        <v>2.158774193548387</v>
      </c>
      <c r="E73" t="n">
        <v>-0.7795698924731187</v>
      </c>
      <c r="F73" t="inlineStr">
        <is>
          <t>seasonal pattern of Aug/23-Jul/26</t>
        </is>
      </c>
      <c r="G73" t="n">
        <v>433.0526666666667</v>
      </c>
      <c r="H73" t="inlineStr">
        <is>
          <t>projected from net injection</t>
        </is>
      </c>
      <c r="I73" t="n">
        <v>563.188</v>
      </c>
      <c r="J73" t="n">
        <v>76.89309194561437</v>
      </c>
    </row>
    <row r="74">
      <c r="A74" t="n">
        <v>72</v>
      </c>
      <c r="B74" s="3" t="n">
        <v>46388</v>
      </c>
      <c r="C74" t="n">
        <v>0.9953118279569892</v>
      </c>
      <c r="D74" t="n">
        <v>4.435344086021505</v>
      </c>
      <c r="E74" t="n">
        <v>-3.440032258064516</v>
      </c>
      <c r="F74" t="inlineStr">
        <is>
          <t>seasonal pattern of Aug/23-Jul/26</t>
        </is>
      </c>
      <c r="G74" t="n">
        <v>326.4116666666666</v>
      </c>
      <c r="H74" t="inlineStr">
        <is>
          <t>projected from net injection</t>
        </is>
      </c>
      <c r="I74" t="n">
        <v>563.188</v>
      </c>
      <c r="J74" t="n">
        <v>57.95785184816911</v>
      </c>
    </row>
    <row r="75">
      <c r="A75" t="n">
        <v>73</v>
      </c>
      <c r="B75" s="3" t="n">
        <v>46419</v>
      </c>
      <c r="C75" t="n">
        <v>1.637940886699507</v>
      </c>
      <c r="D75" t="n">
        <v>2.852903530377668</v>
      </c>
      <c r="E75" t="n">
        <v>-1.214962643678161</v>
      </c>
      <c r="F75" t="inlineStr">
        <is>
          <t>seasonal pattern of Aug/23-Jul/26</t>
        </is>
      </c>
      <c r="G75" t="n">
        <v>292.3927126436781</v>
      </c>
      <c r="H75" t="inlineStr">
        <is>
          <t>projected from net injection</t>
        </is>
      </c>
      <c r="I75" t="n">
        <v>563.188</v>
      </c>
      <c r="J75" t="n">
        <v>51.91742591171654</v>
      </c>
    </row>
    <row r="76">
      <c r="A76" t="n">
        <v>74</v>
      </c>
      <c r="B76" s="3" t="n">
        <v>46447</v>
      </c>
      <c r="C76" t="n">
        <v>2.392172043010753</v>
      </c>
      <c r="D76" t="n">
        <v>1.187268817204301</v>
      </c>
      <c r="E76" t="n">
        <v>1.204903225806452</v>
      </c>
      <c r="F76" t="inlineStr">
        <is>
          <t>seasonal pattern of Aug/23-Jul/26</t>
        </is>
      </c>
      <c r="G76" t="n">
        <v>329.7447126436781</v>
      </c>
      <c r="H76" t="inlineStr">
        <is>
          <t>projected from net injection</t>
        </is>
      </c>
      <c r="I76" t="n">
        <v>563.188</v>
      </c>
      <c r="J76" t="n">
        <v>58.549669496452</v>
      </c>
    </row>
    <row r="77">
      <c r="A77" t="n">
        <v>75</v>
      </c>
      <c r="B77" s="3" t="n">
        <v>46478</v>
      </c>
      <c r="C77" t="n">
        <v>2.271922222222222</v>
      </c>
      <c r="D77" t="n">
        <v>1.159666666666667</v>
      </c>
      <c r="E77" t="n">
        <v>1.112255555555556</v>
      </c>
      <c r="F77" t="inlineStr">
        <is>
          <t>seasonal pattern of Aug/23-Jul/26</t>
        </is>
      </c>
      <c r="G77" t="n">
        <v>363.1123793103447</v>
      </c>
      <c r="H77" t="inlineStr">
        <is>
          <t>projected from net injection</t>
        </is>
      </c>
      <c r="I77" t="n">
        <v>563.188</v>
      </c>
      <c r="J77" t="n">
        <v>64.47445245821018</v>
      </c>
    </row>
    <row r="78">
      <c r="A78" t="n">
        <v>76</v>
      </c>
      <c r="B78" s="3" t="n">
        <v>46508</v>
      </c>
      <c r="C78" t="n">
        <v>2.179247311827957</v>
      </c>
      <c r="D78" t="n">
        <v>1.123032258064516</v>
      </c>
      <c r="E78" t="n">
        <v>1.056215053763441</v>
      </c>
      <c r="F78" t="inlineStr">
        <is>
          <t>seasonal pattern of Aug/23-Jul/26</t>
        </is>
      </c>
      <c r="G78" t="n">
        <v>395.8550459770114</v>
      </c>
      <c r="H78" t="inlineStr">
        <is>
          <t>projected from net injection</t>
        </is>
      </c>
      <c r="I78" t="n">
        <v>563.188</v>
      </c>
      <c r="J78" t="n">
        <v>70.28826004407257</v>
      </c>
    </row>
    <row r="79">
      <c r="A79" t="n">
        <v>77</v>
      </c>
      <c r="B79" s="3" t="n">
        <v>46539</v>
      </c>
      <c r="C79" t="n">
        <v>1.835466666666667</v>
      </c>
      <c r="D79" t="n">
        <v>1.149211111111111</v>
      </c>
      <c r="E79" t="n">
        <v>0.6862555555555556</v>
      </c>
      <c r="F79" t="inlineStr">
        <is>
          <t>seasonal pattern of Aug/23-Jul/26</t>
        </is>
      </c>
      <c r="G79" t="n">
        <v>416.4427126436781</v>
      </c>
      <c r="H79" t="inlineStr">
        <is>
          <t>projected from net injection</t>
        </is>
      </c>
      <c r="I79" t="n">
        <v>563.188</v>
      </c>
      <c r="J79" t="n">
        <v>73.94381851951357</v>
      </c>
    </row>
    <row r="80">
      <c r="A80" t="n">
        <v>78</v>
      </c>
      <c r="B80" s="3" t="n">
        <v>46569</v>
      </c>
      <c r="C80" t="n">
        <v>1.445075268817204</v>
      </c>
      <c r="D80" t="n">
        <v>1.521387096774194</v>
      </c>
      <c r="E80" t="n">
        <v>-0.07631182795698943</v>
      </c>
      <c r="F80" t="inlineStr">
        <is>
          <t>seasonal pattern of Aug/23-Jul/26</t>
        </is>
      </c>
      <c r="G80" t="n">
        <v>414.0770459770114</v>
      </c>
      <c r="H80" t="inlineStr">
        <is>
          <t>projected from net injection</t>
        </is>
      </c>
      <c r="I80" t="n">
        <v>563.188</v>
      </c>
      <c r="J80" t="n">
        <v>73.5237693233896</v>
      </c>
    </row>
    <row r="81">
      <c r="A81" t="n">
        <v>79</v>
      </c>
      <c r="B81" s="3" t="n">
        <v>46600</v>
      </c>
      <c r="C81" t="n">
        <v>1.741763440860215</v>
      </c>
      <c r="D81" t="n">
        <v>2.883548387096774</v>
      </c>
      <c r="E81" t="n">
        <v>-1.141784946236559</v>
      </c>
      <c r="F81" t="inlineStr">
        <is>
          <t>seasonal pattern of Aug/23-Jul/26</t>
        </is>
      </c>
      <c r="G81" t="n">
        <v>378.6817126436781</v>
      </c>
      <c r="H81" t="inlineStr">
        <is>
          <t>projected from net injection</t>
        </is>
      </c>
      <c r="I81" t="n">
        <v>563.188</v>
      </c>
      <c r="J81" t="n">
        <v>67.23895264879188</v>
      </c>
    </row>
    <row r="82">
      <c r="A82" t="n">
        <v>80</v>
      </c>
      <c r="B82" s="3" t="n">
        <v>46631</v>
      </c>
      <c r="C82" t="n">
        <v>2.412133333333333</v>
      </c>
      <c r="D82" t="n">
        <v>2.104855555555555</v>
      </c>
      <c r="E82" t="n">
        <v>0.3072777777777778</v>
      </c>
      <c r="F82" t="inlineStr">
        <is>
          <t>seasonal pattern of Aug/23-Jul/26</t>
        </is>
      </c>
      <c r="G82" t="n">
        <v>387.9000459770114</v>
      </c>
      <c r="H82" t="inlineStr">
        <is>
          <t>projected from net injection</t>
        </is>
      </c>
      <c r="I82" t="n">
        <v>563.188</v>
      </c>
      <c r="J82" t="n">
        <v>68.8757654596709</v>
      </c>
    </row>
    <row r="83">
      <c r="A83" t="n">
        <v>81</v>
      </c>
      <c r="B83" s="3" t="n">
        <v>46661</v>
      </c>
      <c r="C83" t="n">
        <v>2.523494623655914</v>
      </c>
      <c r="D83" t="n">
        <v>1.056784946236559</v>
      </c>
      <c r="E83" t="n">
        <v>1.466709677419355</v>
      </c>
      <c r="F83" t="inlineStr">
        <is>
          <t>seasonal pattern of Aug/23-Jul/26</t>
        </is>
      </c>
      <c r="G83" t="n">
        <v>433.3680459770114</v>
      </c>
      <c r="H83" t="inlineStr">
        <is>
          <t>projected from net injection</t>
        </is>
      </c>
      <c r="I83" t="n">
        <v>563.188</v>
      </c>
      <c r="J83" t="n">
        <v>76.9490908856388</v>
      </c>
    </row>
    <row r="84">
      <c r="A84" t="n">
        <v>82</v>
      </c>
      <c r="B84" s="3" t="n">
        <v>46692</v>
      </c>
      <c r="C84" t="n">
        <v>1.881788888888889</v>
      </c>
      <c r="D84" t="n">
        <v>1.287677777777778</v>
      </c>
      <c r="E84" t="n">
        <v>0.5941111111111113</v>
      </c>
      <c r="F84" t="inlineStr">
        <is>
          <t>seasonal pattern of Aug/23-Jul/26</t>
        </is>
      </c>
      <c r="G84" t="n">
        <v>451.1913793103447</v>
      </c>
      <c r="H84" t="inlineStr">
        <is>
          <t>projected from net injection</t>
        </is>
      </c>
      <c r="I84" t="n">
        <v>563.188</v>
      </c>
      <c r="J84" t="n">
        <v>80.11381267185109</v>
      </c>
    </row>
    <row r="85">
      <c r="A85" t="n">
        <v>83</v>
      </c>
      <c r="B85" s="3" t="n">
        <v>46722</v>
      </c>
      <c r="C85" t="n">
        <v>1.379204301075269</v>
      </c>
      <c r="D85" t="n">
        <v>2.158774193548387</v>
      </c>
      <c r="E85" t="n">
        <v>-0.7795698924731187</v>
      </c>
      <c r="F85" t="inlineStr">
        <is>
          <t>seasonal pattern of Aug/23-Jul/26</t>
        </is>
      </c>
      <c r="G85" t="n">
        <v>427.024712643678</v>
      </c>
      <c r="H85" t="inlineStr">
        <is>
          <t>projected from net injection</t>
        </is>
      </c>
      <c r="I85" t="n">
        <v>563.188</v>
      </c>
      <c r="J85" t="n">
        <v>75.82276480388042</v>
      </c>
    </row>
    <row r="86">
      <c r="A86" t="n">
        <v>84</v>
      </c>
      <c r="B86" s="3" t="n">
        <v>46753</v>
      </c>
      <c r="C86" t="n">
        <v>0.9953118279569892</v>
      </c>
      <c r="D86" t="n">
        <v>4.435344086021505</v>
      </c>
      <c r="E86" t="n">
        <v>-3.440032258064516</v>
      </c>
      <c r="F86" t="inlineStr">
        <is>
          <t>seasonal pattern of Aug/23-Jul/26</t>
        </is>
      </c>
      <c r="G86" t="n">
        <v>320.383712643678</v>
      </c>
      <c r="H86" t="inlineStr">
        <is>
          <t>projected from net injection</t>
        </is>
      </c>
      <c r="I86" t="n">
        <v>563.188</v>
      </c>
      <c r="J86" t="n">
        <v>56.88752470643516</v>
      </c>
    </row>
    <row r="87">
      <c r="A87" t="n">
        <v>85</v>
      </c>
      <c r="B87" s="3" t="n">
        <v>46784</v>
      </c>
      <c r="C87" t="n">
        <v>1.637940886699507</v>
      </c>
      <c r="D87" t="n">
        <v>2.852903530377668</v>
      </c>
      <c r="E87" t="n">
        <v>-1.214962643678161</v>
      </c>
      <c r="F87" t="inlineStr">
        <is>
          <t>seasonal pattern of Aug/23-Jul/26</t>
        </is>
      </c>
      <c r="G87" t="n">
        <v>285.1497959770113</v>
      </c>
      <c r="H87" t="inlineStr">
        <is>
          <t>projected from net injection</t>
        </is>
      </c>
      <c r="I87" t="n">
        <v>563.188</v>
      </c>
      <c r="J87" t="n">
        <v>50.63136927225212</v>
      </c>
    </row>
    <row r="88">
      <c r="A88" t="n">
        <v>86</v>
      </c>
      <c r="B88" s="3" t="n">
        <v>46813</v>
      </c>
      <c r="C88" t="n">
        <v>2.392172043010753</v>
      </c>
      <c r="D88" t="n">
        <v>1.187268817204301</v>
      </c>
      <c r="E88" t="n">
        <v>1.204903225806452</v>
      </c>
      <c r="F88" t="inlineStr">
        <is>
          <t>seasonal pattern of Aug/23-Jul/26</t>
        </is>
      </c>
      <c r="G88" t="n">
        <v>322.5017959770113</v>
      </c>
      <c r="H88" t="inlineStr">
        <is>
          <t>projected from net injection</t>
        </is>
      </c>
      <c r="I88" t="n">
        <v>563.188</v>
      </c>
      <c r="J88" t="n">
        <v>57.26361285698759</v>
      </c>
    </row>
    <row r="89">
      <c r="A89" t="n">
        <v>87</v>
      </c>
      <c r="B89" s="3" t="n">
        <v>46844</v>
      </c>
      <c r="C89" t="n">
        <v>2.271922222222222</v>
      </c>
      <c r="D89" t="n">
        <v>1.159666666666667</v>
      </c>
      <c r="E89" t="n">
        <v>1.112255555555556</v>
      </c>
      <c r="F89" t="inlineStr">
        <is>
          <t>seasonal pattern of Aug/23-Jul/26</t>
        </is>
      </c>
      <c r="G89" t="n">
        <v>355.8694626436779</v>
      </c>
      <c r="H89" t="inlineStr">
        <is>
          <t>projected from net injection</t>
        </is>
      </c>
      <c r="I89" t="n">
        <v>563.188</v>
      </c>
      <c r="J89" t="n">
        <v>63.18839581874577</v>
      </c>
    </row>
    <row r="90">
      <c r="A90" t="n">
        <v>88</v>
      </c>
      <c r="B90" s="3" t="n">
        <v>46874</v>
      </c>
      <c r="C90" t="n">
        <v>2.179247311827957</v>
      </c>
      <c r="D90" t="n">
        <v>1.123032258064516</v>
      </c>
      <c r="E90" t="n">
        <v>1.056215053763441</v>
      </c>
      <c r="F90" t="inlineStr">
        <is>
          <t>seasonal pattern of Aug/23-Jul/26</t>
        </is>
      </c>
      <c r="G90" t="n">
        <v>388.6121293103446</v>
      </c>
      <c r="H90" t="inlineStr">
        <is>
          <t>projected from net injection</t>
        </is>
      </c>
      <c r="I90" t="n">
        <v>563.188</v>
      </c>
      <c r="J90" t="n">
        <v>69.00220340460815</v>
      </c>
    </row>
    <row r="91">
      <c r="A91" t="n">
        <v>89</v>
      </c>
      <c r="B91" s="3" t="n">
        <v>46905</v>
      </c>
      <c r="C91" t="n">
        <v>1.835466666666667</v>
      </c>
      <c r="D91" t="n">
        <v>1.149211111111111</v>
      </c>
      <c r="E91" t="n">
        <v>0.6862555555555556</v>
      </c>
      <c r="F91" t="inlineStr">
        <is>
          <t>seasonal pattern of Aug/23-Jul/26</t>
        </is>
      </c>
      <c r="G91" t="n">
        <v>409.1997959770113</v>
      </c>
      <c r="H91" t="inlineStr">
        <is>
          <t>projected from net injection</t>
        </is>
      </c>
      <c r="I91" t="n">
        <v>563.188</v>
      </c>
      <c r="J91" t="n">
        <v>72.65776188004916</v>
      </c>
    </row>
    <row r="92">
      <c r="A92" t="n">
        <v>90</v>
      </c>
      <c r="B92" s="3" t="n">
        <v>46935</v>
      </c>
      <c r="C92" t="n">
        <v>1.445075268817204</v>
      </c>
      <c r="D92" t="n">
        <v>1.521387096774194</v>
      </c>
      <c r="E92" t="n">
        <v>-0.07631182795698943</v>
      </c>
      <c r="F92" t="inlineStr">
        <is>
          <t>seasonal pattern of Aug/23-Jul/26</t>
        </is>
      </c>
      <c r="G92" t="n">
        <v>406.8341293103446</v>
      </c>
      <c r="H92" t="inlineStr">
        <is>
          <t>projected from net injection</t>
        </is>
      </c>
      <c r="I92" t="n">
        <v>563.188</v>
      </c>
      <c r="J92" t="n">
        <v>72.23771268392518</v>
      </c>
    </row>
    <row r="93">
      <c r="A93" t="n">
        <v>91</v>
      </c>
      <c r="B93" s="3" t="n">
        <v>46966</v>
      </c>
      <c r="C93" t="n">
        <v>1.741763440860215</v>
      </c>
      <c r="D93" t="n">
        <v>2.883548387096774</v>
      </c>
      <c r="E93" t="n">
        <v>-1.141784946236559</v>
      </c>
      <c r="F93" t="inlineStr">
        <is>
          <t>seasonal pattern of Aug/23-Jul/26</t>
        </is>
      </c>
      <c r="G93" t="n">
        <v>371.4387959770112</v>
      </c>
      <c r="H93" t="inlineStr">
        <is>
          <t>projected from net injection</t>
        </is>
      </c>
      <c r="I93" t="n">
        <v>563.188</v>
      </c>
      <c r="J93" t="n">
        <v>65.95289600932747</v>
      </c>
    </row>
    <row r="94">
      <c r="A94" t="n">
        <v>92</v>
      </c>
      <c r="B94" s="3" t="n">
        <v>46997</v>
      </c>
      <c r="C94" t="n">
        <v>2.412133333333333</v>
      </c>
      <c r="D94" t="n">
        <v>2.104855555555555</v>
      </c>
      <c r="E94" t="n">
        <v>0.3072777777777778</v>
      </c>
      <c r="F94" t="inlineStr">
        <is>
          <t>seasonal pattern of Aug/23-Jul/26</t>
        </is>
      </c>
      <c r="G94" t="n">
        <v>380.6571293103445</v>
      </c>
      <c r="H94" t="inlineStr">
        <is>
          <t>projected from net injection</t>
        </is>
      </c>
      <c r="I94" t="n">
        <v>563.188</v>
      </c>
      <c r="J94" t="n">
        <v>67.5897088202065</v>
      </c>
    </row>
    <row r="95">
      <c r="A95" t="n">
        <v>93</v>
      </c>
      <c r="B95" s="3" t="n">
        <v>47027</v>
      </c>
      <c r="C95" t="n">
        <v>2.523494623655914</v>
      </c>
      <c r="D95" t="n">
        <v>1.056784946236559</v>
      </c>
      <c r="E95" t="n">
        <v>1.466709677419355</v>
      </c>
      <c r="F95" t="inlineStr">
        <is>
          <t>seasonal pattern of Aug/23-Jul/26</t>
        </is>
      </c>
      <c r="G95" t="n">
        <v>426.1251293103446</v>
      </c>
      <c r="H95" t="inlineStr">
        <is>
          <t>projected from net injection</t>
        </is>
      </c>
      <c r="I95" t="n">
        <v>563.188</v>
      </c>
      <c r="J95" t="n">
        <v>75.66303424617438</v>
      </c>
    </row>
    <row r="96">
      <c r="A96" t="n">
        <v>94</v>
      </c>
      <c r="B96" s="3" t="n">
        <v>47058</v>
      </c>
      <c r="C96" t="n">
        <v>1.881788888888889</v>
      </c>
      <c r="D96" t="n">
        <v>1.287677777777778</v>
      </c>
      <c r="E96" t="n">
        <v>0.5941111111111113</v>
      </c>
      <c r="F96" t="inlineStr">
        <is>
          <t>seasonal pattern of Aug/23-Jul/26</t>
        </is>
      </c>
      <c r="G96" t="n">
        <v>443.9484626436779</v>
      </c>
      <c r="H96" t="inlineStr">
        <is>
          <t>projected from net injection</t>
        </is>
      </c>
      <c r="I96" t="n">
        <v>563.188</v>
      </c>
      <c r="J96" t="n">
        <v>78.82775603238667</v>
      </c>
    </row>
    <row r="97">
      <c r="A97" t="n">
        <v>95</v>
      </c>
      <c r="B97" s="3" t="n">
        <v>47088</v>
      </c>
      <c r="C97" t="n">
        <v>1.379204301075269</v>
      </c>
      <c r="D97" t="n">
        <v>2.158774193548387</v>
      </c>
      <c r="E97" t="n">
        <v>-0.7795698924731187</v>
      </c>
      <c r="F97" t="inlineStr">
        <is>
          <t>seasonal pattern of Aug/23-Jul/26</t>
        </is>
      </c>
      <c r="G97" t="n">
        <v>419.7817959770112</v>
      </c>
      <c r="H97" t="inlineStr">
        <is>
          <t>projected from net injection</t>
        </is>
      </c>
      <c r="I97" t="n">
        <v>563.188</v>
      </c>
      <c r="J97" t="n">
        <v>74.53670816441601</v>
      </c>
    </row>
    <row r="98">
      <c r="A98" t="n">
        <v>96</v>
      </c>
      <c r="B98" s="3" t="n">
        <v>47119</v>
      </c>
      <c r="C98" t="n">
        <v>0.9953118279569892</v>
      </c>
      <c r="D98" t="n">
        <v>4.435344086021505</v>
      </c>
      <c r="E98" t="n">
        <v>-3.440032258064516</v>
      </c>
      <c r="F98" t="inlineStr">
        <is>
          <t>seasonal pattern of Aug/23-Jul/26</t>
        </is>
      </c>
      <c r="G98" t="n">
        <v>313.1407959770112</v>
      </c>
      <c r="H98" t="inlineStr">
        <is>
          <t>projected from net injection</t>
        </is>
      </c>
      <c r="I98" t="n">
        <v>563.188</v>
      </c>
      <c r="J98" t="n">
        <v>55.60146806697074</v>
      </c>
    </row>
    <row r="99">
      <c r="A99" t="n">
        <v>97</v>
      </c>
      <c r="B99" s="3" t="n">
        <v>47150</v>
      </c>
      <c r="C99" t="n">
        <v>1.637940886699507</v>
      </c>
      <c r="D99" t="n">
        <v>2.852903530377668</v>
      </c>
      <c r="E99" t="n">
        <v>-1.214962643678161</v>
      </c>
      <c r="F99" t="inlineStr">
        <is>
          <t>seasonal pattern of Aug/23-Jul/26</t>
        </is>
      </c>
      <c r="G99" t="n">
        <v>279.1218419540227</v>
      </c>
      <c r="H99" t="inlineStr">
        <is>
          <t>projected from net injection</t>
        </is>
      </c>
      <c r="I99" t="n">
        <v>563.188</v>
      </c>
      <c r="J99" t="n">
        <v>49.56104213051817</v>
      </c>
    </row>
    <row r="100">
      <c r="A100" t="n">
        <v>98</v>
      </c>
      <c r="B100" s="3" t="n">
        <v>47178</v>
      </c>
      <c r="C100" t="n">
        <v>2.392172043010753</v>
      </c>
      <c r="D100" t="n">
        <v>1.187268817204301</v>
      </c>
      <c r="E100" t="n">
        <v>1.204903225806452</v>
      </c>
      <c r="F100" t="inlineStr">
        <is>
          <t>seasonal pattern of Aug/23-Jul/26</t>
        </is>
      </c>
      <c r="G100" t="n">
        <v>316.4738419540226</v>
      </c>
      <c r="H100" t="inlineStr">
        <is>
          <t>projected from net injection</t>
        </is>
      </c>
      <c r="I100" t="n">
        <v>563.188</v>
      </c>
      <c r="J100" t="n">
        <v>56.19328571525364</v>
      </c>
    </row>
    <row r="101">
      <c r="A101" t="n">
        <v>99</v>
      </c>
      <c r="B101" s="3" t="n">
        <v>47209</v>
      </c>
      <c r="C101" t="n">
        <v>2.271922222222222</v>
      </c>
      <c r="D101" t="n">
        <v>1.159666666666667</v>
      </c>
      <c r="E101" t="n">
        <v>1.112255555555556</v>
      </c>
      <c r="F101" t="inlineStr">
        <is>
          <t>seasonal pattern of Aug/23-Jul/26</t>
        </is>
      </c>
      <c r="G101" t="n">
        <v>349.8415086206893</v>
      </c>
      <c r="H101" t="inlineStr">
        <is>
          <t>projected from net injection</t>
        </is>
      </c>
      <c r="I101" t="n">
        <v>563.188</v>
      </c>
      <c r="J101" t="n">
        <v>62.11806867701182</v>
      </c>
    </row>
    <row r="102">
      <c r="A102" t="n">
        <v>100</v>
      </c>
      <c r="B102" s="3" t="n">
        <v>47239</v>
      </c>
      <c r="C102" t="n">
        <v>2.179247311827957</v>
      </c>
      <c r="D102" t="n">
        <v>1.123032258064516</v>
      </c>
      <c r="E102" t="n">
        <v>1.056215053763441</v>
      </c>
      <c r="F102" t="inlineStr">
        <is>
          <t>seasonal pattern of Aug/23-Jul/26</t>
        </is>
      </c>
      <c r="G102" t="n">
        <v>382.5841752873559</v>
      </c>
      <c r="H102" t="inlineStr">
        <is>
          <t>projected from net injection</t>
        </is>
      </c>
      <c r="I102" t="n">
        <v>563.188</v>
      </c>
      <c r="J102" t="n">
        <v>67.9318762628742</v>
      </c>
    </row>
    <row r="103">
      <c r="A103" t="n">
        <v>101</v>
      </c>
      <c r="B103" s="3" t="n">
        <v>47270</v>
      </c>
      <c r="C103" t="n">
        <v>1.835466666666667</v>
      </c>
      <c r="D103" t="n">
        <v>1.149211111111111</v>
      </c>
      <c r="E103" t="n">
        <v>0.6862555555555556</v>
      </c>
      <c r="F103" t="inlineStr">
        <is>
          <t>seasonal pattern of Aug/23-Jul/26</t>
        </is>
      </c>
      <c r="G103" t="n">
        <v>403.1718419540226</v>
      </c>
      <c r="H103" t="inlineStr">
        <is>
          <t>projected from net injection</t>
        </is>
      </c>
      <c r="I103" t="n">
        <v>563.188</v>
      </c>
      <c r="J103" t="n">
        <v>71.58743473831521</v>
      </c>
    </row>
    <row r="104">
      <c r="A104" t="n">
        <v>102</v>
      </c>
      <c r="B104" s="3" t="n">
        <v>47300</v>
      </c>
      <c r="C104" t="n">
        <v>1.445075268817204</v>
      </c>
      <c r="D104" t="n">
        <v>1.521387096774194</v>
      </c>
      <c r="E104" t="n">
        <v>-0.07631182795698943</v>
      </c>
      <c r="F104" t="inlineStr">
        <is>
          <t>seasonal pattern of Aug/23-Jul/26</t>
        </is>
      </c>
      <c r="G104" t="n">
        <v>400.8061752873559</v>
      </c>
      <c r="H104" t="inlineStr">
        <is>
          <t>projected from net injection</t>
        </is>
      </c>
      <c r="I104" t="n">
        <v>563.188</v>
      </c>
      <c r="J104" t="n">
        <v>71.16738554219123</v>
      </c>
    </row>
    <row r="105">
      <c r="A105" t="n">
        <v>103</v>
      </c>
      <c r="B105" s="3" t="n">
        <v>47331</v>
      </c>
      <c r="C105" t="n">
        <v>1.741763440860215</v>
      </c>
      <c r="D105" t="n">
        <v>2.883548387096774</v>
      </c>
      <c r="E105" t="n">
        <v>-1.141784946236559</v>
      </c>
      <c r="F105" t="inlineStr">
        <is>
          <t>seasonal pattern of Aug/23-Jul/26</t>
        </is>
      </c>
      <c r="G105" t="n">
        <v>365.4108419540226</v>
      </c>
      <c r="H105" t="inlineStr">
        <is>
          <t>projected from net injection</t>
        </is>
      </c>
      <c r="I105" t="n">
        <v>563.188</v>
      </c>
      <c r="J105" t="n">
        <v>64.88256886759352</v>
      </c>
    </row>
    <row r="106">
      <c r="A106" t="n">
        <v>104</v>
      </c>
      <c r="B106" s="3" t="n">
        <v>47362</v>
      </c>
      <c r="C106" t="n">
        <v>2.412133333333333</v>
      </c>
      <c r="D106" t="n">
        <v>2.104855555555555</v>
      </c>
      <c r="E106" t="n">
        <v>0.3072777777777778</v>
      </c>
      <c r="F106" t="inlineStr">
        <is>
          <t>seasonal pattern of Aug/23-Jul/26</t>
        </is>
      </c>
      <c r="G106" t="n">
        <v>374.6291752873559</v>
      </c>
      <c r="H106" t="inlineStr">
        <is>
          <t>projected from net injection</t>
        </is>
      </c>
      <c r="I106" t="n">
        <v>563.188</v>
      </c>
      <c r="J106" t="n">
        <v>66.51938167847253</v>
      </c>
    </row>
    <row r="107">
      <c r="A107" t="n">
        <v>105</v>
      </c>
      <c r="B107" s="3" t="n">
        <v>47392</v>
      </c>
      <c r="C107" t="n">
        <v>2.523494623655914</v>
      </c>
      <c r="D107" t="n">
        <v>1.056784946236559</v>
      </c>
      <c r="E107" t="n">
        <v>1.466709677419355</v>
      </c>
      <c r="F107" t="inlineStr">
        <is>
          <t>seasonal pattern of Aug/23-Jul/26</t>
        </is>
      </c>
      <c r="G107" t="n">
        <v>420.0971752873559</v>
      </c>
      <c r="H107" t="inlineStr">
        <is>
          <t>projected from net injection</t>
        </is>
      </c>
      <c r="I107" t="n">
        <v>563.188</v>
      </c>
      <c r="J107" t="n">
        <v>74.59270710444042</v>
      </c>
    </row>
    <row r="108">
      <c r="A108" t="n">
        <v>106</v>
      </c>
      <c r="B108" s="3" t="n">
        <v>47423</v>
      </c>
      <c r="C108" t="n">
        <v>1.881788888888889</v>
      </c>
      <c r="D108" t="n">
        <v>1.287677777777778</v>
      </c>
      <c r="E108" t="n">
        <v>0.5941111111111113</v>
      </c>
      <c r="F108" t="inlineStr">
        <is>
          <t>seasonal pattern of Aug/23-Jul/26</t>
        </is>
      </c>
      <c r="G108" t="n">
        <v>437.9205086206892</v>
      </c>
      <c r="H108" t="inlineStr">
        <is>
          <t>projected from net injection</t>
        </is>
      </c>
      <c r="I108" t="n">
        <v>563.188</v>
      </c>
      <c r="J108" t="n">
        <v>77.75742889065272</v>
      </c>
    </row>
    <row r="109">
      <c r="A109" t="n">
        <v>107</v>
      </c>
      <c r="B109" s="3" t="n">
        <v>47453</v>
      </c>
      <c r="C109" t="n">
        <v>1.379204301075269</v>
      </c>
      <c r="D109" t="n">
        <v>2.158774193548387</v>
      </c>
      <c r="E109" t="n">
        <v>-0.7795698924731187</v>
      </c>
      <c r="F109" t="inlineStr">
        <is>
          <t>seasonal pattern of Aug/23-Jul/26</t>
        </is>
      </c>
      <c r="G109" t="n">
        <v>413.7538419540226</v>
      </c>
      <c r="H109" t="inlineStr">
        <is>
          <t>projected from net injection</t>
        </is>
      </c>
      <c r="I109" t="n">
        <v>563.188</v>
      </c>
      <c r="J109" t="n">
        <v>73.46638102268204</v>
      </c>
    </row>
    <row r="110">
      <c r="A110" t="n">
        <v>108</v>
      </c>
      <c r="B110" s="3" t="n">
        <v>47484</v>
      </c>
      <c r="C110" t="n">
        <v>0.9953118279569892</v>
      </c>
      <c r="D110" t="n">
        <v>4.435344086021505</v>
      </c>
      <c r="E110" t="n">
        <v>-3.440032258064516</v>
      </c>
      <c r="F110" t="inlineStr">
        <is>
          <t>seasonal pattern of Aug/23-Jul/26</t>
        </is>
      </c>
      <c r="G110" t="n">
        <v>307.1128419540225</v>
      </c>
      <c r="H110" t="inlineStr">
        <is>
          <t>projected from net injection</t>
        </is>
      </c>
      <c r="I110" t="n">
        <v>563.188</v>
      </c>
      <c r="J110" t="n">
        <v>54.53114092523678</v>
      </c>
    </row>
    <row r="111">
      <c r="A111" t="n">
        <v>109</v>
      </c>
      <c r="B111" s="3" t="n">
        <v>47515</v>
      </c>
      <c r="C111" t="n">
        <v>1.637940886699507</v>
      </c>
      <c r="D111" t="n">
        <v>2.852903530377668</v>
      </c>
      <c r="E111" t="n">
        <v>-1.214962643678161</v>
      </c>
      <c r="F111" t="inlineStr">
        <is>
          <t>seasonal pattern of Aug/23-Jul/26</t>
        </is>
      </c>
      <c r="G111" t="n">
        <v>273.093887931034</v>
      </c>
      <c r="H111" t="inlineStr">
        <is>
          <t>projected from net injection</t>
        </is>
      </c>
      <c r="I111" t="n">
        <v>563.188</v>
      </c>
      <c r="J111" t="n">
        <v>48.49071498878421</v>
      </c>
    </row>
    <row r="112">
      <c r="A112" t="n">
        <v>110</v>
      </c>
      <c r="B112" s="3" t="n">
        <v>47543</v>
      </c>
      <c r="C112" t="n">
        <v>2.392172043010753</v>
      </c>
      <c r="D112" t="n">
        <v>1.187268817204301</v>
      </c>
      <c r="E112" t="n">
        <v>1.204903225806452</v>
      </c>
      <c r="F112" t="inlineStr">
        <is>
          <t>seasonal pattern of Aug/23-Jul/26</t>
        </is>
      </c>
      <c r="G112" t="n">
        <v>310.445887931034</v>
      </c>
      <c r="H112" t="inlineStr">
        <is>
          <t>projected from net injection</t>
        </is>
      </c>
      <c r="I112" t="n">
        <v>563.188</v>
      </c>
      <c r="J112" t="n">
        <v>55.12295857351967</v>
      </c>
    </row>
    <row r="113">
      <c r="A113" t="n">
        <v>111</v>
      </c>
      <c r="B113" s="3" t="n">
        <v>47574</v>
      </c>
      <c r="C113" t="n">
        <v>2.271922222222222</v>
      </c>
      <c r="D113" t="n">
        <v>1.159666666666667</v>
      </c>
      <c r="E113" t="n">
        <v>1.112255555555556</v>
      </c>
      <c r="F113" t="inlineStr">
        <is>
          <t>seasonal pattern of Aug/23-Jul/26</t>
        </is>
      </c>
      <c r="G113" t="n">
        <v>343.8135545977007</v>
      </c>
      <c r="H113" t="inlineStr">
        <is>
          <t>projected from net injection</t>
        </is>
      </c>
      <c r="I113" t="n">
        <v>563.188</v>
      </c>
      <c r="J113" t="n">
        <v>61.04774153527786</v>
      </c>
    </row>
    <row r="114">
      <c r="A114" t="n">
        <v>112</v>
      </c>
      <c r="B114" s="3" t="n">
        <v>47604</v>
      </c>
      <c r="C114" t="n">
        <v>2.179247311827957</v>
      </c>
      <c r="D114" t="n">
        <v>1.123032258064516</v>
      </c>
      <c r="E114" t="n">
        <v>1.056215053763441</v>
      </c>
      <c r="F114" t="inlineStr">
        <is>
          <t>seasonal pattern of Aug/23-Jul/26</t>
        </is>
      </c>
      <c r="G114" t="n">
        <v>376.5562212643673</v>
      </c>
      <c r="H114" t="inlineStr">
        <is>
          <t>projected from net injection</t>
        </is>
      </c>
      <c r="I114" t="n">
        <v>563.188</v>
      </c>
      <c r="J114" t="n">
        <v>66.86154912114024</v>
      </c>
    </row>
    <row r="115">
      <c r="A115" t="n">
        <v>113</v>
      </c>
      <c r="B115" s="3" t="n">
        <v>47635</v>
      </c>
      <c r="C115" t="n">
        <v>1.835466666666667</v>
      </c>
      <c r="D115" t="n">
        <v>1.149211111111111</v>
      </c>
      <c r="E115" t="n">
        <v>0.6862555555555556</v>
      </c>
      <c r="F115" t="inlineStr">
        <is>
          <t>seasonal pattern of Aug/23-Jul/26</t>
        </is>
      </c>
      <c r="G115" t="n">
        <v>397.143887931034</v>
      </c>
      <c r="H115" t="inlineStr">
        <is>
          <t>projected from net injection</t>
        </is>
      </c>
      <c r="I115" t="n">
        <v>563.188</v>
      </c>
      <c r="J115" t="n">
        <v>70.51710759658125</v>
      </c>
    </row>
    <row r="116">
      <c r="A116" t="n">
        <v>114</v>
      </c>
      <c r="B116" s="3" t="n">
        <v>47665</v>
      </c>
      <c r="C116" t="n">
        <v>1.445075268817204</v>
      </c>
      <c r="D116" t="n">
        <v>1.521387096774194</v>
      </c>
      <c r="E116" t="n">
        <v>-0.07631182795698943</v>
      </c>
      <c r="F116" t="inlineStr">
        <is>
          <t>seasonal pattern of Aug/23-Jul/26</t>
        </is>
      </c>
      <c r="G116" t="n">
        <v>394.7782212643673</v>
      </c>
      <c r="H116" t="inlineStr">
        <is>
          <t>projected from net injection</t>
        </is>
      </c>
      <c r="I116" t="n">
        <v>563.188</v>
      </c>
      <c r="J116" t="n">
        <v>70.09705840045727</v>
      </c>
    </row>
    <row r="117">
      <c r="A117" t="n">
        <v>115</v>
      </c>
      <c r="B117" s="3" t="n">
        <v>47696</v>
      </c>
      <c r="C117" t="n">
        <v>1.741763440860215</v>
      </c>
      <c r="D117" t="n">
        <v>2.883548387096774</v>
      </c>
      <c r="E117" t="n">
        <v>-1.141784946236559</v>
      </c>
      <c r="F117" t="inlineStr">
        <is>
          <t>seasonal pattern of Aug/23-Jul/26</t>
        </is>
      </c>
      <c r="G117" t="n">
        <v>359.382887931034</v>
      </c>
      <c r="H117" t="inlineStr">
        <is>
          <t>projected from net injection</t>
        </is>
      </c>
      <c r="I117" t="n">
        <v>563.188</v>
      </c>
      <c r="J117" t="n">
        <v>63.81224172585956</v>
      </c>
    </row>
    <row r="118">
      <c r="A118" t="n">
        <v>116</v>
      </c>
      <c r="B118" s="3" t="n">
        <v>47727</v>
      </c>
      <c r="C118" t="n">
        <v>2.412133333333333</v>
      </c>
      <c r="D118" t="n">
        <v>2.104855555555555</v>
      </c>
      <c r="E118" t="n">
        <v>0.3072777777777778</v>
      </c>
      <c r="F118" t="inlineStr">
        <is>
          <t>seasonal pattern of Aug/23-Jul/26</t>
        </is>
      </c>
      <c r="G118" t="n">
        <v>368.6012212643673</v>
      </c>
      <c r="H118" t="inlineStr">
        <is>
          <t>projected from net injection</t>
        </is>
      </c>
      <c r="I118" t="n">
        <v>563.188</v>
      </c>
      <c r="J118" t="n">
        <v>65.44905453673859</v>
      </c>
    </row>
    <row r="119">
      <c r="A119" t="n">
        <v>117</v>
      </c>
      <c r="B119" s="3" t="n">
        <v>47757</v>
      </c>
      <c r="C119" t="n">
        <v>2.523494623655914</v>
      </c>
      <c r="D119" t="n">
        <v>1.056784946236559</v>
      </c>
      <c r="E119" t="n">
        <v>1.466709677419355</v>
      </c>
      <c r="F119" t="inlineStr">
        <is>
          <t>seasonal pattern of Aug/23-Jul/26</t>
        </is>
      </c>
      <c r="G119" t="n">
        <v>414.0692212643673</v>
      </c>
      <c r="H119" t="inlineStr">
        <is>
          <t>projected from net injection</t>
        </is>
      </c>
      <c r="I119" t="n">
        <v>563.188</v>
      </c>
      <c r="J119" t="n">
        <v>73.52237996270647</v>
      </c>
    </row>
    <row r="120">
      <c r="A120" t="n">
        <v>118</v>
      </c>
      <c r="B120" s="3" t="n">
        <v>47788</v>
      </c>
      <c r="C120" t="n">
        <v>1.881788888888889</v>
      </c>
      <c r="D120" t="n">
        <v>1.287677777777778</v>
      </c>
      <c r="E120" t="n">
        <v>0.5941111111111113</v>
      </c>
      <c r="F120" t="inlineStr">
        <is>
          <t>seasonal pattern of Aug/23-Jul/26</t>
        </is>
      </c>
      <c r="G120" t="n">
        <v>431.8925545977006</v>
      </c>
      <c r="H120" t="inlineStr">
        <is>
          <t>projected from net injection</t>
        </is>
      </c>
      <c r="I120" t="n">
        <v>563.188</v>
      </c>
      <c r="J120" t="n">
        <v>76.68710174891876</v>
      </c>
    </row>
    <row r="121">
      <c r="A121" t="n">
        <v>119</v>
      </c>
      <c r="B121" s="3" t="n">
        <v>47818</v>
      </c>
      <c r="C121" t="n">
        <v>1.379204301075269</v>
      </c>
      <c r="D121" t="n">
        <v>2.158774193548387</v>
      </c>
      <c r="E121" t="n">
        <v>-0.7795698924731187</v>
      </c>
      <c r="F121" t="inlineStr">
        <is>
          <t>seasonal pattern of Aug/23-Jul/26</t>
        </is>
      </c>
      <c r="G121" t="n">
        <v>407.7258879310339</v>
      </c>
      <c r="H121" t="inlineStr">
        <is>
          <t>projected from net injection</t>
        </is>
      </c>
      <c r="I121" t="n">
        <v>563.188</v>
      </c>
      <c r="J121" t="n">
        <v>72.39605388094809</v>
      </c>
    </row>
    <row r="122">
      <c r="A122" t="n">
        <v>120</v>
      </c>
      <c r="B122" s="3" t="n">
        <v>47849</v>
      </c>
      <c r="C122" t="n">
        <v>0.9953118279569892</v>
      </c>
      <c r="D122" t="n">
        <v>4.435344086021505</v>
      </c>
      <c r="E122" t="n">
        <v>-3.440032258064516</v>
      </c>
      <c r="F122" t="inlineStr">
        <is>
          <t>seasonal pattern of Aug/23-Jul/26</t>
        </is>
      </c>
      <c r="G122" t="n">
        <v>301.0848879310339</v>
      </c>
      <c r="H122" t="inlineStr">
        <is>
          <t>projected from net injection</t>
        </is>
      </c>
      <c r="I122" t="n">
        <v>563.188</v>
      </c>
      <c r="J122" t="n">
        <v>53.46081378350283</v>
      </c>
    </row>
    <row r="123">
      <c r="A123" t="n">
        <v>121</v>
      </c>
      <c r="B123" s="3" t="n">
        <v>47880</v>
      </c>
      <c r="C123" t="n">
        <v>1.637940886699507</v>
      </c>
      <c r="D123" t="n">
        <v>2.852903530377668</v>
      </c>
      <c r="E123" t="n">
        <v>-1.214962643678161</v>
      </c>
      <c r="F123" t="inlineStr">
        <is>
          <t>seasonal pattern of Aug/23-Jul/26</t>
        </is>
      </c>
      <c r="G123" t="n">
        <v>267.0659339080454</v>
      </c>
      <c r="H123" t="inlineStr">
        <is>
          <t>projected from net injection</t>
        </is>
      </c>
      <c r="I123" t="n">
        <v>563.188</v>
      </c>
      <c r="J123" t="n">
        <v>47.42038784705026</v>
      </c>
    </row>
    <row r="124">
      <c r="A124" t="n">
        <v>122</v>
      </c>
      <c r="B124" s="3" t="n">
        <v>47908</v>
      </c>
      <c r="C124" t="n">
        <v>2.392172043010753</v>
      </c>
      <c r="D124" t="n">
        <v>1.187268817204301</v>
      </c>
      <c r="E124" t="n">
        <v>1.204903225806452</v>
      </c>
      <c r="F124" t="inlineStr">
        <is>
          <t>seasonal pattern of Aug/23-Jul/26</t>
        </is>
      </c>
      <c r="G124" t="n">
        <v>304.4179339080454</v>
      </c>
      <c r="H124" t="inlineStr">
        <is>
          <t>projected from net injection</t>
        </is>
      </c>
      <c r="I124" t="n">
        <v>563.188</v>
      </c>
      <c r="J124" t="n">
        <v>54.05263143178573</v>
      </c>
    </row>
    <row r="125">
      <c r="A125" t="n">
        <v>123</v>
      </c>
      <c r="B125" s="3" t="n">
        <v>47939</v>
      </c>
      <c r="C125" t="n">
        <v>2.271922222222222</v>
      </c>
      <c r="D125" t="n">
        <v>1.159666666666667</v>
      </c>
      <c r="E125" t="n">
        <v>1.112255555555556</v>
      </c>
      <c r="F125" t="inlineStr">
        <is>
          <t>seasonal pattern of Aug/23-Jul/26</t>
        </is>
      </c>
      <c r="G125" t="n">
        <v>337.785600574712</v>
      </c>
      <c r="H125" t="inlineStr">
        <is>
          <t>projected from net injection</t>
        </is>
      </c>
      <c r="I125" t="n">
        <v>563.188</v>
      </c>
      <c r="J125" t="n">
        <v>59.9774143935439</v>
      </c>
    </row>
    <row r="126">
      <c r="A126" t="n">
        <v>124</v>
      </c>
      <c r="B126" s="3" t="n">
        <v>47969</v>
      </c>
      <c r="C126" t="n">
        <v>2.179247311827957</v>
      </c>
      <c r="D126" t="n">
        <v>1.123032258064516</v>
      </c>
      <c r="E126" t="n">
        <v>1.056215053763441</v>
      </c>
      <c r="F126" t="inlineStr">
        <is>
          <t>seasonal pattern of Aug/23-Jul/26</t>
        </is>
      </c>
      <c r="G126" t="n">
        <v>370.5282672413787</v>
      </c>
      <c r="H126" t="inlineStr">
        <is>
          <t>projected from net injection</t>
        </is>
      </c>
      <c r="I126" t="n">
        <v>563.188</v>
      </c>
      <c r="J126" t="n">
        <v>65.79122197940629</v>
      </c>
    </row>
    <row r="127">
      <c r="A127" t="n">
        <v>125</v>
      </c>
      <c r="B127" s="3" t="n">
        <v>48000</v>
      </c>
      <c r="C127" t="n">
        <v>1.835466666666667</v>
      </c>
      <c r="D127" t="n">
        <v>1.149211111111111</v>
      </c>
      <c r="E127" t="n">
        <v>0.6862555555555556</v>
      </c>
      <c r="F127" t="inlineStr">
        <is>
          <t>seasonal pattern of Aug/23-Jul/26</t>
        </is>
      </c>
      <c r="G127" t="n">
        <v>391.1159339080453</v>
      </c>
      <c r="H127" t="inlineStr">
        <is>
          <t>projected from net injection</t>
        </is>
      </c>
      <c r="I127" t="n">
        <v>563.188</v>
      </c>
      <c r="J127" t="n">
        <v>69.44678045484729</v>
      </c>
    </row>
    <row r="128">
      <c r="A128" t="n">
        <v>126</v>
      </c>
      <c r="B128" s="3" t="n">
        <v>48030</v>
      </c>
      <c r="C128" t="n">
        <v>1.445075268817204</v>
      </c>
      <c r="D128" t="n">
        <v>1.521387096774194</v>
      </c>
      <c r="E128" t="n">
        <v>-0.07631182795698943</v>
      </c>
      <c r="F128" t="inlineStr">
        <is>
          <t>seasonal pattern of Aug/23-Jul/26</t>
        </is>
      </c>
      <c r="G128" t="n">
        <v>388.7502672413787</v>
      </c>
      <c r="H128" t="inlineStr">
        <is>
          <t>projected from net injection</t>
        </is>
      </c>
      <c r="I128" t="n">
        <v>563.188</v>
      </c>
      <c r="J128" t="n">
        <v>69.02673125872332</v>
      </c>
    </row>
    <row r="129">
      <c r="A129" t="n">
        <v>127</v>
      </c>
      <c r="B129" s="3" t="n">
        <v>48061</v>
      </c>
      <c r="C129" t="n">
        <v>1.741763440860215</v>
      </c>
      <c r="D129" t="n">
        <v>2.883548387096774</v>
      </c>
      <c r="E129" t="n">
        <v>-1.141784946236559</v>
      </c>
      <c r="F129" t="inlineStr">
        <is>
          <t>seasonal pattern of Aug/23-Jul/26</t>
        </is>
      </c>
      <c r="G129" t="n">
        <v>353.3549339080453</v>
      </c>
      <c r="H129" t="inlineStr">
        <is>
          <t>projected from net injection</t>
        </is>
      </c>
      <c r="I129" t="n">
        <v>563.188</v>
      </c>
      <c r="J129" t="n">
        <v>62.74191458412561</v>
      </c>
    </row>
    <row r="130">
      <c r="A130" t="n">
        <v>128</v>
      </c>
      <c r="B130" s="3" t="n">
        <v>48092</v>
      </c>
      <c r="C130" t="n">
        <v>2.412133333333333</v>
      </c>
      <c r="D130" t="n">
        <v>2.104855555555555</v>
      </c>
      <c r="E130" t="n">
        <v>0.3072777777777778</v>
      </c>
      <c r="F130" t="inlineStr">
        <is>
          <t>seasonal pattern of Aug/23-Jul/26</t>
        </is>
      </c>
      <c r="G130" t="n">
        <v>362.5732672413786</v>
      </c>
      <c r="H130" t="inlineStr">
        <is>
          <t>projected from net injection</t>
        </is>
      </c>
      <c r="I130" t="n">
        <v>563.188</v>
      </c>
      <c r="J130" t="n">
        <v>64.37872739500462</v>
      </c>
    </row>
    <row r="131">
      <c r="A131" t="n">
        <v>129</v>
      </c>
      <c r="B131" s="3" t="n">
        <v>48122</v>
      </c>
      <c r="C131" t="n">
        <v>2.523494623655914</v>
      </c>
      <c r="D131" t="n">
        <v>1.056784946236559</v>
      </c>
      <c r="E131" t="n">
        <v>1.466709677419355</v>
      </c>
      <c r="F131" t="inlineStr">
        <is>
          <t>seasonal pattern of Aug/23-Jul/26</t>
        </is>
      </c>
      <c r="G131" t="n">
        <v>408.0412672413786</v>
      </c>
      <c r="H131" t="inlineStr">
        <is>
          <t>projected from net injection</t>
        </is>
      </c>
      <c r="I131" t="n">
        <v>563.188</v>
      </c>
      <c r="J131" t="n">
        <v>72.45205282097251</v>
      </c>
    </row>
    <row r="132">
      <c r="A132" t="n">
        <v>130</v>
      </c>
      <c r="B132" s="3" t="n">
        <v>48153</v>
      </c>
      <c r="C132" t="n">
        <v>1.881788888888889</v>
      </c>
      <c r="D132" t="n">
        <v>1.287677777777778</v>
      </c>
      <c r="E132" t="n">
        <v>0.5941111111111113</v>
      </c>
      <c r="F132" t="inlineStr">
        <is>
          <t>seasonal pattern of Aug/23-Jul/26</t>
        </is>
      </c>
      <c r="G132" t="n">
        <v>425.864600574712</v>
      </c>
      <c r="H132" t="inlineStr">
        <is>
          <t>projected from net injection</t>
        </is>
      </c>
      <c r="I132" t="n">
        <v>563.188</v>
      </c>
      <c r="J132" t="n">
        <v>75.61677460718481</v>
      </c>
    </row>
    <row r="133">
      <c r="A133" t="n">
        <v>131</v>
      </c>
      <c r="B133" s="3" t="n">
        <v>48183</v>
      </c>
      <c r="C133" t="n">
        <v>1.379204301075269</v>
      </c>
      <c r="D133" t="n">
        <v>2.158774193548387</v>
      </c>
      <c r="E133" t="n">
        <v>-0.7795698924731187</v>
      </c>
      <c r="F133" t="inlineStr">
        <is>
          <t>seasonal pattern of Aug/23-Jul/26</t>
        </is>
      </c>
      <c r="G133" t="n">
        <v>401.6979339080453</v>
      </c>
      <c r="H133" t="inlineStr">
        <is>
          <t>projected from net injection</t>
        </is>
      </c>
      <c r="I133" t="n">
        <v>563.188</v>
      </c>
      <c r="J133" t="n">
        <v>71.32572673921413</v>
      </c>
    </row>
    <row r="134">
      <c r="A134" t="n">
        <v>132</v>
      </c>
      <c r="B134" s="3" t="n">
        <v>48214</v>
      </c>
      <c r="C134" t="n">
        <v>0.9953118279569892</v>
      </c>
      <c r="D134" t="n">
        <v>4.435344086021505</v>
      </c>
      <c r="E134" t="n">
        <v>-3.440032258064516</v>
      </c>
      <c r="F134" t="inlineStr">
        <is>
          <t>seasonal pattern of Aug/23-Jul/26</t>
        </is>
      </c>
      <c r="G134" t="n">
        <v>295.0569339080453</v>
      </c>
      <c r="H134" t="inlineStr">
        <is>
          <t>projected from net injection</t>
        </is>
      </c>
      <c r="I134" t="n">
        <v>563.188</v>
      </c>
      <c r="J134" t="n">
        <v>52.39048664176887</v>
      </c>
    </row>
    <row r="135">
      <c r="A135" t="n">
        <v>133</v>
      </c>
      <c r="B135" s="3" t="n">
        <v>48245</v>
      </c>
      <c r="C135" t="n">
        <v>1.637940886699507</v>
      </c>
      <c r="D135" t="n">
        <v>2.852903530377668</v>
      </c>
      <c r="E135" t="n">
        <v>-1.214962643678161</v>
      </c>
      <c r="F135" t="inlineStr">
        <is>
          <t>seasonal pattern of Aug/23-Jul/26</t>
        </is>
      </c>
      <c r="G135" t="n">
        <v>259.8230172413786</v>
      </c>
      <c r="H135" t="inlineStr">
        <is>
          <t>projected from net injection</t>
        </is>
      </c>
      <c r="I135" t="n">
        <v>563.188</v>
      </c>
      <c r="J135" t="n">
        <v>46.13433120758585</v>
      </c>
    </row>
    <row r="136">
      <c r="A136" t="n">
        <v>134</v>
      </c>
      <c r="B136" s="3" t="n">
        <v>48274</v>
      </c>
      <c r="C136" t="n">
        <v>2.392172043010753</v>
      </c>
      <c r="D136" t="n">
        <v>1.187268817204301</v>
      </c>
      <c r="E136" t="n">
        <v>1.204903225806452</v>
      </c>
      <c r="F136" t="inlineStr">
        <is>
          <t>seasonal pattern of Aug/23-Jul/26</t>
        </is>
      </c>
      <c r="G136" t="n">
        <v>297.1750172413786</v>
      </c>
      <c r="H136" t="inlineStr">
        <is>
          <t>projected from net injection</t>
        </is>
      </c>
      <c r="I136" t="n">
        <v>563.188</v>
      </c>
      <c r="J136" t="n">
        <v>52.76657479232132</v>
      </c>
    </row>
    <row r="137">
      <c r="A137" t="n">
        <v>135</v>
      </c>
      <c r="B137" s="3" t="n">
        <v>48305</v>
      </c>
      <c r="C137" t="n">
        <v>2.271922222222222</v>
      </c>
      <c r="D137" t="n">
        <v>1.159666666666667</v>
      </c>
      <c r="E137" t="n">
        <v>1.112255555555556</v>
      </c>
      <c r="F137" t="inlineStr">
        <is>
          <t>seasonal pattern of Aug/23-Jul/26</t>
        </is>
      </c>
      <c r="G137" t="n">
        <v>330.5426839080452</v>
      </c>
      <c r="H137" t="inlineStr">
        <is>
          <t>projected from net injection</t>
        </is>
      </c>
      <c r="I137" t="n">
        <v>563.188</v>
      </c>
      <c r="J137" t="n">
        <v>58.69135775407949</v>
      </c>
    </row>
    <row r="138">
      <c r="A138" t="n">
        <v>136</v>
      </c>
      <c r="B138" s="3" t="n">
        <v>48335</v>
      </c>
      <c r="C138" t="n">
        <v>2.179247311827957</v>
      </c>
      <c r="D138" t="n">
        <v>1.123032258064516</v>
      </c>
      <c r="E138" t="n">
        <v>1.056215053763441</v>
      </c>
      <c r="F138" t="inlineStr">
        <is>
          <t>seasonal pattern of Aug/23-Jul/26</t>
        </is>
      </c>
      <c r="G138" t="n">
        <v>363.2853505747119</v>
      </c>
      <c r="H138" t="inlineStr">
        <is>
          <t>projected from net injection</t>
        </is>
      </c>
      <c r="I138" t="n">
        <v>563.188</v>
      </c>
      <c r="J138" t="n">
        <v>64.50516533994188</v>
      </c>
    </row>
    <row r="139">
      <c r="A139" t="n">
        <v>137</v>
      </c>
      <c r="B139" s="3" t="n">
        <v>48366</v>
      </c>
      <c r="C139" t="n">
        <v>1.835466666666667</v>
      </c>
      <c r="D139" t="n">
        <v>1.149211111111111</v>
      </c>
      <c r="E139" t="n">
        <v>0.6862555555555556</v>
      </c>
      <c r="F139" t="inlineStr">
        <is>
          <t>seasonal pattern of Aug/23-Jul/26</t>
        </is>
      </c>
      <c r="G139" t="n">
        <v>383.8730172413785</v>
      </c>
      <c r="H139" t="inlineStr">
        <is>
          <t>projected from net injection</t>
        </is>
      </c>
      <c r="I139" t="n">
        <v>563.188</v>
      </c>
      <c r="J139" t="n">
        <v>68.16072381538288</v>
      </c>
    </row>
    <row r="140">
      <c r="A140" t="n">
        <v>138</v>
      </c>
      <c r="B140" s="3" t="n">
        <v>48396</v>
      </c>
      <c r="C140" t="n">
        <v>1.445075268817204</v>
      </c>
      <c r="D140" t="n">
        <v>1.521387096774194</v>
      </c>
      <c r="E140" t="n">
        <v>-0.07631182795698943</v>
      </c>
      <c r="F140" t="inlineStr">
        <is>
          <t>seasonal pattern of Aug/23-Jul/26</t>
        </is>
      </c>
      <c r="G140" t="n">
        <v>381.5073505747118</v>
      </c>
      <c r="H140" t="inlineStr">
        <is>
          <t>projected from net injection</t>
        </is>
      </c>
      <c r="I140" t="n">
        <v>563.188</v>
      </c>
      <c r="J140" t="n">
        <v>67.7406746192589</v>
      </c>
    </row>
    <row r="141">
      <c r="A141" t="n">
        <v>139</v>
      </c>
      <c r="B141" s="3" t="n">
        <v>48427</v>
      </c>
      <c r="C141" t="n">
        <v>1.741763440860215</v>
      </c>
      <c r="D141" t="n">
        <v>2.883548387096774</v>
      </c>
      <c r="E141" t="n">
        <v>-1.141784946236559</v>
      </c>
      <c r="F141" t="inlineStr">
        <is>
          <t>seasonal pattern of Aug/23-Jul/26</t>
        </is>
      </c>
      <c r="G141" t="n">
        <v>346.1120172413785</v>
      </c>
      <c r="H141" t="inlineStr">
        <is>
          <t>projected from net injection</t>
        </is>
      </c>
      <c r="I141" t="n">
        <v>563.188</v>
      </c>
      <c r="J141" t="n">
        <v>61.4558579446612</v>
      </c>
    </row>
    <row r="142">
      <c r="A142" t="n">
        <v>140</v>
      </c>
      <c r="B142" s="3" t="n">
        <v>48458</v>
      </c>
      <c r="C142" t="n">
        <v>2.412133333333333</v>
      </c>
      <c r="D142" t="n">
        <v>2.104855555555555</v>
      </c>
      <c r="E142" t="n">
        <v>0.3072777777777778</v>
      </c>
      <c r="F142" t="inlineStr">
        <is>
          <t>seasonal pattern of Aug/23-Jul/26</t>
        </is>
      </c>
      <c r="G142" t="n">
        <v>355.3303505747118</v>
      </c>
      <c r="H142" t="inlineStr">
        <is>
          <t>projected from net injection</t>
        </is>
      </c>
      <c r="I142" t="n">
        <v>563.188</v>
      </c>
      <c r="J142" t="n">
        <v>63.09267075554021</v>
      </c>
    </row>
    <row r="143">
      <c r="A143" t="n">
        <v>141</v>
      </c>
      <c r="B143" s="3" t="n">
        <v>48488</v>
      </c>
      <c r="C143" t="n">
        <v>2.523494623655914</v>
      </c>
      <c r="D143" t="n">
        <v>1.056784946236559</v>
      </c>
      <c r="E143" t="n">
        <v>1.466709677419355</v>
      </c>
      <c r="F143" t="inlineStr">
        <is>
          <t>seasonal pattern of Aug/23-Jul/26</t>
        </is>
      </c>
      <c r="G143" t="n">
        <v>400.7983505747118</v>
      </c>
      <c r="H143" t="inlineStr">
        <is>
          <t>projected from net injection</t>
        </is>
      </c>
      <c r="I143" t="n">
        <v>563.188</v>
      </c>
      <c r="J143" t="n">
        <v>71.16599618150809</v>
      </c>
    </row>
    <row r="144">
      <c r="A144" t="n">
        <v>142</v>
      </c>
      <c r="B144" s="3" t="n">
        <v>48519</v>
      </c>
      <c r="C144" t="n">
        <v>1.881788888888889</v>
      </c>
      <c r="D144" t="n">
        <v>1.287677777777778</v>
      </c>
      <c r="E144" t="n">
        <v>0.5941111111111113</v>
      </c>
      <c r="F144" t="inlineStr">
        <is>
          <t>seasonal pattern of Aug/23-Jul/26</t>
        </is>
      </c>
      <c r="G144" t="n">
        <v>418.6216839080452</v>
      </c>
      <c r="H144" t="inlineStr">
        <is>
          <t>projected from net injection</t>
        </is>
      </c>
      <c r="I144" t="n">
        <v>563.188</v>
      </c>
      <c r="J144" t="n">
        <v>74.33071796772039</v>
      </c>
    </row>
    <row r="145">
      <c r="A145" t="n">
        <v>143</v>
      </c>
      <c r="B145" s="3" t="n">
        <v>48549</v>
      </c>
      <c r="C145" t="n">
        <v>1.379204301075269</v>
      </c>
      <c r="D145" t="n">
        <v>2.158774193548387</v>
      </c>
      <c r="E145" t="n">
        <v>-0.7795698924731187</v>
      </c>
      <c r="F145" t="inlineStr">
        <is>
          <t>seasonal pattern of Aug/23-Jul/26</t>
        </is>
      </c>
      <c r="G145" t="n">
        <v>394.4550172413785</v>
      </c>
      <c r="H145" t="inlineStr">
        <is>
          <t>projected from net injection</t>
        </is>
      </c>
      <c r="I145" t="n">
        <v>563.188</v>
      </c>
      <c r="J145" t="n">
        <v>70.03967009974973</v>
      </c>
    </row>
    <row r="146">
      <c r="A146" t="n">
        <v>144</v>
      </c>
      <c r="B146" s="3" t="n">
        <v>48580</v>
      </c>
      <c r="C146" t="n">
        <v>0.9953118279569892</v>
      </c>
      <c r="D146" t="n">
        <v>4.435344086021505</v>
      </c>
      <c r="E146" t="n">
        <v>-3.440032258064516</v>
      </c>
      <c r="F146" t="inlineStr">
        <is>
          <t>seasonal pattern of Aug/23-Jul/26</t>
        </is>
      </c>
      <c r="G146" t="n">
        <v>287.8140172413785</v>
      </c>
      <c r="H146" t="inlineStr">
        <is>
          <t>projected from net injection</t>
        </is>
      </c>
      <c r="I146" t="n">
        <v>563.188</v>
      </c>
      <c r="J146" t="n">
        <v>51.10443000230445</v>
      </c>
    </row>
    <row r="147">
      <c r="A147" t="n">
        <v>145</v>
      </c>
      <c r="B147" s="3" t="n">
        <v>48611</v>
      </c>
      <c r="C147" t="n">
        <v>1.637940886699507</v>
      </c>
      <c r="D147" t="n">
        <v>2.852903530377668</v>
      </c>
      <c r="E147" t="n">
        <v>-1.214962643678161</v>
      </c>
      <c r="F147" t="inlineStr">
        <is>
          <t>seasonal pattern of Aug/23-Jul/26</t>
        </is>
      </c>
      <c r="G147" t="n">
        <v>253.7950632183899</v>
      </c>
      <c r="H147" t="inlineStr">
        <is>
          <t>projected from net injection</t>
        </is>
      </c>
      <c r="I147" t="n">
        <v>563.188</v>
      </c>
      <c r="J147" t="n">
        <v>45.06400406585189</v>
      </c>
    </row>
    <row r="148">
      <c r="A148" t="n">
        <v>146</v>
      </c>
      <c r="B148" s="3" t="n">
        <v>48639</v>
      </c>
      <c r="C148" t="n">
        <v>2.392172043010753</v>
      </c>
      <c r="D148" t="n">
        <v>1.187268817204301</v>
      </c>
      <c r="E148" t="n">
        <v>1.204903225806452</v>
      </c>
      <c r="F148" t="inlineStr">
        <is>
          <t>seasonal pattern of Aug/23-Jul/26</t>
        </is>
      </c>
      <c r="G148" t="n">
        <v>291.1470632183899</v>
      </c>
      <c r="H148" t="inlineStr">
        <is>
          <t>projected from net injection</t>
        </is>
      </c>
      <c r="I148" t="n">
        <v>563.188</v>
      </c>
      <c r="J148" t="n">
        <v>51.69624765058736</v>
      </c>
    </row>
    <row r="149">
      <c r="A149" t="n">
        <v>147</v>
      </c>
      <c r="B149" s="3" t="n">
        <v>48670</v>
      </c>
      <c r="C149" t="n">
        <v>2.271922222222222</v>
      </c>
      <c r="D149" t="n">
        <v>1.159666666666667</v>
      </c>
      <c r="E149" t="n">
        <v>1.112255555555556</v>
      </c>
      <c r="F149" t="inlineStr">
        <is>
          <t>seasonal pattern of Aug/23-Jul/26</t>
        </is>
      </c>
      <c r="G149" t="n">
        <v>324.5147298850566</v>
      </c>
      <c r="H149" t="inlineStr">
        <is>
          <t>projected from net injection</t>
        </is>
      </c>
      <c r="I149" t="n">
        <v>563.188</v>
      </c>
      <c r="J149" t="n">
        <v>57.62103061234554</v>
      </c>
    </row>
    <row r="150">
      <c r="A150" t="n">
        <v>148</v>
      </c>
      <c r="B150" s="3" t="n">
        <v>48700</v>
      </c>
      <c r="C150" t="n">
        <v>2.179247311827957</v>
      </c>
      <c r="D150" t="n">
        <v>1.123032258064516</v>
      </c>
      <c r="E150" t="n">
        <v>1.056215053763441</v>
      </c>
      <c r="F150" t="inlineStr">
        <is>
          <t>seasonal pattern of Aug/23-Jul/26</t>
        </is>
      </c>
      <c r="G150" t="n">
        <v>357.2573965517232</v>
      </c>
      <c r="H150" t="inlineStr">
        <is>
          <t>projected from net injection</t>
        </is>
      </c>
      <c r="I150" t="n">
        <v>563.188</v>
      </c>
      <c r="J150" t="n">
        <v>63.43483819820792</v>
      </c>
    </row>
    <row r="151">
      <c r="A151" t="n">
        <v>149</v>
      </c>
      <c r="B151" s="3" t="n">
        <v>48731</v>
      </c>
      <c r="C151" t="n">
        <v>1.835466666666667</v>
      </c>
      <c r="D151" t="n">
        <v>1.149211111111111</v>
      </c>
      <c r="E151" t="n">
        <v>0.6862555555555556</v>
      </c>
      <c r="F151" t="inlineStr">
        <is>
          <t>seasonal pattern of Aug/23-Jul/26</t>
        </is>
      </c>
      <c r="G151" t="n">
        <v>377.8450632183899</v>
      </c>
      <c r="H151" t="inlineStr">
        <is>
          <t>projected from net injection</t>
        </is>
      </c>
      <c r="I151" t="n">
        <v>563.188</v>
      </c>
      <c r="J151" t="n">
        <v>67.09039667364893</v>
      </c>
    </row>
    <row r="152">
      <c r="A152" t="n">
        <v>150</v>
      </c>
      <c r="B152" s="3" t="n">
        <v>48761</v>
      </c>
      <c r="C152" t="n">
        <v>1.445075268817204</v>
      </c>
      <c r="D152" t="n">
        <v>1.521387096774194</v>
      </c>
      <c r="E152" t="n">
        <v>-0.07631182795698943</v>
      </c>
      <c r="F152" t="inlineStr">
        <is>
          <t>seasonal pattern of Aug/23-Jul/26</t>
        </is>
      </c>
      <c r="G152" t="n">
        <v>375.4793965517232</v>
      </c>
      <c r="H152" t="inlineStr">
        <is>
          <t>projected from net injection</t>
        </is>
      </c>
      <c r="I152" t="n">
        <v>563.188</v>
      </c>
      <c r="J152" t="n">
        <v>66.67034747752496</v>
      </c>
    </row>
    <row r="153">
      <c r="A153" t="n">
        <v>151</v>
      </c>
      <c r="B153" s="3" t="n">
        <v>48792</v>
      </c>
      <c r="C153" t="n">
        <v>1.741763440860215</v>
      </c>
      <c r="D153" t="n">
        <v>2.883548387096774</v>
      </c>
      <c r="E153" t="n">
        <v>-1.141784946236559</v>
      </c>
      <c r="F153" t="inlineStr">
        <is>
          <t>seasonal pattern of Aug/23-Jul/26</t>
        </is>
      </c>
      <c r="G153" t="n">
        <v>340.0840632183899</v>
      </c>
      <c r="H153" t="inlineStr">
        <is>
          <t>projected from net injection</t>
        </is>
      </c>
      <c r="I153" t="n">
        <v>563.188</v>
      </c>
      <c r="J153" t="n">
        <v>60.38553080292724</v>
      </c>
    </row>
    <row r="154">
      <c r="A154" t="n">
        <v>152</v>
      </c>
      <c r="B154" s="3" t="n">
        <v>48823</v>
      </c>
      <c r="C154" t="n">
        <v>2.412133333333333</v>
      </c>
      <c r="D154" t="n">
        <v>2.104855555555555</v>
      </c>
      <c r="E154" t="n">
        <v>0.3072777777777778</v>
      </c>
      <c r="F154" t="inlineStr">
        <is>
          <t>seasonal pattern of Aug/23-Jul/26</t>
        </is>
      </c>
      <c r="G154" t="n">
        <v>349.3023965517232</v>
      </c>
      <c r="H154" t="inlineStr">
        <is>
          <t>projected from net injection</t>
        </is>
      </c>
      <c r="I154" t="n">
        <v>563.188</v>
      </c>
      <c r="J154" t="n">
        <v>62.02234361380625</v>
      </c>
    </row>
    <row r="155">
      <c r="A155" t="n">
        <v>153</v>
      </c>
      <c r="B155" s="3" t="n">
        <v>48853</v>
      </c>
      <c r="C155" t="n">
        <v>2.523494623655914</v>
      </c>
      <c r="D155" t="n">
        <v>1.056784946236559</v>
      </c>
      <c r="E155" t="n">
        <v>1.466709677419355</v>
      </c>
      <c r="F155" t="inlineStr">
        <is>
          <t>seasonal pattern of Aug/23-Jul/26</t>
        </is>
      </c>
      <c r="G155" t="n">
        <v>394.7703965517232</v>
      </c>
      <c r="H155" t="inlineStr">
        <is>
          <t>projected from net injection</t>
        </is>
      </c>
      <c r="I155" t="n">
        <v>563.188</v>
      </c>
      <c r="J155" t="n">
        <v>70.09566903977415</v>
      </c>
    </row>
    <row r="156">
      <c r="A156" t="n">
        <v>154</v>
      </c>
      <c r="B156" s="3" t="n">
        <v>48884</v>
      </c>
      <c r="C156" t="n">
        <v>1.881788888888889</v>
      </c>
      <c r="D156" t="n">
        <v>1.287677777777778</v>
      </c>
      <c r="E156" t="n">
        <v>0.5941111111111113</v>
      </c>
      <c r="F156" t="inlineStr">
        <is>
          <t>seasonal pattern of Aug/23-Jul/26</t>
        </is>
      </c>
      <c r="G156" t="n">
        <v>412.5937298850565</v>
      </c>
      <c r="H156" t="inlineStr">
        <is>
          <t>projected from net injection</t>
        </is>
      </c>
      <c r="I156" t="n">
        <v>563.188</v>
      </c>
      <c r="J156" t="n">
        <v>73.26039082598645</v>
      </c>
    </row>
    <row r="157">
      <c r="A157" t="n">
        <v>155</v>
      </c>
      <c r="B157" s="3" t="n">
        <v>48914</v>
      </c>
      <c r="C157" t="n">
        <v>1.379204301075269</v>
      </c>
      <c r="D157" t="n">
        <v>2.158774193548387</v>
      </c>
      <c r="E157" t="n">
        <v>-0.7795698924731187</v>
      </c>
      <c r="F157" t="inlineStr">
        <is>
          <t>seasonal pattern of Aug/23-Jul/26</t>
        </is>
      </c>
      <c r="G157" t="n">
        <v>388.4270632183898</v>
      </c>
      <c r="H157" t="inlineStr">
        <is>
          <t>projected from net injection</t>
        </is>
      </c>
      <c r="I157" t="n">
        <v>563.188</v>
      </c>
      <c r="J157" t="n">
        <v>68.96934295801577</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B1" t="inlineStr">
        <is>
          <t>Month</t>
        </is>
      </c>
      <c r="C1" t="inlineStr">
        <is>
          <t>Permian</t>
        </is>
      </c>
      <c r="D1" t="inlineStr">
        <is>
          <t>Eagle Ford</t>
        </is>
      </c>
      <c r="E1" t="inlineStr">
        <is>
          <t>Haynesville</t>
        </is>
      </c>
    </row>
    <row r="2">
      <c r="A2" t="n">
        <v>0</v>
      </c>
      <c r="B2" s="3" t="n">
        <v>45292</v>
      </c>
      <c r="C2" t="n">
        <v>22.60070695</v>
      </c>
      <c r="D2" t="n">
        <v>6.810729191</v>
      </c>
      <c r="E2" t="n">
        <v>15.5129487</v>
      </c>
    </row>
    <row r="3">
      <c r="A3" t="n">
        <v>1</v>
      </c>
      <c r="B3" s="3" t="n">
        <v>45323</v>
      </c>
      <c r="C3" t="n">
        <v>23.6885298</v>
      </c>
      <c r="D3" t="n">
        <v>7.088059058</v>
      </c>
      <c r="E3" t="n">
        <v>15.9884658</v>
      </c>
    </row>
    <row r="4">
      <c r="A4" t="n">
        <v>2</v>
      </c>
      <c r="B4" s="3" t="n">
        <v>45352</v>
      </c>
      <c r="C4" t="n">
        <v>24.05583491</v>
      </c>
      <c r="D4" t="n">
        <v>6.99178739</v>
      </c>
      <c r="E4" t="n">
        <v>15.37384573</v>
      </c>
    </row>
    <row r="5">
      <c r="A5" t="n">
        <v>3</v>
      </c>
      <c r="B5" s="3" t="n">
        <v>45383</v>
      </c>
      <c r="C5" t="n">
        <v>24.10951118</v>
      </c>
      <c r="D5" t="n">
        <v>6.774088774</v>
      </c>
      <c r="E5" t="n">
        <v>14.5398331</v>
      </c>
    </row>
    <row r="6">
      <c r="A6" t="n">
        <v>4</v>
      </c>
      <c r="B6" s="3" t="n">
        <v>45413</v>
      </c>
      <c r="C6" t="n">
        <v>24.29318</v>
      </c>
      <c r="D6" t="n">
        <v>7.263480583</v>
      </c>
      <c r="E6" t="n">
        <v>13.99121042</v>
      </c>
    </row>
    <row r="7">
      <c r="A7" t="n">
        <v>5</v>
      </c>
      <c r="B7" s="3" t="n">
        <v>45444</v>
      </c>
      <c r="C7" t="n">
        <v>24.97049957</v>
      </c>
      <c r="D7" t="n">
        <v>6.956873196</v>
      </c>
      <c r="E7" t="n">
        <v>13.97312853</v>
      </c>
    </row>
    <row r="8">
      <c r="A8" t="n">
        <v>6</v>
      </c>
      <c r="B8" s="3" t="n">
        <v>45474</v>
      </c>
      <c r="C8" t="n">
        <v>25.29604376</v>
      </c>
      <c r="D8" t="n">
        <v>6.975166216</v>
      </c>
      <c r="E8" t="n">
        <v>14.36683294</v>
      </c>
    </row>
    <row r="9">
      <c r="A9" t="n">
        <v>7</v>
      </c>
      <c r="B9" s="3" t="n">
        <v>45505</v>
      </c>
      <c r="C9" t="n">
        <v>25.74603458</v>
      </c>
      <c r="D9" t="n">
        <v>6.904345081</v>
      </c>
      <c r="E9" t="n">
        <v>14.31622364</v>
      </c>
    </row>
    <row r="10">
      <c r="A10" t="n">
        <v>8</v>
      </c>
      <c r="B10" s="3" t="n">
        <v>45536</v>
      </c>
      <c r="C10" t="n">
        <v>25.70119624</v>
      </c>
      <c r="D10" t="n">
        <v>6.835375797</v>
      </c>
      <c r="E10" t="n">
        <v>13.88182986</v>
      </c>
    </row>
    <row r="11">
      <c r="A11" t="n">
        <v>9</v>
      </c>
      <c r="B11" s="3" t="n">
        <v>45566</v>
      </c>
      <c r="C11" t="n">
        <v>26.28651631</v>
      </c>
      <c r="D11" t="n">
        <v>7.121950961</v>
      </c>
      <c r="E11" t="n">
        <v>13.86200819</v>
      </c>
    </row>
    <row r="12">
      <c r="A12" t="n">
        <v>10</v>
      </c>
      <c r="B12" s="3" t="n">
        <v>45597</v>
      </c>
      <c r="C12" t="n">
        <v>26.12051318</v>
      </c>
      <c r="D12" t="n">
        <v>7.036211586</v>
      </c>
      <c r="E12" t="n">
        <v>13.96993097</v>
      </c>
    </row>
    <row r="13">
      <c r="A13" t="n">
        <v>11</v>
      </c>
      <c r="B13" s="3" t="n">
        <v>45627</v>
      </c>
      <c r="C13" t="n">
        <v>26.52891686</v>
      </c>
      <c r="D13" t="n">
        <v>7.015674033</v>
      </c>
      <c r="E13" t="n">
        <v>13.96652865</v>
      </c>
    </row>
    <row r="14">
      <c r="A14" t="n">
        <v>12</v>
      </c>
      <c r="B14" s="3" t="n">
        <v>45658</v>
      </c>
      <c r="C14" t="n">
        <v>25.8628571</v>
      </c>
      <c r="D14" t="n">
        <v>6.869135746</v>
      </c>
      <c r="E14" t="n">
        <v>14.07609478</v>
      </c>
    </row>
    <row r="15">
      <c r="A15" t="n">
        <v>13</v>
      </c>
      <c r="B15" s="3" t="n">
        <v>45689</v>
      </c>
      <c r="C15" t="n">
        <v>26.24216551</v>
      </c>
      <c r="D15" t="n">
        <v>7.125572643</v>
      </c>
      <c r="E15" t="n">
        <v>14.19904244</v>
      </c>
    </row>
    <row r="16">
      <c r="A16" t="n">
        <v>14</v>
      </c>
      <c r="B16" s="3" t="n">
        <v>45717</v>
      </c>
      <c r="C16" t="n">
        <v>26.90011915</v>
      </c>
      <c r="D16" t="n">
        <v>7.119731392</v>
      </c>
      <c r="E16" t="n">
        <v>15.64172846</v>
      </c>
    </row>
    <row r="17">
      <c r="A17" t="n">
        <v>15</v>
      </c>
      <c r="B17" s="3" t="n">
        <v>45748</v>
      </c>
      <c r="C17" t="n">
        <v>26.86271651</v>
      </c>
      <c r="D17" t="n">
        <v>7.283700321</v>
      </c>
      <c r="E17" t="n">
        <v>15.25938095</v>
      </c>
    </row>
    <row r="18">
      <c r="A18" t="n">
        <v>16</v>
      </c>
      <c r="B18" s="3" t="n">
        <v>45778</v>
      </c>
      <c r="C18" t="n">
        <v>26.87354047</v>
      </c>
      <c r="D18" t="n">
        <v>7.334220824</v>
      </c>
      <c r="E18" t="n">
        <v>15.16893331</v>
      </c>
    </row>
    <row r="19">
      <c r="A19" t="n">
        <v>17</v>
      </c>
      <c r="B19" s="3" t="n">
        <v>45809</v>
      </c>
      <c r="C19" t="n">
        <v>27.44288166</v>
      </c>
      <c r="D19" t="n">
        <v>7.488568094</v>
      </c>
      <c r="E19" t="n">
        <v>14.30370188</v>
      </c>
    </row>
    <row r="20">
      <c r="A20" t="n">
        <v>18</v>
      </c>
      <c r="B20" s="3" t="n">
        <v>45839</v>
      </c>
      <c r="C20" t="n">
        <v>28.10213521</v>
      </c>
      <c r="D20" t="n">
        <v>7.505588408</v>
      </c>
      <c r="E20" t="n">
        <v>14.86413226</v>
      </c>
    </row>
    <row r="21">
      <c r="A21" t="n">
        <v>19</v>
      </c>
      <c r="B21" s="3" t="n">
        <v>45870</v>
      </c>
      <c r="C21" t="n">
        <v>28.369864</v>
      </c>
      <c r="D21" t="n">
        <v>7.609295584</v>
      </c>
      <c r="E21" t="n">
        <v>15.26826744</v>
      </c>
    </row>
    <row r="22">
      <c r="A22" t="n">
        <v>20</v>
      </c>
      <c r="B22" s="3" t="n">
        <v>45901</v>
      </c>
      <c r="C22" t="n">
        <v>28.56749256</v>
      </c>
      <c r="D22" t="n">
        <v>7.623852551</v>
      </c>
      <c r="E22" t="n">
        <v>14.88950594</v>
      </c>
    </row>
    <row r="23">
      <c r="A23" t="n">
        <v>21</v>
      </c>
      <c r="B23" s="3" t="n">
        <v>45931</v>
      </c>
      <c r="C23" t="n">
        <v>27.71589029</v>
      </c>
      <c r="D23" t="n">
        <v>7.688862829</v>
      </c>
      <c r="E23" t="n">
        <v>15.03678872</v>
      </c>
    </row>
    <row r="24">
      <c r="A24" t="n">
        <v>22</v>
      </c>
      <c r="B24" s="3" t="n">
        <v>45962</v>
      </c>
      <c r="C24" t="n">
        <v>28.67203573</v>
      </c>
      <c r="D24" t="n">
        <v>7.809604348</v>
      </c>
      <c r="E24" t="n">
        <v>15.72971333</v>
      </c>
    </row>
    <row r="25">
      <c r="A25" t="n">
        <v>23</v>
      </c>
      <c r="B25" s="3" t="n">
        <v>45992</v>
      </c>
      <c r="C25" t="n">
        <v>28.95910602</v>
      </c>
      <c r="D25" t="n">
        <v>7.805966912</v>
      </c>
      <c r="E25" t="n">
        <v>15.89689881</v>
      </c>
    </row>
    <row r="26">
      <c r="A26" t="n">
        <v>24</v>
      </c>
      <c r="B26" s="3" t="n">
        <v>46023</v>
      </c>
      <c r="C26" t="n">
        <v>27.5530688</v>
      </c>
      <c r="D26" t="n">
        <v>7.681563919</v>
      </c>
      <c r="E26" t="n">
        <v>15.44565525</v>
      </c>
    </row>
    <row r="27">
      <c r="A27" t="n">
        <v>25</v>
      </c>
      <c r="B27" s="3" t="n">
        <v>46054</v>
      </c>
      <c r="C27" t="n">
        <v>28.88916257</v>
      </c>
      <c r="D27" t="n">
        <v>7.666659921</v>
      </c>
      <c r="E27" t="n">
        <v>16.2069536</v>
      </c>
    </row>
    <row r="28">
      <c r="A28" t="n">
        <v>26</v>
      </c>
      <c r="B28" s="3" t="n">
        <v>46082</v>
      </c>
      <c r="C28" t="n">
        <v>28.82263279</v>
      </c>
      <c r="D28" t="n">
        <v>7.816471617</v>
      </c>
      <c r="E28" t="n">
        <v>16.36455215</v>
      </c>
    </row>
    <row r="29">
      <c r="A29" t="n">
        <v>27</v>
      </c>
      <c r="B29" s="3" t="n">
        <v>46113</v>
      </c>
      <c r="C29" t="n">
        <v>28.8747526</v>
      </c>
      <c r="D29" t="n">
        <v>7.87733337</v>
      </c>
      <c r="E29" t="n">
        <v>16.66743313</v>
      </c>
    </row>
    <row r="30">
      <c r="A30" t="n">
        <v>28</v>
      </c>
      <c r="B30" s="3" t="n">
        <v>46143</v>
      </c>
      <c r="C30" t="n">
        <v>28.8487544</v>
      </c>
      <c r="D30" t="n">
        <v>7.814257683</v>
      </c>
      <c r="E30" t="n">
        <v>16.27373471</v>
      </c>
    </row>
    <row r="31">
      <c r="A31" t="n">
        <v>29</v>
      </c>
      <c r="B31" s="3" t="n">
        <v>46174</v>
      </c>
      <c r="C31" t="n">
        <v>29.35056375</v>
      </c>
      <c r="D31" t="n">
        <v>7.921592685</v>
      </c>
      <c r="E31" t="n">
        <v>16.75236932</v>
      </c>
    </row>
    <row r="32">
      <c r="A32" t="n">
        <v>30</v>
      </c>
      <c r="B32" s="3" t="n">
        <v>46204</v>
      </c>
      <c r="C32" t="n">
        <v>30.38478184</v>
      </c>
      <c r="D32" t="n">
        <v>8.12644457</v>
      </c>
      <c r="E32" t="n">
        <v>17.04579952</v>
      </c>
    </row>
    <row r="33">
      <c r="A33" t="n">
        <v>31</v>
      </c>
      <c r="B33" s="3" t="n">
        <v>46235</v>
      </c>
      <c r="C33" t="n">
        <v>30.07051295</v>
      </c>
      <c r="D33" t="n">
        <v>8.059723625</v>
      </c>
      <c r="E33" t="n">
        <v>17.26022921</v>
      </c>
    </row>
    <row r="34">
      <c r="A34" t="n">
        <v>32</v>
      </c>
      <c r="B34" s="3" t="n">
        <v>46266</v>
      </c>
      <c r="C34" t="n">
        <v>30.20514606</v>
      </c>
      <c r="D34" t="n">
        <v>8.069557972</v>
      </c>
      <c r="E34" t="n">
        <v>17.37152715</v>
      </c>
    </row>
    <row r="35">
      <c r="A35" t="n">
        <v>33</v>
      </c>
      <c r="B35" s="3" t="n">
        <v>46296</v>
      </c>
      <c r="C35" t="n">
        <v>30.3323421</v>
      </c>
      <c r="D35" t="n">
        <v>8.088273467</v>
      </c>
      <c r="E35" t="n">
        <v>17.4393753</v>
      </c>
    </row>
    <row r="36">
      <c r="A36" t="n">
        <v>34</v>
      </c>
      <c r="B36" s="3" t="n">
        <v>46327</v>
      </c>
      <c r="C36" t="n">
        <v>30.45355609</v>
      </c>
      <c r="D36" t="n">
        <v>8.116497249</v>
      </c>
      <c r="E36" t="n">
        <v>17.44898832</v>
      </c>
    </row>
    <row r="37">
      <c r="A37" t="n">
        <v>35</v>
      </c>
      <c r="B37" s="3" t="n">
        <v>46357</v>
      </c>
      <c r="C37" t="n">
        <v>30.58209654</v>
      </c>
      <c r="D37" t="n">
        <v>8.146667548</v>
      </c>
      <c r="E37" t="n">
        <v>17.67545295</v>
      </c>
    </row>
    <row r="38">
      <c r="A38" t="n">
        <v>36</v>
      </c>
      <c r="B38" s="3" t="n">
        <v>46388</v>
      </c>
      <c r="C38" t="n">
        <v>30.15172012</v>
      </c>
      <c r="D38" t="n">
        <v>8.010079405000001</v>
      </c>
      <c r="E38" t="n">
        <v>17.44807592</v>
      </c>
    </row>
    <row r="39">
      <c r="A39" t="n">
        <v>37</v>
      </c>
      <c r="B39" s="3" t="n">
        <v>46419</v>
      </c>
      <c r="C39" t="n">
        <v>30.97206464</v>
      </c>
      <c r="D39" t="n">
        <v>8.204943993000001</v>
      </c>
      <c r="E39" t="n">
        <v>17.68244323</v>
      </c>
    </row>
    <row r="40">
      <c r="A40" t="n">
        <v>38</v>
      </c>
      <c r="B40" s="3" t="n">
        <v>46447</v>
      </c>
      <c r="C40" t="n">
        <v>31.17923163</v>
      </c>
      <c r="D40" t="n">
        <v>8.237736571999999</v>
      </c>
      <c r="E40" t="n">
        <v>17.68987194</v>
      </c>
    </row>
    <row r="41">
      <c r="A41" t="n">
        <v>39</v>
      </c>
      <c r="B41" s="3" t="n">
        <v>46478</v>
      </c>
      <c r="C41" t="n">
        <v>31.40202298</v>
      </c>
      <c r="D41" t="n">
        <v>8.267576801000001</v>
      </c>
      <c r="E41" t="n">
        <v>17.70095648</v>
      </c>
    </row>
    <row r="42">
      <c r="A42" t="n">
        <v>40</v>
      </c>
      <c r="B42" s="3" t="n">
        <v>46508</v>
      </c>
      <c r="C42" t="n">
        <v>31.64563043</v>
      </c>
      <c r="D42" t="n">
        <v>8.299952638000001</v>
      </c>
      <c r="E42" t="n">
        <v>17.71517373</v>
      </c>
    </row>
    <row r="43">
      <c r="A43" t="n">
        <v>41</v>
      </c>
      <c r="B43" s="3" t="n">
        <v>46539</v>
      </c>
      <c r="C43" t="n">
        <v>31.90672896</v>
      </c>
      <c r="D43" t="n">
        <v>8.333953709999999</v>
      </c>
      <c r="E43" t="n">
        <v>17.73200248</v>
      </c>
    </row>
    <row r="44">
      <c r="A44" t="n">
        <v>42</v>
      </c>
      <c r="B44" s="3" t="n">
        <v>46569</v>
      </c>
      <c r="C44" t="n">
        <v>32.17844338</v>
      </c>
      <c r="D44" t="n">
        <v>8.368528754</v>
      </c>
      <c r="E44" t="n">
        <v>17.7630956</v>
      </c>
    </row>
    <row r="45">
      <c r="A45" t="n">
        <v>43</v>
      </c>
      <c r="B45" s="3" t="n">
        <v>46600</v>
      </c>
      <c r="C45" t="n">
        <v>32.45100548</v>
      </c>
      <c r="D45" t="n">
        <v>8.403173149000001</v>
      </c>
      <c r="E45" t="n">
        <v>17.8080678</v>
      </c>
    </row>
    <row r="46">
      <c r="A46" t="n">
        <v>44</v>
      </c>
      <c r="B46" s="3" t="n">
        <v>46631</v>
      </c>
      <c r="C46" t="n">
        <v>32.72272298</v>
      </c>
      <c r="D46" t="n">
        <v>8.437063704</v>
      </c>
      <c r="E46" t="n">
        <v>17.85227567</v>
      </c>
    </row>
    <row r="47">
      <c r="A47" t="n">
        <v>45</v>
      </c>
      <c r="B47" s="3" t="n">
        <v>46661</v>
      </c>
      <c r="C47" t="n">
        <v>32.98902567</v>
      </c>
      <c r="D47" t="n">
        <v>8.474461458</v>
      </c>
      <c r="E47" t="n">
        <v>17.9030494</v>
      </c>
    </row>
    <row r="48">
      <c r="A48" t="n">
        <v>46</v>
      </c>
      <c r="B48" s="3" t="n">
        <v>46692</v>
      </c>
      <c r="C48" t="n">
        <v>33.24473096</v>
      </c>
      <c r="D48" t="n">
        <v>8.514070868999999</v>
      </c>
      <c r="E48" t="n">
        <v>17.96035389</v>
      </c>
    </row>
    <row r="49">
      <c r="A49" t="n">
        <v>47</v>
      </c>
      <c r="B49" s="3" t="n">
        <v>46722</v>
      </c>
      <c r="C49" t="n">
        <v>33.49180042</v>
      </c>
      <c r="D49" t="n">
        <v>8.550476557</v>
      </c>
      <c r="E49" t="n">
        <v>18.01557547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2026-10-28T01:43:08Z</dcterms:created>
  <dcterms:modified xsi:type="dcterms:W3CDTF">2026-10-28T01:43:09Z</dcterms:modified>
</cp:coreProperties>
</file>