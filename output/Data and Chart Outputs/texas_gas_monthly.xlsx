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Chart - LNG forecast" sheetId="3" state="visible" r:id="rId3"/>
    <sheet name="Chart - Consumption" sheetId="4" state="visible" r:id="rId4"/>
    <sheet name="Chart - Exports" sheetId="5" state="visible" r:id="rId5"/>
    <sheet name="Chart - Mexico crossings" sheetId="6" state="visible" r:id="rId6"/>
    <sheet name="Chart - Balance" sheetId="7" state="visible" r:id="rId7"/>
    <sheet name="Assump - LNG" sheetId="8" state="visible" r:id="rId8"/>
    <sheet name="Forecast" sheetId="9" state="visible" r:id="rId9"/>
    <sheet name="LNG trains calc" sheetId="10" state="visible" r:id="rId10"/>
    <sheet name="Consumption by sector" sheetId="11" state="visible" r:id="rId11"/>
    <sheet name="Exports" sheetId="12" state="visible" r:id="rId12"/>
    <sheet name="Mexico by crossing" sheetId="13" state="visible" r:id="rId13"/>
    <sheet name="Balance" sheetId="14" state="visible" r:id="rId14"/>
    <sheet name="Latest and YoY" sheetId="15" state="visible" r:id="rId15"/>
    <sheet name="Forecast values" sheetId="16" state="visible" r:id="rId16"/>
    <sheet name="Raw MMcf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mmm/yy"/>
    <numFmt numFmtId="166" formatCode="0.000"/>
    <numFmt numFmtId="167" formatCode="yyyy-mm-dd 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DDEBF7"/>
        <b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165" fontId="0" fillId="0" borderId="0" pivotButton="0" quotePrefix="0" xfId="0"/>
    <xf numFmtId="0" fontId="1" fillId="0" borderId="0" pivotButton="0" quotePrefix="0" xfId="0"/>
    <xf numFmtId="0" fontId="1" fillId="3" borderId="0" applyAlignment="1" pivotButton="0" quotePrefix="0" xfId="0">
      <alignment vertical="top" wrapText="1"/>
    </xf>
    <xf numFmtId="165" fontId="0" fillId="2" borderId="0" pivotButton="0" quotePrefix="0" xfId="0"/>
    <xf numFmtId="166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2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Texas gas demand including LNG feedgas: consumption by sector plus LNG (EIA history, forecast to Dec/28) (to Dec/28; forecast from Aug/26, lighter bars)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dPt>
            <idx val="67"/>
            <invertIfNegative val="0"/>
            <spPr>
              <a:solidFill>
                <a:srgbClr val="9FC2EC"/>
              </a:solidFill>
              <a:ln>
                <a:noFill/>
                <a:prstDash val="solid"/>
              </a:ln>
            </spPr>
          </dPt>
          <dPt>
            <idx val="68"/>
            <invertIfNegative val="0"/>
            <spPr>
              <a:solidFill>
                <a:srgbClr val="9FC2EC"/>
              </a:solidFill>
              <a:ln>
                <a:noFill/>
                <a:prstDash val="solid"/>
              </a:ln>
            </spPr>
          </dPt>
          <dPt>
            <idx val="69"/>
            <invertIfNegative val="0"/>
            <spPr>
              <a:solidFill>
                <a:srgbClr val="9FC2EC"/>
              </a:solidFill>
              <a:ln>
                <a:noFill/>
                <a:prstDash val="solid"/>
              </a:ln>
            </spPr>
          </dPt>
          <dPt>
            <idx val="70"/>
            <invertIfNegative val="0"/>
            <spPr>
              <a:solidFill>
                <a:srgbClr val="9FC2EC"/>
              </a:solidFill>
              <a:ln>
                <a:noFill/>
                <a:prstDash val="solid"/>
              </a:ln>
            </spPr>
          </dPt>
          <dPt>
            <idx val="71"/>
            <invertIfNegative val="0"/>
            <spPr>
              <a:solidFill>
                <a:srgbClr val="9FC2EC"/>
              </a:solidFill>
              <a:ln>
                <a:noFill/>
                <a:prstDash val="solid"/>
              </a:ln>
            </spPr>
          </dPt>
          <dPt>
            <idx val="72"/>
            <invertIfNegative val="0"/>
            <spPr>
              <a:solidFill>
                <a:srgbClr val="9FC2EC"/>
              </a:solidFill>
              <a:ln>
                <a:noFill/>
                <a:prstDash val="solid"/>
              </a:ln>
            </spPr>
          </dPt>
          <dPt>
            <idx val="73"/>
            <invertIfNegative val="0"/>
            <spPr>
              <a:solidFill>
                <a:srgbClr val="9FC2EC"/>
              </a:solidFill>
              <a:ln>
                <a:noFill/>
                <a:prstDash val="solid"/>
              </a:ln>
            </spPr>
          </dPt>
          <dPt>
            <idx val="74"/>
            <invertIfNegative val="0"/>
            <spPr>
              <a:solidFill>
                <a:srgbClr val="9FC2EC"/>
              </a:solidFill>
              <a:ln>
                <a:noFill/>
                <a:prstDash val="solid"/>
              </a:ln>
            </spPr>
          </dPt>
          <dPt>
            <idx val="75"/>
            <invertIfNegative val="0"/>
            <spPr>
              <a:solidFill>
                <a:srgbClr val="9FC2EC"/>
              </a:solidFill>
              <a:ln>
                <a:noFill/>
                <a:prstDash val="solid"/>
              </a:ln>
            </spPr>
          </dPt>
          <dPt>
            <idx val="76"/>
            <invertIfNegative val="0"/>
            <spPr>
              <a:solidFill>
                <a:srgbClr val="9FC2EC"/>
              </a:solidFill>
              <a:ln>
                <a:noFill/>
                <a:prstDash val="solid"/>
              </a:ln>
            </spPr>
          </dPt>
          <dPt>
            <idx val="77"/>
            <invertIfNegative val="0"/>
            <spPr>
              <a:solidFill>
                <a:srgbClr val="9FC2EC"/>
              </a:solidFill>
              <a:ln>
                <a:noFill/>
                <a:prstDash val="solid"/>
              </a:ln>
            </spPr>
          </dPt>
          <dPt>
            <idx val="78"/>
            <invertIfNegative val="0"/>
            <spPr>
              <a:solidFill>
                <a:srgbClr val="9FC2EC"/>
              </a:solidFill>
              <a:ln>
                <a:noFill/>
                <a:prstDash val="solid"/>
              </a:ln>
            </spPr>
          </dPt>
          <dPt>
            <idx val="79"/>
            <invertIfNegative val="0"/>
            <spPr>
              <a:solidFill>
                <a:srgbClr val="9FC2EC"/>
              </a:solidFill>
              <a:ln>
                <a:noFill/>
                <a:prstDash val="solid"/>
              </a:ln>
            </spPr>
          </dPt>
          <dPt>
            <idx val="80"/>
            <invertIfNegative val="0"/>
            <spPr>
              <a:solidFill>
                <a:srgbClr val="9FC2EC"/>
              </a:solidFill>
              <a:ln>
                <a:noFill/>
                <a:prstDash val="solid"/>
              </a:ln>
            </spPr>
          </dPt>
          <dPt>
            <idx val="81"/>
            <invertIfNegative val="0"/>
            <spPr>
              <a:solidFill>
                <a:srgbClr val="9FC2EC"/>
              </a:solidFill>
              <a:ln>
                <a:noFill/>
                <a:prstDash val="solid"/>
              </a:ln>
            </spPr>
          </dPt>
          <dPt>
            <idx val="82"/>
            <invertIfNegative val="0"/>
            <spPr>
              <a:solidFill>
                <a:srgbClr val="9FC2EC"/>
              </a:solidFill>
              <a:ln>
                <a:noFill/>
                <a:prstDash val="solid"/>
              </a:ln>
            </spPr>
          </dPt>
          <dPt>
            <idx val="83"/>
            <invertIfNegative val="0"/>
            <spPr>
              <a:solidFill>
                <a:srgbClr val="9FC2EC"/>
              </a:solidFill>
              <a:ln>
                <a:noFill/>
                <a:prstDash val="solid"/>
              </a:ln>
            </spPr>
          </dPt>
          <dPt>
            <idx val="84"/>
            <invertIfNegative val="0"/>
            <spPr>
              <a:solidFill>
                <a:srgbClr val="9FC2EC"/>
              </a:solidFill>
              <a:ln>
                <a:noFill/>
                <a:prstDash val="solid"/>
              </a:ln>
            </spPr>
          </dPt>
          <dPt>
            <idx val="85"/>
            <invertIfNegative val="0"/>
            <spPr>
              <a:solidFill>
                <a:srgbClr val="9FC2EC"/>
              </a:solidFill>
              <a:ln>
                <a:noFill/>
                <a:prstDash val="solid"/>
              </a:ln>
            </spPr>
          </dPt>
          <dPt>
            <idx val="86"/>
            <invertIfNegative val="0"/>
            <spPr>
              <a:solidFill>
                <a:srgbClr val="9FC2EC"/>
              </a:solidFill>
              <a:ln>
                <a:noFill/>
                <a:prstDash val="solid"/>
              </a:ln>
            </spPr>
          </dPt>
          <dPt>
            <idx val="87"/>
            <invertIfNegative val="0"/>
            <spPr>
              <a:solidFill>
                <a:srgbClr val="9FC2EC"/>
              </a:solidFill>
              <a:ln>
                <a:noFill/>
                <a:prstDash val="solid"/>
              </a:ln>
            </spPr>
          </dPt>
          <dPt>
            <idx val="88"/>
            <invertIfNegative val="0"/>
            <spPr>
              <a:solidFill>
                <a:srgbClr val="9FC2EC"/>
              </a:solidFill>
              <a:ln>
                <a:noFill/>
                <a:prstDash val="solid"/>
              </a:ln>
            </spPr>
          </dPt>
          <dPt>
            <idx val="89"/>
            <invertIfNegative val="0"/>
            <spPr>
              <a:solidFill>
                <a:srgbClr val="9FC2EC"/>
              </a:solidFill>
              <a:ln>
                <a:noFill/>
                <a:prstDash val="solid"/>
              </a:ln>
            </spPr>
          </dPt>
          <dPt>
            <idx val="90"/>
            <invertIfNegative val="0"/>
            <spPr>
              <a:solidFill>
                <a:srgbClr val="9FC2EC"/>
              </a:solidFill>
              <a:ln>
                <a:noFill/>
                <a:prstDash val="solid"/>
              </a:ln>
            </spPr>
          </dPt>
          <dPt>
            <idx val="91"/>
            <invertIfNegative val="0"/>
            <spPr>
              <a:solidFill>
                <a:srgbClr val="9FC2EC"/>
              </a:solidFill>
              <a:ln>
                <a:noFill/>
                <a:prstDash val="solid"/>
              </a:ln>
            </spPr>
          </dPt>
          <dPt>
            <idx val="92"/>
            <invertIfNegative val="0"/>
            <spPr>
              <a:solidFill>
                <a:srgbClr val="9FC2EC"/>
              </a:solidFill>
              <a:ln>
                <a:noFill/>
                <a:prstDash val="solid"/>
              </a:ln>
            </spPr>
          </dPt>
          <dPt>
            <idx val="93"/>
            <invertIfNegative val="0"/>
            <spPr>
              <a:solidFill>
                <a:srgbClr val="9FC2EC"/>
              </a:solidFill>
              <a:ln>
                <a:noFill/>
                <a:prstDash val="solid"/>
              </a:ln>
            </spPr>
          </dPt>
          <dPt>
            <idx val="94"/>
            <invertIfNegative val="0"/>
            <spPr>
              <a:solidFill>
                <a:srgbClr val="9FC2EC"/>
              </a:solidFill>
              <a:ln>
                <a:noFill/>
                <a:prstDash val="solid"/>
              </a:ln>
            </spPr>
          </dPt>
          <dPt>
            <idx val="95"/>
            <invertIfNegative val="0"/>
            <spPr>
              <a:solidFill>
                <a:srgbClr val="9FC2EC"/>
              </a:solidFill>
              <a:ln>
                <a:noFill/>
                <a:prstDash val="solid"/>
              </a:ln>
            </spPr>
          </dPt>
          <cat>
            <numRef>
              <f>'Chart'!$A$2:$A$97</f>
            </numRef>
          </cat>
          <val>
            <numRef>
              <f>'Chart'!$B$2:$B$97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dPt>
            <idx val="67"/>
            <invertIfNegative val="0"/>
            <spPr>
              <a:solidFill>
                <a:srgbClr val="F6BBA3"/>
              </a:solidFill>
              <a:ln>
                <a:noFill/>
                <a:prstDash val="solid"/>
              </a:ln>
            </spPr>
          </dPt>
          <dPt>
            <idx val="68"/>
            <invertIfNegative val="0"/>
            <spPr>
              <a:solidFill>
                <a:srgbClr val="F6BBA3"/>
              </a:solidFill>
              <a:ln>
                <a:noFill/>
                <a:prstDash val="solid"/>
              </a:ln>
            </spPr>
          </dPt>
          <dPt>
            <idx val="69"/>
            <invertIfNegative val="0"/>
            <spPr>
              <a:solidFill>
                <a:srgbClr val="F6BBA3"/>
              </a:solidFill>
              <a:ln>
                <a:noFill/>
                <a:prstDash val="solid"/>
              </a:ln>
            </spPr>
          </dPt>
          <dPt>
            <idx val="70"/>
            <invertIfNegative val="0"/>
            <spPr>
              <a:solidFill>
                <a:srgbClr val="F6BBA3"/>
              </a:solidFill>
              <a:ln>
                <a:noFill/>
                <a:prstDash val="solid"/>
              </a:ln>
            </spPr>
          </dPt>
          <dPt>
            <idx val="71"/>
            <invertIfNegative val="0"/>
            <spPr>
              <a:solidFill>
                <a:srgbClr val="F6BBA3"/>
              </a:solidFill>
              <a:ln>
                <a:noFill/>
                <a:prstDash val="solid"/>
              </a:ln>
            </spPr>
          </dPt>
          <dPt>
            <idx val="72"/>
            <invertIfNegative val="0"/>
            <spPr>
              <a:solidFill>
                <a:srgbClr val="F6BBA3"/>
              </a:solidFill>
              <a:ln>
                <a:noFill/>
                <a:prstDash val="solid"/>
              </a:ln>
            </spPr>
          </dPt>
          <dPt>
            <idx val="73"/>
            <invertIfNegative val="0"/>
            <spPr>
              <a:solidFill>
                <a:srgbClr val="F6BBA3"/>
              </a:solidFill>
              <a:ln>
                <a:noFill/>
                <a:prstDash val="solid"/>
              </a:ln>
            </spPr>
          </dPt>
          <dPt>
            <idx val="74"/>
            <invertIfNegative val="0"/>
            <spPr>
              <a:solidFill>
                <a:srgbClr val="F6BBA3"/>
              </a:solidFill>
              <a:ln>
                <a:noFill/>
                <a:prstDash val="solid"/>
              </a:ln>
            </spPr>
          </dPt>
          <dPt>
            <idx val="75"/>
            <invertIfNegative val="0"/>
            <spPr>
              <a:solidFill>
                <a:srgbClr val="F6BBA3"/>
              </a:solidFill>
              <a:ln>
                <a:noFill/>
                <a:prstDash val="solid"/>
              </a:ln>
            </spPr>
          </dPt>
          <dPt>
            <idx val="76"/>
            <invertIfNegative val="0"/>
            <spPr>
              <a:solidFill>
                <a:srgbClr val="F6BBA3"/>
              </a:solidFill>
              <a:ln>
                <a:noFill/>
                <a:prstDash val="solid"/>
              </a:ln>
            </spPr>
          </dPt>
          <dPt>
            <idx val="77"/>
            <invertIfNegative val="0"/>
            <spPr>
              <a:solidFill>
                <a:srgbClr val="F6BBA3"/>
              </a:solidFill>
              <a:ln>
                <a:noFill/>
                <a:prstDash val="solid"/>
              </a:ln>
            </spPr>
          </dPt>
          <dPt>
            <idx val="78"/>
            <invertIfNegative val="0"/>
            <spPr>
              <a:solidFill>
                <a:srgbClr val="F6BBA3"/>
              </a:solidFill>
              <a:ln>
                <a:noFill/>
                <a:prstDash val="solid"/>
              </a:ln>
            </spPr>
          </dPt>
          <dPt>
            <idx val="79"/>
            <invertIfNegative val="0"/>
            <spPr>
              <a:solidFill>
                <a:srgbClr val="F6BBA3"/>
              </a:solidFill>
              <a:ln>
                <a:noFill/>
                <a:prstDash val="solid"/>
              </a:ln>
            </spPr>
          </dPt>
          <dPt>
            <idx val="80"/>
            <invertIfNegative val="0"/>
            <spPr>
              <a:solidFill>
                <a:srgbClr val="F6BBA3"/>
              </a:solidFill>
              <a:ln>
                <a:noFill/>
                <a:prstDash val="solid"/>
              </a:ln>
            </spPr>
          </dPt>
          <dPt>
            <idx val="81"/>
            <invertIfNegative val="0"/>
            <spPr>
              <a:solidFill>
                <a:srgbClr val="F6BBA3"/>
              </a:solidFill>
              <a:ln>
                <a:noFill/>
                <a:prstDash val="solid"/>
              </a:ln>
            </spPr>
          </dPt>
          <dPt>
            <idx val="82"/>
            <invertIfNegative val="0"/>
            <spPr>
              <a:solidFill>
                <a:srgbClr val="F6BBA3"/>
              </a:solidFill>
              <a:ln>
                <a:noFill/>
                <a:prstDash val="solid"/>
              </a:ln>
            </spPr>
          </dPt>
          <dPt>
            <idx val="83"/>
            <invertIfNegative val="0"/>
            <spPr>
              <a:solidFill>
                <a:srgbClr val="F6BBA3"/>
              </a:solidFill>
              <a:ln>
                <a:noFill/>
                <a:prstDash val="solid"/>
              </a:ln>
            </spPr>
          </dPt>
          <dPt>
            <idx val="84"/>
            <invertIfNegative val="0"/>
            <spPr>
              <a:solidFill>
                <a:srgbClr val="F6BBA3"/>
              </a:solidFill>
              <a:ln>
                <a:noFill/>
                <a:prstDash val="solid"/>
              </a:ln>
            </spPr>
          </dPt>
          <dPt>
            <idx val="85"/>
            <invertIfNegative val="0"/>
            <spPr>
              <a:solidFill>
                <a:srgbClr val="F6BBA3"/>
              </a:solidFill>
              <a:ln>
                <a:noFill/>
                <a:prstDash val="solid"/>
              </a:ln>
            </spPr>
          </dPt>
          <dPt>
            <idx val="86"/>
            <invertIfNegative val="0"/>
            <spPr>
              <a:solidFill>
                <a:srgbClr val="F6BBA3"/>
              </a:solidFill>
              <a:ln>
                <a:noFill/>
                <a:prstDash val="solid"/>
              </a:ln>
            </spPr>
          </dPt>
          <dPt>
            <idx val="87"/>
            <invertIfNegative val="0"/>
            <spPr>
              <a:solidFill>
                <a:srgbClr val="F6BBA3"/>
              </a:solidFill>
              <a:ln>
                <a:noFill/>
                <a:prstDash val="solid"/>
              </a:ln>
            </spPr>
          </dPt>
          <dPt>
            <idx val="88"/>
            <invertIfNegative val="0"/>
            <spPr>
              <a:solidFill>
                <a:srgbClr val="F6BBA3"/>
              </a:solidFill>
              <a:ln>
                <a:noFill/>
                <a:prstDash val="solid"/>
              </a:ln>
            </spPr>
          </dPt>
          <dPt>
            <idx val="89"/>
            <invertIfNegative val="0"/>
            <spPr>
              <a:solidFill>
                <a:srgbClr val="F6BBA3"/>
              </a:solidFill>
              <a:ln>
                <a:noFill/>
                <a:prstDash val="solid"/>
              </a:ln>
            </spPr>
          </dPt>
          <dPt>
            <idx val="90"/>
            <invertIfNegative val="0"/>
            <spPr>
              <a:solidFill>
                <a:srgbClr val="F6BBA3"/>
              </a:solidFill>
              <a:ln>
                <a:noFill/>
                <a:prstDash val="solid"/>
              </a:ln>
            </spPr>
          </dPt>
          <dPt>
            <idx val="91"/>
            <invertIfNegative val="0"/>
            <spPr>
              <a:solidFill>
                <a:srgbClr val="F6BBA3"/>
              </a:solidFill>
              <a:ln>
                <a:noFill/>
                <a:prstDash val="solid"/>
              </a:ln>
            </spPr>
          </dPt>
          <dPt>
            <idx val="92"/>
            <invertIfNegative val="0"/>
            <spPr>
              <a:solidFill>
                <a:srgbClr val="F6BBA3"/>
              </a:solidFill>
              <a:ln>
                <a:noFill/>
                <a:prstDash val="solid"/>
              </a:ln>
            </spPr>
          </dPt>
          <dPt>
            <idx val="93"/>
            <invertIfNegative val="0"/>
            <spPr>
              <a:solidFill>
                <a:srgbClr val="F6BBA3"/>
              </a:solidFill>
              <a:ln>
                <a:noFill/>
                <a:prstDash val="solid"/>
              </a:ln>
            </spPr>
          </dPt>
          <dPt>
            <idx val="94"/>
            <invertIfNegative val="0"/>
            <spPr>
              <a:solidFill>
                <a:srgbClr val="F6BBA3"/>
              </a:solidFill>
              <a:ln>
                <a:noFill/>
                <a:prstDash val="solid"/>
              </a:ln>
            </spPr>
          </dPt>
          <dPt>
            <idx val="95"/>
            <invertIfNegative val="0"/>
            <spPr>
              <a:solidFill>
                <a:srgbClr val="F6BBA3"/>
              </a:solidFill>
              <a:ln>
                <a:noFill/>
                <a:prstDash val="solid"/>
              </a:ln>
            </spPr>
          </dPt>
          <cat>
            <numRef>
              <f>'Chart'!$A$2:$A$97</f>
            </numRef>
          </cat>
          <val>
            <numRef>
              <f>'Chart'!$C$2:$C$97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dPt>
            <idx val="67"/>
            <invertIfNegative val="0"/>
            <spPr>
              <a:solidFill>
                <a:srgbClr val="98DBC3"/>
              </a:solidFill>
              <a:ln>
                <a:noFill/>
                <a:prstDash val="solid"/>
              </a:ln>
            </spPr>
          </dPt>
          <dPt>
            <idx val="68"/>
            <invertIfNegative val="0"/>
            <spPr>
              <a:solidFill>
                <a:srgbClr val="98DBC3"/>
              </a:solidFill>
              <a:ln>
                <a:noFill/>
                <a:prstDash val="solid"/>
              </a:ln>
            </spPr>
          </dPt>
          <dPt>
            <idx val="69"/>
            <invertIfNegative val="0"/>
            <spPr>
              <a:solidFill>
                <a:srgbClr val="98DBC3"/>
              </a:solidFill>
              <a:ln>
                <a:noFill/>
                <a:prstDash val="solid"/>
              </a:ln>
            </spPr>
          </dPt>
          <dPt>
            <idx val="70"/>
            <invertIfNegative val="0"/>
            <spPr>
              <a:solidFill>
                <a:srgbClr val="98DBC3"/>
              </a:solidFill>
              <a:ln>
                <a:noFill/>
                <a:prstDash val="solid"/>
              </a:ln>
            </spPr>
          </dPt>
          <dPt>
            <idx val="71"/>
            <invertIfNegative val="0"/>
            <spPr>
              <a:solidFill>
                <a:srgbClr val="98DBC3"/>
              </a:solidFill>
              <a:ln>
                <a:noFill/>
                <a:prstDash val="solid"/>
              </a:ln>
            </spPr>
          </dPt>
          <dPt>
            <idx val="72"/>
            <invertIfNegative val="0"/>
            <spPr>
              <a:solidFill>
                <a:srgbClr val="98DBC3"/>
              </a:solidFill>
              <a:ln>
                <a:noFill/>
                <a:prstDash val="solid"/>
              </a:ln>
            </spPr>
          </dPt>
          <dPt>
            <idx val="73"/>
            <invertIfNegative val="0"/>
            <spPr>
              <a:solidFill>
                <a:srgbClr val="98DBC3"/>
              </a:solidFill>
              <a:ln>
                <a:noFill/>
                <a:prstDash val="solid"/>
              </a:ln>
            </spPr>
          </dPt>
          <dPt>
            <idx val="74"/>
            <invertIfNegative val="0"/>
            <spPr>
              <a:solidFill>
                <a:srgbClr val="98DBC3"/>
              </a:solidFill>
              <a:ln>
                <a:noFill/>
                <a:prstDash val="solid"/>
              </a:ln>
            </spPr>
          </dPt>
          <dPt>
            <idx val="75"/>
            <invertIfNegative val="0"/>
            <spPr>
              <a:solidFill>
                <a:srgbClr val="98DBC3"/>
              </a:solidFill>
              <a:ln>
                <a:noFill/>
                <a:prstDash val="solid"/>
              </a:ln>
            </spPr>
          </dPt>
          <dPt>
            <idx val="76"/>
            <invertIfNegative val="0"/>
            <spPr>
              <a:solidFill>
                <a:srgbClr val="98DBC3"/>
              </a:solidFill>
              <a:ln>
                <a:noFill/>
                <a:prstDash val="solid"/>
              </a:ln>
            </spPr>
          </dPt>
          <dPt>
            <idx val="77"/>
            <invertIfNegative val="0"/>
            <spPr>
              <a:solidFill>
                <a:srgbClr val="98DBC3"/>
              </a:solidFill>
              <a:ln>
                <a:noFill/>
                <a:prstDash val="solid"/>
              </a:ln>
            </spPr>
          </dPt>
          <dPt>
            <idx val="78"/>
            <invertIfNegative val="0"/>
            <spPr>
              <a:solidFill>
                <a:srgbClr val="98DBC3"/>
              </a:solidFill>
              <a:ln>
                <a:noFill/>
                <a:prstDash val="solid"/>
              </a:ln>
            </spPr>
          </dPt>
          <dPt>
            <idx val="79"/>
            <invertIfNegative val="0"/>
            <spPr>
              <a:solidFill>
                <a:srgbClr val="98DBC3"/>
              </a:solidFill>
              <a:ln>
                <a:noFill/>
                <a:prstDash val="solid"/>
              </a:ln>
            </spPr>
          </dPt>
          <dPt>
            <idx val="80"/>
            <invertIfNegative val="0"/>
            <spPr>
              <a:solidFill>
                <a:srgbClr val="98DBC3"/>
              </a:solidFill>
              <a:ln>
                <a:noFill/>
                <a:prstDash val="solid"/>
              </a:ln>
            </spPr>
          </dPt>
          <dPt>
            <idx val="81"/>
            <invertIfNegative val="0"/>
            <spPr>
              <a:solidFill>
                <a:srgbClr val="98DBC3"/>
              </a:solidFill>
              <a:ln>
                <a:noFill/>
                <a:prstDash val="solid"/>
              </a:ln>
            </spPr>
          </dPt>
          <dPt>
            <idx val="82"/>
            <invertIfNegative val="0"/>
            <spPr>
              <a:solidFill>
                <a:srgbClr val="98DBC3"/>
              </a:solidFill>
              <a:ln>
                <a:noFill/>
                <a:prstDash val="solid"/>
              </a:ln>
            </spPr>
          </dPt>
          <dPt>
            <idx val="83"/>
            <invertIfNegative val="0"/>
            <spPr>
              <a:solidFill>
                <a:srgbClr val="98DBC3"/>
              </a:solidFill>
              <a:ln>
                <a:noFill/>
                <a:prstDash val="solid"/>
              </a:ln>
            </spPr>
          </dPt>
          <dPt>
            <idx val="84"/>
            <invertIfNegative val="0"/>
            <spPr>
              <a:solidFill>
                <a:srgbClr val="98DBC3"/>
              </a:solidFill>
              <a:ln>
                <a:noFill/>
                <a:prstDash val="solid"/>
              </a:ln>
            </spPr>
          </dPt>
          <dPt>
            <idx val="85"/>
            <invertIfNegative val="0"/>
            <spPr>
              <a:solidFill>
                <a:srgbClr val="98DBC3"/>
              </a:solidFill>
              <a:ln>
                <a:noFill/>
                <a:prstDash val="solid"/>
              </a:ln>
            </spPr>
          </dPt>
          <dPt>
            <idx val="86"/>
            <invertIfNegative val="0"/>
            <spPr>
              <a:solidFill>
                <a:srgbClr val="98DBC3"/>
              </a:solidFill>
              <a:ln>
                <a:noFill/>
                <a:prstDash val="solid"/>
              </a:ln>
            </spPr>
          </dPt>
          <dPt>
            <idx val="87"/>
            <invertIfNegative val="0"/>
            <spPr>
              <a:solidFill>
                <a:srgbClr val="98DBC3"/>
              </a:solidFill>
              <a:ln>
                <a:noFill/>
                <a:prstDash val="solid"/>
              </a:ln>
            </spPr>
          </dPt>
          <dPt>
            <idx val="88"/>
            <invertIfNegative val="0"/>
            <spPr>
              <a:solidFill>
                <a:srgbClr val="98DBC3"/>
              </a:solidFill>
              <a:ln>
                <a:noFill/>
                <a:prstDash val="solid"/>
              </a:ln>
            </spPr>
          </dPt>
          <dPt>
            <idx val="89"/>
            <invertIfNegative val="0"/>
            <spPr>
              <a:solidFill>
                <a:srgbClr val="98DBC3"/>
              </a:solidFill>
              <a:ln>
                <a:noFill/>
                <a:prstDash val="solid"/>
              </a:ln>
            </spPr>
          </dPt>
          <dPt>
            <idx val="90"/>
            <invertIfNegative val="0"/>
            <spPr>
              <a:solidFill>
                <a:srgbClr val="98DBC3"/>
              </a:solidFill>
              <a:ln>
                <a:noFill/>
                <a:prstDash val="solid"/>
              </a:ln>
            </spPr>
          </dPt>
          <dPt>
            <idx val="91"/>
            <invertIfNegative val="0"/>
            <spPr>
              <a:solidFill>
                <a:srgbClr val="98DBC3"/>
              </a:solidFill>
              <a:ln>
                <a:noFill/>
                <a:prstDash val="solid"/>
              </a:ln>
            </spPr>
          </dPt>
          <dPt>
            <idx val="92"/>
            <invertIfNegative val="0"/>
            <spPr>
              <a:solidFill>
                <a:srgbClr val="98DBC3"/>
              </a:solidFill>
              <a:ln>
                <a:noFill/>
                <a:prstDash val="solid"/>
              </a:ln>
            </spPr>
          </dPt>
          <dPt>
            <idx val="93"/>
            <invertIfNegative val="0"/>
            <spPr>
              <a:solidFill>
                <a:srgbClr val="98DBC3"/>
              </a:solidFill>
              <a:ln>
                <a:noFill/>
                <a:prstDash val="solid"/>
              </a:ln>
            </spPr>
          </dPt>
          <dPt>
            <idx val="94"/>
            <invertIfNegative val="0"/>
            <spPr>
              <a:solidFill>
                <a:srgbClr val="98DBC3"/>
              </a:solidFill>
              <a:ln>
                <a:noFill/>
                <a:prstDash val="solid"/>
              </a:ln>
            </spPr>
          </dPt>
          <dPt>
            <idx val="95"/>
            <invertIfNegative val="0"/>
            <spPr>
              <a:solidFill>
                <a:srgbClr val="98DBC3"/>
              </a:solidFill>
              <a:ln>
                <a:noFill/>
                <a:prstDash val="solid"/>
              </a:ln>
            </spPr>
          </dPt>
          <cat>
            <numRef>
              <f>'Chart'!$A$2:$A$97</f>
            </numRef>
          </cat>
          <val>
            <numRef>
              <f>'Chart'!$D$2:$D$97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dPt>
            <idx val="67"/>
            <invertIfNegative val="0"/>
            <spPr>
              <a:solidFill>
                <a:srgbClr val="F6D48C"/>
              </a:solidFill>
              <a:ln>
                <a:noFill/>
                <a:prstDash val="solid"/>
              </a:ln>
            </spPr>
          </dPt>
          <dPt>
            <idx val="68"/>
            <invertIfNegative val="0"/>
            <spPr>
              <a:solidFill>
                <a:srgbClr val="F6D48C"/>
              </a:solidFill>
              <a:ln>
                <a:noFill/>
                <a:prstDash val="solid"/>
              </a:ln>
            </spPr>
          </dPt>
          <dPt>
            <idx val="69"/>
            <invertIfNegative val="0"/>
            <spPr>
              <a:solidFill>
                <a:srgbClr val="F6D48C"/>
              </a:solidFill>
              <a:ln>
                <a:noFill/>
                <a:prstDash val="solid"/>
              </a:ln>
            </spPr>
          </dPt>
          <dPt>
            <idx val="70"/>
            <invertIfNegative val="0"/>
            <spPr>
              <a:solidFill>
                <a:srgbClr val="F6D48C"/>
              </a:solidFill>
              <a:ln>
                <a:noFill/>
                <a:prstDash val="solid"/>
              </a:ln>
            </spPr>
          </dPt>
          <dPt>
            <idx val="71"/>
            <invertIfNegative val="0"/>
            <spPr>
              <a:solidFill>
                <a:srgbClr val="F6D48C"/>
              </a:solidFill>
              <a:ln>
                <a:noFill/>
                <a:prstDash val="solid"/>
              </a:ln>
            </spPr>
          </dPt>
          <dPt>
            <idx val="72"/>
            <invertIfNegative val="0"/>
            <spPr>
              <a:solidFill>
                <a:srgbClr val="F6D48C"/>
              </a:solidFill>
              <a:ln>
                <a:noFill/>
                <a:prstDash val="solid"/>
              </a:ln>
            </spPr>
          </dPt>
          <dPt>
            <idx val="73"/>
            <invertIfNegative val="0"/>
            <spPr>
              <a:solidFill>
                <a:srgbClr val="F6D48C"/>
              </a:solidFill>
              <a:ln>
                <a:noFill/>
                <a:prstDash val="solid"/>
              </a:ln>
            </spPr>
          </dPt>
          <dPt>
            <idx val="74"/>
            <invertIfNegative val="0"/>
            <spPr>
              <a:solidFill>
                <a:srgbClr val="F6D48C"/>
              </a:solidFill>
              <a:ln>
                <a:noFill/>
                <a:prstDash val="solid"/>
              </a:ln>
            </spPr>
          </dPt>
          <dPt>
            <idx val="75"/>
            <invertIfNegative val="0"/>
            <spPr>
              <a:solidFill>
                <a:srgbClr val="F6D48C"/>
              </a:solidFill>
              <a:ln>
                <a:noFill/>
                <a:prstDash val="solid"/>
              </a:ln>
            </spPr>
          </dPt>
          <dPt>
            <idx val="76"/>
            <invertIfNegative val="0"/>
            <spPr>
              <a:solidFill>
                <a:srgbClr val="F6D48C"/>
              </a:solidFill>
              <a:ln>
                <a:noFill/>
                <a:prstDash val="solid"/>
              </a:ln>
            </spPr>
          </dPt>
          <dPt>
            <idx val="77"/>
            <invertIfNegative val="0"/>
            <spPr>
              <a:solidFill>
                <a:srgbClr val="F6D48C"/>
              </a:solidFill>
              <a:ln>
                <a:noFill/>
                <a:prstDash val="solid"/>
              </a:ln>
            </spPr>
          </dPt>
          <dPt>
            <idx val="78"/>
            <invertIfNegative val="0"/>
            <spPr>
              <a:solidFill>
                <a:srgbClr val="F6D48C"/>
              </a:solidFill>
              <a:ln>
                <a:noFill/>
                <a:prstDash val="solid"/>
              </a:ln>
            </spPr>
          </dPt>
          <dPt>
            <idx val="79"/>
            <invertIfNegative val="0"/>
            <spPr>
              <a:solidFill>
                <a:srgbClr val="F6D48C"/>
              </a:solidFill>
              <a:ln>
                <a:noFill/>
                <a:prstDash val="solid"/>
              </a:ln>
            </spPr>
          </dPt>
          <dPt>
            <idx val="80"/>
            <invertIfNegative val="0"/>
            <spPr>
              <a:solidFill>
                <a:srgbClr val="F6D48C"/>
              </a:solidFill>
              <a:ln>
                <a:noFill/>
                <a:prstDash val="solid"/>
              </a:ln>
            </spPr>
          </dPt>
          <dPt>
            <idx val="81"/>
            <invertIfNegative val="0"/>
            <spPr>
              <a:solidFill>
                <a:srgbClr val="F6D48C"/>
              </a:solidFill>
              <a:ln>
                <a:noFill/>
                <a:prstDash val="solid"/>
              </a:ln>
            </spPr>
          </dPt>
          <dPt>
            <idx val="82"/>
            <invertIfNegative val="0"/>
            <spPr>
              <a:solidFill>
                <a:srgbClr val="F6D48C"/>
              </a:solidFill>
              <a:ln>
                <a:noFill/>
                <a:prstDash val="solid"/>
              </a:ln>
            </spPr>
          </dPt>
          <dPt>
            <idx val="83"/>
            <invertIfNegative val="0"/>
            <spPr>
              <a:solidFill>
                <a:srgbClr val="F6D48C"/>
              </a:solidFill>
              <a:ln>
                <a:noFill/>
                <a:prstDash val="solid"/>
              </a:ln>
            </spPr>
          </dPt>
          <dPt>
            <idx val="84"/>
            <invertIfNegative val="0"/>
            <spPr>
              <a:solidFill>
                <a:srgbClr val="F6D48C"/>
              </a:solidFill>
              <a:ln>
                <a:noFill/>
                <a:prstDash val="solid"/>
              </a:ln>
            </spPr>
          </dPt>
          <dPt>
            <idx val="85"/>
            <invertIfNegative val="0"/>
            <spPr>
              <a:solidFill>
                <a:srgbClr val="F6D48C"/>
              </a:solidFill>
              <a:ln>
                <a:noFill/>
                <a:prstDash val="solid"/>
              </a:ln>
            </spPr>
          </dPt>
          <dPt>
            <idx val="86"/>
            <invertIfNegative val="0"/>
            <spPr>
              <a:solidFill>
                <a:srgbClr val="F6D48C"/>
              </a:solidFill>
              <a:ln>
                <a:noFill/>
                <a:prstDash val="solid"/>
              </a:ln>
            </spPr>
          </dPt>
          <dPt>
            <idx val="87"/>
            <invertIfNegative val="0"/>
            <spPr>
              <a:solidFill>
                <a:srgbClr val="F6D48C"/>
              </a:solidFill>
              <a:ln>
                <a:noFill/>
                <a:prstDash val="solid"/>
              </a:ln>
            </spPr>
          </dPt>
          <dPt>
            <idx val="88"/>
            <invertIfNegative val="0"/>
            <spPr>
              <a:solidFill>
                <a:srgbClr val="F6D48C"/>
              </a:solidFill>
              <a:ln>
                <a:noFill/>
                <a:prstDash val="solid"/>
              </a:ln>
            </spPr>
          </dPt>
          <dPt>
            <idx val="89"/>
            <invertIfNegative val="0"/>
            <spPr>
              <a:solidFill>
                <a:srgbClr val="F6D48C"/>
              </a:solidFill>
              <a:ln>
                <a:noFill/>
                <a:prstDash val="solid"/>
              </a:ln>
            </spPr>
          </dPt>
          <dPt>
            <idx val="90"/>
            <invertIfNegative val="0"/>
            <spPr>
              <a:solidFill>
                <a:srgbClr val="F6D48C"/>
              </a:solidFill>
              <a:ln>
                <a:noFill/>
                <a:prstDash val="solid"/>
              </a:ln>
            </spPr>
          </dPt>
          <dPt>
            <idx val="91"/>
            <invertIfNegative val="0"/>
            <spPr>
              <a:solidFill>
                <a:srgbClr val="F6D48C"/>
              </a:solidFill>
              <a:ln>
                <a:noFill/>
                <a:prstDash val="solid"/>
              </a:ln>
            </spPr>
          </dPt>
          <dPt>
            <idx val="92"/>
            <invertIfNegative val="0"/>
            <spPr>
              <a:solidFill>
                <a:srgbClr val="F6D48C"/>
              </a:solidFill>
              <a:ln>
                <a:noFill/>
                <a:prstDash val="solid"/>
              </a:ln>
            </spPr>
          </dPt>
          <dPt>
            <idx val="93"/>
            <invertIfNegative val="0"/>
            <spPr>
              <a:solidFill>
                <a:srgbClr val="F6D48C"/>
              </a:solidFill>
              <a:ln>
                <a:noFill/>
                <a:prstDash val="solid"/>
              </a:ln>
            </spPr>
          </dPt>
          <dPt>
            <idx val="94"/>
            <invertIfNegative val="0"/>
            <spPr>
              <a:solidFill>
                <a:srgbClr val="F6D48C"/>
              </a:solidFill>
              <a:ln>
                <a:noFill/>
                <a:prstDash val="solid"/>
              </a:ln>
            </spPr>
          </dPt>
          <dPt>
            <idx val="95"/>
            <invertIfNegative val="0"/>
            <spPr>
              <a:solidFill>
                <a:srgbClr val="F6D48C"/>
              </a:solidFill>
              <a:ln>
                <a:noFill/>
                <a:prstDash val="solid"/>
              </a:ln>
            </spPr>
          </dPt>
          <cat>
            <numRef>
              <f>'Chart'!$A$2:$A$97</f>
            </numRef>
          </cat>
          <val>
            <numRef>
              <f>'Chart'!$E$2:$E$97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dPt>
            <idx val="67"/>
            <invertIfNegative val="0"/>
            <spPr>
              <a:solidFill>
                <a:srgbClr val="F4C3D6"/>
              </a:solidFill>
              <a:ln>
                <a:noFill/>
                <a:prstDash val="solid"/>
              </a:ln>
            </spPr>
          </dPt>
          <dPt>
            <idx val="68"/>
            <invertIfNegative val="0"/>
            <spPr>
              <a:solidFill>
                <a:srgbClr val="F4C3D6"/>
              </a:solidFill>
              <a:ln>
                <a:noFill/>
                <a:prstDash val="solid"/>
              </a:ln>
            </spPr>
          </dPt>
          <dPt>
            <idx val="69"/>
            <invertIfNegative val="0"/>
            <spPr>
              <a:solidFill>
                <a:srgbClr val="F4C3D6"/>
              </a:solidFill>
              <a:ln>
                <a:noFill/>
                <a:prstDash val="solid"/>
              </a:ln>
            </spPr>
          </dPt>
          <dPt>
            <idx val="70"/>
            <invertIfNegative val="0"/>
            <spPr>
              <a:solidFill>
                <a:srgbClr val="F4C3D6"/>
              </a:solidFill>
              <a:ln>
                <a:noFill/>
                <a:prstDash val="solid"/>
              </a:ln>
            </spPr>
          </dPt>
          <dPt>
            <idx val="71"/>
            <invertIfNegative val="0"/>
            <spPr>
              <a:solidFill>
                <a:srgbClr val="F4C3D6"/>
              </a:solidFill>
              <a:ln>
                <a:noFill/>
                <a:prstDash val="solid"/>
              </a:ln>
            </spPr>
          </dPt>
          <dPt>
            <idx val="72"/>
            <invertIfNegative val="0"/>
            <spPr>
              <a:solidFill>
                <a:srgbClr val="F4C3D6"/>
              </a:solidFill>
              <a:ln>
                <a:noFill/>
                <a:prstDash val="solid"/>
              </a:ln>
            </spPr>
          </dPt>
          <dPt>
            <idx val="73"/>
            <invertIfNegative val="0"/>
            <spPr>
              <a:solidFill>
                <a:srgbClr val="F4C3D6"/>
              </a:solidFill>
              <a:ln>
                <a:noFill/>
                <a:prstDash val="solid"/>
              </a:ln>
            </spPr>
          </dPt>
          <dPt>
            <idx val="74"/>
            <invertIfNegative val="0"/>
            <spPr>
              <a:solidFill>
                <a:srgbClr val="F4C3D6"/>
              </a:solidFill>
              <a:ln>
                <a:noFill/>
                <a:prstDash val="solid"/>
              </a:ln>
            </spPr>
          </dPt>
          <dPt>
            <idx val="75"/>
            <invertIfNegative val="0"/>
            <spPr>
              <a:solidFill>
                <a:srgbClr val="F4C3D6"/>
              </a:solidFill>
              <a:ln>
                <a:noFill/>
                <a:prstDash val="solid"/>
              </a:ln>
            </spPr>
          </dPt>
          <dPt>
            <idx val="76"/>
            <invertIfNegative val="0"/>
            <spPr>
              <a:solidFill>
                <a:srgbClr val="F4C3D6"/>
              </a:solidFill>
              <a:ln>
                <a:noFill/>
                <a:prstDash val="solid"/>
              </a:ln>
            </spPr>
          </dPt>
          <dPt>
            <idx val="77"/>
            <invertIfNegative val="0"/>
            <spPr>
              <a:solidFill>
                <a:srgbClr val="F4C3D6"/>
              </a:solidFill>
              <a:ln>
                <a:noFill/>
                <a:prstDash val="solid"/>
              </a:ln>
            </spPr>
          </dPt>
          <dPt>
            <idx val="78"/>
            <invertIfNegative val="0"/>
            <spPr>
              <a:solidFill>
                <a:srgbClr val="F4C3D6"/>
              </a:solidFill>
              <a:ln>
                <a:noFill/>
                <a:prstDash val="solid"/>
              </a:ln>
            </spPr>
          </dPt>
          <dPt>
            <idx val="79"/>
            <invertIfNegative val="0"/>
            <spPr>
              <a:solidFill>
                <a:srgbClr val="F4C3D6"/>
              </a:solidFill>
              <a:ln>
                <a:noFill/>
                <a:prstDash val="solid"/>
              </a:ln>
            </spPr>
          </dPt>
          <dPt>
            <idx val="80"/>
            <invertIfNegative val="0"/>
            <spPr>
              <a:solidFill>
                <a:srgbClr val="F4C3D6"/>
              </a:solidFill>
              <a:ln>
                <a:noFill/>
                <a:prstDash val="solid"/>
              </a:ln>
            </spPr>
          </dPt>
          <dPt>
            <idx val="81"/>
            <invertIfNegative val="0"/>
            <spPr>
              <a:solidFill>
                <a:srgbClr val="F4C3D6"/>
              </a:solidFill>
              <a:ln>
                <a:noFill/>
                <a:prstDash val="solid"/>
              </a:ln>
            </spPr>
          </dPt>
          <dPt>
            <idx val="82"/>
            <invertIfNegative val="0"/>
            <spPr>
              <a:solidFill>
                <a:srgbClr val="F4C3D6"/>
              </a:solidFill>
              <a:ln>
                <a:noFill/>
                <a:prstDash val="solid"/>
              </a:ln>
            </spPr>
          </dPt>
          <dPt>
            <idx val="83"/>
            <invertIfNegative val="0"/>
            <spPr>
              <a:solidFill>
                <a:srgbClr val="F4C3D6"/>
              </a:solidFill>
              <a:ln>
                <a:noFill/>
                <a:prstDash val="solid"/>
              </a:ln>
            </spPr>
          </dPt>
          <dPt>
            <idx val="84"/>
            <invertIfNegative val="0"/>
            <spPr>
              <a:solidFill>
                <a:srgbClr val="F4C3D6"/>
              </a:solidFill>
              <a:ln>
                <a:noFill/>
                <a:prstDash val="solid"/>
              </a:ln>
            </spPr>
          </dPt>
          <dPt>
            <idx val="85"/>
            <invertIfNegative val="0"/>
            <spPr>
              <a:solidFill>
                <a:srgbClr val="F4C3D6"/>
              </a:solidFill>
              <a:ln>
                <a:noFill/>
                <a:prstDash val="solid"/>
              </a:ln>
            </spPr>
          </dPt>
          <dPt>
            <idx val="86"/>
            <invertIfNegative val="0"/>
            <spPr>
              <a:solidFill>
                <a:srgbClr val="F4C3D6"/>
              </a:solidFill>
              <a:ln>
                <a:noFill/>
                <a:prstDash val="solid"/>
              </a:ln>
            </spPr>
          </dPt>
          <dPt>
            <idx val="87"/>
            <invertIfNegative val="0"/>
            <spPr>
              <a:solidFill>
                <a:srgbClr val="F4C3D6"/>
              </a:solidFill>
              <a:ln>
                <a:noFill/>
                <a:prstDash val="solid"/>
              </a:ln>
            </spPr>
          </dPt>
          <dPt>
            <idx val="88"/>
            <invertIfNegative val="0"/>
            <spPr>
              <a:solidFill>
                <a:srgbClr val="F4C3D6"/>
              </a:solidFill>
              <a:ln>
                <a:noFill/>
                <a:prstDash val="solid"/>
              </a:ln>
            </spPr>
          </dPt>
          <dPt>
            <idx val="89"/>
            <invertIfNegative val="0"/>
            <spPr>
              <a:solidFill>
                <a:srgbClr val="F4C3D6"/>
              </a:solidFill>
              <a:ln>
                <a:noFill/>
                <a:prstDash val="solid"/>
              </a:ln>
            </spPr>
          </dPt>
          <dPt>
            <idx val="90"/>
            <invertIfNegative val="0"/>
            <spPr>
              <a:solidFill>
                <a:srgbClr val="F4C3D6"/>
              </a:solidFill>
              <a:ln>
                <a:noFill/>
                <a:prstDash val="solid"/>
              </a:ln>
            </spPr>
          </dPt>
          <dPt>
            <idx val="91"/>
            <invertIfNegative val="0"/>
            <spPr>
              <a:solidFill>
                <a:srgbClr val="F4C3D6"/>
              </a:solidFill>
              <a:ln>
                <a:noFill/>
                <a:prstDash val="solid"/>
              </a:ln>
            </spPr>
          </dPt>
          <dPt>
            <idx val="92"/>
            <invertIfNegative val="0"/>
            <spPr>
              <a:solidFill>
                <a:srgbClr val="F4C3D6"/>
              </a:solidFill>
              <a:ln>
                <a:noFill/>
                <a:prstDash val="solid"/>
              </a:ln>
            </spPr>
          </dPt>
          <dPt>
            <idx val="93"/>
            <invertIfNegative val="0"/>
            <spPr>
              <a:solidFill>
                <a:srgbClr val="F4C3D6"/>
              </a:solidFill>
              <a:ln>
                <a:noFill/>
                <a:prstDash val="solid"/>
              </a:ln>
            </spPr>
          </dPt>
          <dPt>
            <idx val="94"/>
            <invertIfNegative val="0"/>
            <spPr>
              <a:solidFill>
                <a:srgbClr val="F4C3D6"/>
              </a:solidFill>
              <a:ln>
                <a:noFill/>
                <a:prstDash val="solid"/>
              </a:ln>
            </spPr>
          </dPt>
          <dPt>
            <idx val="95"/>
            <invertIfNegative val="0"/>
            <spPr>
              <a:solidFill>
                <a:srgbClr val="F4C3D6"/>
              </a:solidFill>
              <a:ln>
                <a:noFill/>
                <a:prstDash val="solid"/>
              </a:ln>
            </spPr>
          </dPt>
          <cat>
            <numRef>
              <f>'Chart'!$A$2:$A$97</f>
            </numRef>
          </cat>
          <val>
            <numRef>
              <f>'Chart'!$F$2:$F$97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dPt>
            <idx val="67"/>
            <invertIfNegative val="0"/>
            <spPr>
              <a:solidFill>
                <a:srgbClr val="8CC78C"/>
              </a:solidFill>
              <a:ln>
                <a:noFill/>
                <a:prstDash val="solid"/>
              </a:ln>
            </spPr>
          </dPt>
          <dPt>
            <idx val="68"/>
            <invertIfNegative val="0"/>
            <spPr>
              <a:solidFill>
                <a:srgbClr val="8CC78C"/>
              </a:solidFill>
              <a:ln>
                <a:noFill/>
                <a:prstDash val="solid"/>
              </a:ln>
            </spPr>
          </dPt>
          <dPt>
            <idx val="69"/>
            <invertIfNegative val="0"/>
            <spPr>
              <a:solidFill>
                <a:srgbClr val="8CC78C"/>
              </a:solidFill>
              <a:ln>
                <a:noFill/>
                <a:prstDash val="solid"/>
              </a:ln>
            </spPr>
          </dPt>
          <dPt>
            <idx val="70"/>
            <invertIfNegative val="0"/>
            <spPr>
              <a:solidFill>
                <a:srgbClr val="8CC78C"/>
              </a:solidFill>
              <a:ln>
                <a:noFill/>
                <a:prstDash val="solid"/>
              </a:ln>
            </spPr>
          </dPt>
          <dPt>
            <idx val="71"/>
            <invertIfNegative val="0"/>
            <spPr>
              <a:solidFill>
                <a:srgbClr val="8CC78C"/>
              </a:solidFill>
              <a:ln>
                <a:noFill/>
                <a:prstDash val="solid"/>
              </a:ln>
            </spPr>
          </dPt>
          <dPt>
            <idx val="72"/>
            <invertIfNegative val="0"/>
            <spPr>
              <a:solidFill>
                <a:srgbClr val="8CC78C"/>
              </a:solidFill>
              <a:ln>
                <a:noFill/>
                <a:prstDash val="solid"/>
              </a:ln>
            </spPr>
          </dPt>
          <dPt>
            <idx val="73"/>
            <invertIfNegative val="0"/>
            <spPr>
              <a:solidFill>
                <a:srgbClr val="8CC78C"/>
              </a:solidFill>
              <a:ln>
                <a:noFill/>
                <a:prstDash val="solid"/>
              </a:ln>
            </spPr>
          </dPt>
          <dPt>
            <idx val="74"/>
            <invertIfNegative val="0"/>
            <spPr>
              <a:solidFill>
                <a:srgbClr val="8CC78C"/>
              </a:solidFill>
              <a:ln>
                <a:noFill/>
                <a:prstDash val="solid"/>
              </a:ln>
            </spPr>
          </dPt>
          <dPt>
            <idx val="75"/>
            <invertIfNegative val="0"/>
            <spPr>
              <a:solidFill>
                <a:srgbClr val="8CC78C"/>
              </a:solidFill>
              <a:ln>
                <a:noFill/>
                <a:prstDash val="solid"/>
              </a:ln>
            </spPr>
          </dPt>
          <dPt>
            <idx val="76"/>
            <invertIfNegative val="0"/>
            <spPr>
              <a:solidFill>
                <a:srgbClr val="8CC78C"/>
              </a:solidFill>
              <a:ln>
                <a:noFill/>
                <a:prstDash val="solid"/>
              </a:ln>
            </spPr>
          </dPt>
          <dPt>
            <idx val="77"/>
            <invertIfNegative val="0"/>
            <spPr>
              <a:solidFill>
                <a:srgbClr val="8CC78C"/>
              </a:solidFill>
              <a:ln>
                <a:noFill/>
                <a:prstDash val="solid"/>
              </a:ln>
            </spPr>
          </dPt>
          <dPt>
            <idx val="78"/>
            <invertIfNegative val="0"/>
            <spPr>
              <a:solidFill>
                <a:srgbClr val="8CC78C"/>
              </a:solidFill>
              <a:ln>
                <a:noFill/>
                <a:prstDash val="solid"/>
              </a:ln>
            </spPr>
          </dPt>
          <dPt>
            <idx val="79"/>
            <invertIfNegative val="0"/>
            <spPr>
              <a:solidFill>
                <a:srgbClr val="8CC78C"/>
              </a:solidFill>
              <a:ln>
                <a:noFill/>
                <a:prstDash val="solid"/>
              </a:ln>
            </spPr>
          </dPt>
          <dPt>
            <idx val="80"/>
            <invertIfNegative val="0"/>
            <spPr>
              <a:solidFill>
                <a:srgbClr val="8CC78C"/>
              </a:solidFill>
              <a:ln>
                <a:noFill/>
                <a:prstDash val="solid"/>
              </a:ln>
            </spPr>
          </dPt>
          <dPt>
            <idx val="81"/>
            <invertIfNegative val="0"/>
            <spPr>
              <a:solidFill>
                <a:srgbClr val="8CC78C"/>
              </a:solidFill>
              <a:ln>
                <a:noFill/>
                <a:prstDash val="solid"/>
              </a:ln>
            </spPr>
          </dPt>
          <dPt>
            <idx val="82"/>
            <invertIfNegative val="0"/>
            <spPr>
              <a:solidFill>
                <a:srgbClr val="8CC78C"/>
              </a:solidFill>
              <a:ln>
                <a:noFill/>
                <a:prstDash val="solid"/>
              </a:ln>
            </spPr>
          </dPt>
          <dPt>
            <idx val="83"/>
            <invertIfNegative val="0"/>
            <spPr>
              <a:solidFill>
                <a:srgbClr val="8CC78C"/>
              </a:solidFill>
              <a:ln>
                <a:noFill/>
                <a:prstDash val="solid"/>
              </a:ln>
            </spPr>
          </dPt>
          <dPt>
            <idx val="84"/>
            <invertIfNegative val="0"/>
            <spPr>
              <a:solidFill>
                <a:srgbClr val="8CC78C"/>
              </a:solidFill>
              <a:ln>
                <a:noFill/>
                <a:prstDash val="solid"/>
              </a:ln>
            </spPr>
          </dPt>
          <dPt>
            <idx val="85"/>
            <invertIfNegative val="0"/>
            <spPr>
              <a:solidFill>
                <a:srgbClr val="8CC78C"/>
              </a:solidFill>
              <a:ln>
                <a:noFill/>
                <a:prstDash val="solid"/>
              </a:ln>
            </spPr>
          </dPt>
          <dPt>
            <idx val="86"/>
            <invertIfNegative val="0"/>
            <spPr>
              <a:solidFill>
                <a:srgbClr val="8CC78C"/>
              </a:solidFill>
              <a:ln>
                <a:noFill/>
                <a:prstDash val="solid"/>
              </a:ln>
            </spPr>
          </dPt>
          <dPt>
            <idx val="87"/>
            <invertIfNegative val="0"/>
            <spPr>
              <a:solidFill>
                <a:srgbClr val="8CC78C"/>
              </a:solidFill>
              <a:ln>
                <a:noFill/>
                <a:prstDash val="solid"/>
              </a:ln>
            </spPr>
          </dPt>
          <dPt>
            <idx val="88"/>
            <invertIfNegative val="0"/>
            <spPr>
              <a:solidFill>
                <a:srgbClr val="8CC78C"/>
              </a:solidFill>
              <a:ln>
                <a:noFill/>
                <a:prstDash val="solid"/>
              </a:ln>
            </spPr>
          </dPt>
          <dPt>
            <idx val="89"/>
            <invertIfNegative val="0"/>
            <spPr>
              <a:solidFill>
                <a:srgbClr val="8CC78C"/>
              </a:solidFill>
              <a:ln>
                <a:noFill/>
                <a:prstDash val="solid"/>
              </a:ln>
            </spPr>
          </dPt>
          <dPt>
            <idx val="90"/>
            <invertIfNegative val="0"/>
            <spPr>
              <a:solidFill>
                <a:srgbClr val="8CC78C"/>
              </a:solidFill>
              <a:ln>
                <a:noFill/>
                <a:prstDash val="solid"/>
              </a:ln>
            </spPr>
          </dPt>
          <dPt>
            <idx val="91"/>
            <invertIfNegative val="0"/>
            <spPr>
              <a:solidFill>
                <a:srgbClr val="8CC78C"/>
              </a:solidFill>
              <a:ln>
                <a:noFill/>
                <a:prstDash val="solid"/>
              </a:ln>
            </spPr>
          </dPt>
          <dPt>
            <idx val="92"/>
            <invertIfNegative val="0"/>
            <spPr>
              <a:solidFill>
                <a:srgbClr val="8CC78C"/>
              </a:solidFill>
              <a:ln>
                <a:noFill/>
                <a:prstDash val="solid"/>
              </a:ln>
            </spPr>
          </dPt>
          <dPt>
            <idx val="93"/>
            <invertIfNegative val="0"/>
            <spPr>
              <a:solidFill>
                <a:srgbClr val="8CC78C"/>
              </a:solidFill>
              <a:ln>
                <a:noFill/>
                <a:prstDash val="solid"/>
              </a:ln>
            </spPr>
          </dPt>
          <dPt>
            <idx val="94"/>
            <invertIfNegative val="0"/>
            <spPr>
              <a:solidFill>
                <a:srgbClr val="8CC78C"/>
              </a:solidFill>
              <a:ln>
                <a:noFill/>
                <a:prstDash val="solid"/>
              </a:ln>
            </spPr>
          </dPt>
          <dPt>
            <idx val="95"/>
            <invertIfNegative val="0"/>
            <spPr>
              <a:solidFill>
                <a:srgbClr val="8CC78C"/>
              </a:solidFill>
              <a:ln>
                <a:noFill/>
                <a:prstDash val="solid"/>
              </a:ln>
            </spPr>
          </dPt>
          <cat>
            <numRef>
              <f>'Chart'!$A$2:$A$97</f>
            </numRef>
          </cat>
          <val>
            <numRef>
              <f>'Chart'!$G$2:$G$97</f>
            </numRef>
          </val>
        </ser>
        <gapWidth val="30"/>
        <overlap val="100"/>
        <axId val="10"/>
        <axId val="100"/>
      </barChart>
      <lineChart>
        <grouping val="standard"/>
        <ser>
          <idx val="6"/>
          <order val="6"/>
          <tx>
            <strRef>
              <f>'Chart'!H1</f>
            </strRef>
          </tx>
          <spPr>
            <a:ln w="28575">
              <a:solidFill>
                <a:srgbClr val="25252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'Chart'!$A$2:$A$97</f>
            </numRef>
          </cat>
          <val>
            <numRef>
              <f>'Chart'!$H$2:$H$97</f>
            </numRef>
          </val>
          <smooth val="0"/>
        </ser>
        <ser>
          <idx val="7"/>
          <order val="7"/>
          <tx>
            <strRef>
              <f>'Chart'!I1</f>
            </strRef>
          </tx>
          <spPr>
            <a:ln w="28575">
              <a:solidFill>
                <a:srgbClr val="252525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'Chart'!$A$2:$A$97</f>
            </numRef>
          </cat>
          <val>
            <numRef>
              <f>'Chart'!$I$2:$I$97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8"/>
        <tickMarkSkip val="8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Bcf/d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Texas LNG feedgas: history and forecast, base and 6-month delay (to Dec/28; forecast from Aug/26, lighter bars)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 - LNG forecast'!B1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LNG forecast'!$A$2:$A$97</f>
            </numRef>
          </cat>
          <val>
            <numRef>
              <f>'Chart - LNG forecast'!$B$2:$B$97</f>
            </numRef>
          </val>
          <smooth val="0"/>
        </ser>
        <ser>
          <idx val="1"/>
          <order val="1"/>
          <tx>
            <strRef>
              <f>'Chart - LNG forecast'!C1</f>
            </strRef>
          </tx>
          <spPr>
            <a:ln w="22225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LNG forecast'!$A$2:$A$97</f>
            </numRef>
          </cat>
          <val>
            <numRef>
              <f>'Chart - LNG forecast'!$C$2:$C$97</f>
            </numRef>
          </val>
          <smooth val="0"/>
        </ser>
        <ser>
          <idx val="2"/>
          <order val="2"/>
          <tx>
            <strRef>
              <f>'Chart - LNG forecast'!D1</f>
            </strRef>
          </tx>
          <spPr>
            <a:ln w="22225">
              <a:solidFill>
                <a:srgbClr val="1BAF7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LNG forecast'!$A$2:$A$97</f>
            </numRef>
          </cat>
          <val>
            <numRef>
              <f>'Chart - LNG forecast'!$D$2:$D$97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8"/>
        <tickMarkSkip val="8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Bcf/d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Texas natural gas consumption by sector (EIA; lease/plant and pipeline fuel withheld by EIA) (to Jul/26)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Consumption'!B1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Consumption'!$A$2:$A$68</f>
            </numRef>
          </cat>
          <val>
            <numRef>
              <f>'Chart - Consumption'!$B$2:$B$68</f>
            </numRef>
          </val>
        </ser>
        <ser>
          <idx val="1"/>
          <order val="1"/>
          <tx>
            <strRef>
              <f>'Chart - Consumption'!C1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Consumption'!$A$2:$A$68</f>
            </numRef>
          </cat>
          <val>
            <numRef>
              <f>'Chart - Consumption'!$C$2:$C$68</f>
            </numRef>
          </val>
        </ser>
        <ser>
          <idx val="2"/>
          <order val="2"/>
          <tx>
            <strRef>
              <f>'Chart - Consumption'!D1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Consumption'!$A$2:$A$68</f>
            </numRef>
          </cat>
          <val>
            <numRef>
              <f>'Chart - Consumption'!$D$2:$D$68</f>
            </numRef>
          </val>
        </ser>
        <ser>
          <idx val="3"/>
          <order val="3"/>
          <tx>
            <strRef>
              <f>'Chart - Consumption'!E1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 - Consumption'!$A$2:$A$68</f>
            </numRef>
          </cat>
          <val>
            <numRef>
              <f>'Chart - Consumption'!$E$2:$E$68</f>
            </numRef>
          </val>
        </ser>
        <ser>
          <idx val="4"/>
          <order val="4"/>
          <tx>
            <strRef>
              <f>'Chart - Consumption'!F1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 - Consumption'!$A$2:$A$68</f>
            </numRef>
          </cat>
          <val>
            <numRef>
              <f>'Chart - Consumption'!$F$2:$F$68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Bcf/d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Texas natural gas exports by route: pipeline to Mexico and LNG (EIA) (to Jul/26)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Exports'!B1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Exports'!$A$2:$A$68</f>
            </numRef>
          </cat>
          <val>
            <numRef>
              <f>'Chart - Exports'!$B$2:$B$68</f>
            </numRef>
          </val>
        </ser>
        <ser>
          <idx val="1"/>
          <order val="1"/>
          <tx>
            <strRef>
              <f>'Chart - Exports'!C1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Exports'!$A$2:$A$68</f>
            </numRef>
          </cat>
          <val>
            <numRef>
              <f>'Chart - Exports'!$C$2:$C$68</f>
            </numRef>
          </val>
        </ser>
        <ser>
          <idx val="2"/>
          <order val="2"/>
          <tx>
            <strRef>
              <f>'Chart - Exports'!D1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Exports'!$A$2:$A$68</f>
            </numRef>
          </cat>
          <val>
            <numRef>
              <f>'Chart - Exports'!$D$2:$D$68</f>
            </numRef>
          </val>
        </ser>
        <ser>
          <idx val="3"/>
          <order val="3"/>
          <tx>
            <strRef>
              <f>'Chart - Exports'!E1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 - Exports'!$A$2:$A$68</f>
            </numRef>
          </cat>
          <val>
            <numRef>
              <f>'Chart - Exports'!$E$2:$E$68</f>
            </numRef>
          </val>
        </ser>
        <ser>
          <idx val="4"/>
          <order val="4"/>
          <tx>
            <strRef>
              <f>'Chart - Exports'!F1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 - Exports'!$A$2:$A$68</f>
            </numRef>
          </cat>
          <val>
            <numRef>
              <f>'Chart - Exports'!$F$2:$F$68</f>
            </numRef>
          </val>
        </ser>
        <ser>
          <idx val="5"/>
          <order val="5"/>
          <tx>
            <strRef>
              <f>'Chart - Exports'!G1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 - Exports'!$A$2:$A$68</f>
            </numRef>
          </cat>
          <val>
            <numRef>
              <f>'Chart - Exports'!$G$2:$G$68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Bcf/d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Texas pipeline exports to Mexico by border crossing (EIA) (to Jul/26)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Mexico crossings'!B1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Mexico crossings'!$A$2:$A$68</f>
            </numRef>
          </cat>
          <val>
            <numRef>
              <f>'Chart - Mexico crossings'!$B$2:$B$68</f>
            </numRef>
          </val>
        </ser>
        <ser>
          <idx val="1"/>
          <order val="1"/>
          <tx>
            <strRef>
              <f>'Chart - Mexico crossings'!C1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Mexico crossings'!$A$2:$A$68</f>
            </numRef>
          </cat>
          <val>
            <numRef>
              <f>'Chart - Mexico crossings'!$C$2:$C$68</f>
            </numRef>
          </val>
        </ser>
        <ser>
          <idx val="2"/>
          <order val="2"/>
          <tx>
            <strRef>
              <f>'Chart - Mexico crossings'!D1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Mexico crossings'!$A$2:$A$68</f>
            </numRef>
          </cat>
          <val>
            <numRef>
              <f>'Chart - Mexico crossings'!$D$2:$D$68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Bcf/d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Texas gas balance: dry production against consumption, exports and the residual (EIA) (to Jul/26)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 - Balance'!B1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Balance'!$A$2:$A$68</f>
            </numRef>
          </cat>
          <val>
            <numRef>
              <f>'Chart - Balance'!$B$2:$B$68</f>
            </numRef>
          </val>
          <smooth val="0"/>
        </ser>
        <ser>
          <idx val="1"/>
          <order val="1"/>
          <tx>
            <strRef>
              <f>'Chart - Balance'!C1</f>
            </strRef>
          </tx>
          <spPr>
            <a:ln w="22225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Balance'!$A$2:$A$68</f>
            </numRef>
          </cat>
          <val>
            <numRef>
              <f>'Chart - Balance'!$C$2:$C$68</f>
            </numRef>
          </val>
          <smooth val="0"/>
        </ser>
        <ser>
          <idx val="2"/>
          <order val="2"/>
          <tx>
            <strRef>
              <f>'Chart - Balance'!D1</f>
            </strRef>
          </tx>
          <spPr>
            <a:ln w="22225">
              <a:solidFill>
                <a:srgbClr val="1BAF7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Balance'!$A$2:$A$68</f>
            </numRef>
          </cat>
          <val>
            <numRef>
              <f>'Chart - Balance'!$D$2:$D$68</f>
            </numRef>
          </val>
          <smooth val="0"/>
        </ser>
        <ser>
          <idx val="3"/>
          <order val="3"/>
          <tx>
            <strRef>
              <f>'Chart - Balance'!E1</f>
            </strRef>
          </tx>
          <spPr>
            <a:ln w="22225">
              <a:solidFill>
                <a:srgbClr val="EDA1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Balance'!$A$2:$A$68</f>
            </numRef>
          </cat>
          <val>
            <numRef>
              <f>'Chart - Balance'!$E$2:$E$68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Bcf/d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All flow sheets are in Bcf/d (billion cubic feet per day) = EIA monthly MMcf / days in the month / 1000. 'Raw MMcf' holds EIA's own monthly volumes (the history store).</t>
        </is>
      </c>
    </row>
    <row r="5">
      <c r="A5" s="1" t="inlineStr">
        <is>
          <t>SOURCE</t>
        </is>
      </c>
    </row>
    <row r="6">
      <c r="A6" t="inlineStr">
        <is>
          <t>EIA Natural Gas Monthly via EIA API v2 (https://api.eia.gov/v2/natural-gas/): cons/sum (consumption by sector, area STX), prod/sum, stor/sum, move/poe2 (exports by port of exit).</t>
        </is>
      </c>
    </row>
    <row r="7">
      <c r="A7" t="inlineStr">
        <is>
          <t>https://www.eia.gov/dnav/ng/ng_cons_sum_dcu_STX_m.htm  |  https://www.eia.gov/dnav/ng/ng_move_poe2_a_EPG0_ENP_Mmcf_m.htm</t>
        </is>
      </c>
    </row>
    <row r="9">
      <c r="A9" s="1" t="inlineStr">
        <is>
          <t>COVERAGE AND LAG</t>
        </is>
      </c>
    </row>
    <row r="10">
      <c r="A10" t="inlineStr">
        <is>
          <t>Latest month by source: consumption Jul 2026, production Jul 2026, storage Jul 2026, Mexico pipeline exports Jul 2026, LNG exports Jul 2026. EIA's state consumption lags about 2-3 months; the latest months are revised.</t>
        </is>
      </c>
    </row>
    <row r="11">
      <c r="A11" t="inlineStr">
        <is>
          <t>Each run refetches only months after the last saved one, minus a 3-month revision window.</t>
        </is>
      </c>
    </row>
    <row r="13">
      <c r="A13" s="1" t="inlineStr">
        <is>
          <t>WITHHELD SERIES</t>
        </is>
      </c>
    </row>
    <row r="14">
      <c r="A14" t="inlineStr">
        <is>
          <t>EIA publishes no Texas lease and plant fuel (VGL), pipeline and distribution use (VGP) or total consumption (VC0): those columns are blank. 'Reported total' is EIA's</t>
        </is>
      </c>
    </row>
    <row r="15">
      <c r="A15" t="inlineStr">
        <is>
          <t>Delivered to Consumers (VGT) = electric power + industrial + residential + commercial + vehicle fuel.</t>
        </is>
      </c>
    </row>
    <row r="16">
      <c r="A16" t="inlineStr">
        <is>
          <t>EIA's Texas dry production (FPD) and extraction loss (VG9) stop after Dec 2024; marketed production (VGM) continues. Later months estimate dry production as marketed</t>
        </is>
      </c>
    </row>
    <row r="17">
      <c r="A17" t="inlineStr">
        <is>
          <t>production less extraction loss at the mean share of the last 12 published months (column 'Dry production basis' says which).</t>
        </is>
      </c>
    </row>
    <row r="19">
      <c r="A19" s="1" t="inlineStr">
        <is>
          <t>EXPORTS</t>
        </is>
      </c>
    </row>
    <row r="20">
      <c r="A20" t="inlineStr">
        <is>
          <t>Pipeline exports to Mexico = EIA ports of exit named TX (Eagle Pass, Roma, Rio Bravo, Hidalgo, Rio Grande, Brownsville, El Paso, San Elizario, Presidio, Laredo, ...). They are the gas leaving through</t>
        </is>
      </c>
    </row>
    <row r="21">
      <c r="A21" t="inlineStr">
        <is>
          <t>Texas crossings, not only Texas-produced gas. LNG exports = Texas terminals only (Corpus Christi, Freeport, Golden Pass from 2026). Sabine Pass, Cameron/Calcasieu Pass and</t>
        </is>
      </c>
    </row>
    <row r="22">
      <c r="A22" t="inlineStr">
        <is>
          <t>Plaquemines are in Louisiana and are NOT counted. EIA has no Texas state-to-state movement (move/state is national only).</t>
        </is>
      </c>
    </row>
    <row r="24">
      <c r="A24" s="1" t="inlineStr">
        <is>
          <t>BALANCE</t>
        </is>
      </c>
    </row>
    <row r="25">
      <c r="A25" t="inlineStr">
        <is>
          <t>Gross storage injections and withdrawals (EIA stor/sum SAI / SAW, Bcf/d) sit beside the net withdrawal (net = withdrawals - injections); the americas/TEXAS_SUPPLY_DEMAND.py charts use the gross flows (injections on the demand side, withdrawals on the supply side).</t>
        </is>
      </c>
    </row>
    <row r="26">
      <c r="A26" t="inlineStr">
        <is>
          <t>Residual = dry production + net storage withdrawal - consumption (published sectors) - Mexico pipeline exports - LNG exports. It is the implied net gas leaving Texas by pipeline to</t>
        </is>
      </c>
    </row>
    <row r="27">
      <c r="A27" t="inlineStr">
        <is>
          <t>other states plus the withheld lease/plant/pipeline fuel and any statistical differences. It is shown, never plugged.</t>
        </is>
      </c>
    </row>
    <row r="29">
      <c r="A29" s="1" t="inlineStr">
        <is>
          <t>LNG FORECAST (to Dec 2028, Bcf/d)</t>
        </is>
      </c>
    </row>
    <row r="30">
      <c r="A30" t="inlineStr">
        <is>
          <t>Tabs: 'Assump - LNG' (yellow cells are editable and survive reruns), 'Forecast' (live Excel formulas for the LNG columns and the demand totals; consumption and Mexico columns are script</t>
        </is>
      </c>
    </row>
    <row r="31">
      <c r="A31" t="inlineStr">
        <is>
          <t>values), 'LNG trains calc' (per-train feedgas) and 'Forecast values' (the script's own evaluation of the same logic, used for the charts, PNGs and master dashboards). Forecast tabs are</t>
        </is>
      </c>
    </row>
    <row r="32">
      <c r="A32" t="inlineStr">
        <is>
          <t>recomputed on every run; edits to the assumptions update 'Forecast' in Excel at once, the 'Forecast values' tab, charts' PNGs and dashboards follow on the next run.</t>
        </is>
      </c>
    </row>
    <row r="33">
      <c r="A33" t="inlineStr">
        <is>
          <t>LNG feedgas = EIA port exports x 1.09 (liquefaction fuel and shrink, the ratio lng_feedgas_daily.xlsx uses to calibrate its meters); the plain export figure is on the Forecast tab. Base and delayed (6 months) scenarios.</t>
        </is>
      </c>
    </row>
    <row r="34">
      <c r="A34" t="inlineStr">
        <is>
          <t>Existing Corpus Christi and Freeport = nameplate x the monthly utilisation of the last 36 EIA months, smoothed 1-2-1 across neighbouring months (heat derate, maintenance and Freeport trips included); new trains = the table (nameplate, first-LNG month, ramp, utilisation).</t>
        </is>
      </c>
    </row>
    <row r="35">
      <c r="A35" t="inlineStr">
        <is>
          <t>First-LNG months are company statements (NextDecade, Sempra, ExxonMobil, Cheniere, EIA) or assumptions - FERC's LNG pages list no dates (probe). The 'Date status' column marks guidance, assumed and unverified months.</t>
        </is>
      </c>
    </row>
    <row r="36">
      <c r="A36" t="inlineStr">
        <is>
          <t>Other consumption and Mexico exports: seasonal-trend base (last 3 years' monthly profile x last-12-month level x damped trend: Electric power -0.4%/yr; Industrial +0.8%/yr; Residential -3.0%/yr; Commercial -3.0%/yr; Vehicle fuel -3.0%/yr; Mexico exports -2.0%/yr). Not weather-adjusted.</t>
        </is>
      </c>
    </row>
    <row r="37">
      <c r="A37" t="inlineStr">
        <is>
          <t>Demand incl. LNG = EIA consumption by sector (electric power, industrial, residential, commercial, vehicle fuel) + LNG feedgas; Mexico pipeline exports are separate.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Electric power</t>
        </is>
      </c>
      <c r="C1" t="inlineStr">
        <is>
          <t>Industrial</t>
        </is>
      </c>
      <c r="D1" t="inlineStr">
        <is>
          <t>Residential</t>
        </is>
      </c>
      <c r="E1" t="inlineStr">
        <is>
          <t>Commercial</t>
        </is>
      </c>
      <c r="F1" t="inlineStr">
        <is>
          <t>Vehicle fuel</t>
        </is>
      </c>
      <c r="G1" t="inlineStr">
        <is>
          <t>LNG feedgas (exports x 1.09)</t>
        </is>
      </c>
      <c r="H1" t="inlineStr">
        <is>
          <t>Total incl. LNG, LNG delayed 6 months</t>
        </is>
      </c>
      <c r="I1" t="inlineStr">
        <is>
          <t>Pipeline exports to Mexico (not in stack)</t>
        </is>
      </c>
    </row>
    <row r="2">
      <c r="A2" s="12" t="n">
        <v>44197</v>
      </c>
      <c r="B2">
        <f>'Forecast'!S6</f>
        <v/>
      </c>
      <c r="C2">
        <f>'Forecast'!T6</f>
        <v/>
      </c>
      <c r="D2">
        <f>'Forecast'!U6</f>
        <v/>
      </c>
      <c r="E2">
        <f>'Forecast'!V6</f>
        <v/>
      </c>
      <c r="F2">
        <f>'Forecast'!W6</f>
        <v/>
      </c>
      <c r="G2">
        <f>'Forecast'!I6</f>
        <v/>
      </c>
      <c r="H2">
        <f>'Forecast'!AA6</f>
        <v/>
      </c>
      <c r="I2">
        <f>'Forecast'!Y6</f>
        <v/>
      </c>
    </row>
    <row r="3">
      <c r="A3" s="12" t="n">
        <v>44228</v>
      </c>
      <c r="B3">
        <f>'Forecast'!S7</f>
        <v/>
      </c>
      <c r="C3">
        <f>'Forecast'!T7</f>
        <v/>
      </c>
      <c r="D3">
        <f>'Forecast'!U7</f>
        <v/>
      </c>
      <c r="E3">
        <f>'Forecast'!V7</f>
        <v/>
      </c>
      <c r="F3">
        <f>'Forecast'!W7</f>
        <v/>
      </c>
      <c r="G3">
        <f>'Forecast'!I7</f>
        <v/>
      </c>
      <c r="H3">
        <f>'Forecast'!AA7</f>
        <v/>
      </c>
      <c r="I3">
        <f>'Forecast'!Y7</f>
        <v/>
      </c>
    </row>
    <row r="4">
      <c r="A4" s="12" t="n">
        <v>44256</v>
      </c>
      <c r="B4">
        <f>'Forecast'!S8</f>
        <v/>
      </c>
      <c r="C4">
        <f>'Forecast'!T8</f>
        <v/>
      </c>
      <c r="D4">
        <f>'Forecast'!U8</f>
        <v/>
      </c>
      <c r="E4">
        <f>'Forecast'!V8</f>
        <v/>
      </c>
      <c r="F4">
        <f>'Forecast'!W8</f>
        <v/>
      </c>
      <c r="G4">
        <f>'Forecast'!I8</f>
        <v/>
      </c>
      <c r="H4">
        <f>'Forecast'!AA8</f>
        <v/>
      </c>
      <c r="I4">
        <f>'Forecast'!Y8</f>
        <v/>
      </c>
    </row>
    <row r="5">
      <c r="A5" s="12" t="n">
        <v>44287</v>
      </c>
      <c r="B5">
        <f>'Forecast'!S9</f>
        <v/>
      </c>
      <c r="C5">
        <f>'Forecast'!T9</f>
        <v/>
      </c>
      <c r="D5">
        <f>'Forecast'!U9</f>
        <v/>
      </c>
      <c r="E5">
        <f>'Forecast'!V9</f>
        <v/>
      </c>
      <c r="F5">
        <f>'Forecast'!W9</f>
        <v/>
      </c>
      <c r="G5">
        <f>'Forecast'!I9</f>
        <v/>
      </c>
      <c r="H5">
        <f>'Forecast'!AA9</f>
        <v/>
      </c>
      <c r="I5">
        <f>'Forecast'!Y9</f>
        <v/>
      </c>
    </row>
    <row r="6">
      <c r="A6" s="12" t="n">
        <v>44317</v>
      </c>
      <c r="B6">
        <f>'Forecast'!S10</f>
        <v/>
      </c>
      <c r="C6">
        <f>'Forecast'!T10</f>
        <v/>
      </c>
      <c r="D6">
        <f>'Forecast'!U10</f>
        <v/>
      </c>
      <c r="E6">
        <f>'Forecast'!V10</f>
        <v/>
      </c>
      <c r="F6">
        <f>'Forecast'!W10</f>
        <v/>
      </c>
      <c r="G6">
        <f>'Forecast'!I10</f>
        <v/>
      </c>
      <c r="H6">
        <f>'Forecast'!AA10</f>
        <v/>
      </c>
      <c r="I6">
        <f>'Forecast'!Y10</f>
        <v/>
      </c>
    </row>
    <row r="7">
      <c r="A7" s="12" t="n">
        <v>44348</v>
      </c>
      <c r="B7">
        <f>'Forecast'!S11</f>
        <v/>
      </c>
      <c r="C7">
        <f>'Forecast'!T11</f>
        <v/>
      </c>
      <c r="D7">
        <f>'Forecast'!U11</f>
        <v/>
      </c>
      <c r="E7">
        <f>'Forecast'!V11</f>
        <v/>
      </c>
      <c r="F7">
        <f>'Forecast'!W11</f>
        <v/>
      </c>
      <c r="G7">
        <f>'Forecast'!I11</f>
        <v/>
      </c>
      <c r="H7">
        <f>'Forecast'!AA11</f>
        <v/>
      </c>
      <c r="I7">
        <f>'Forecast'!Y11</f>
        <v/>
      </c>
    </row>
    <row r="8">
      <c r="A8" s="12" t="n">
        <v>44378</v>
      </c>
      <c r="B8">
        <f>'Forecast'!S12</f>
        <v/>
      </c>
      <c r="C8">
        <f>'Forecast'!T12</f>
        <v/>
      </c>
      <c r="D8">
        <f>'Forecast'!U12</f>
        <v/>
      </c>
      <c r="E8">
        <f>'Forecast'!V12</f>
        <v/>
      </c>
      <c r="F8">
        <f>'Forecast'!W12</f>
        <v/>
      </c>
      <c r="G8">
        <f>'Forecast'!I12</f>
        <v/>
      </c>
      <c r="H8">
        <f>'Forecast'!AA12</f>
        <v/>
      </c>
      <c r="I8">
        <f>'Forecast'!Y12</f>
        <v/>
      </c>
    </row>
    <row r="9">
      <c r="A9" s="12" t="n">
        <v>44409</v>
      </c>
      <c r="B9">
        <f>'Forecast'!S13</f>
        <v/>
      </c>
      <c r="C9">
        <f>'Forecast'!T13</f>
        <v/>
      </c>
      <c r="D9">
        <f>'Forecast'!U13</f>
        <v/>
      </c>
      <c r="E9">
        <f>'Forecast'!V13</f>
        <v/>
      </c>
      <c r="F9">
        <f>'Forecast'!W13</f>
        <v/>
      </c>
      <c r="G9">
        <f>'Forecast'!I13</f>
        <v/>
      </c>
      <c r="H9">
        <f>'Forecast'!AA13</f>
        <v/>
      </c>
      <c r="I9">
        <f>'Forecast'!Y13</f>
        <v/>
      </c>
    </row>
    <row r="10">
      <c r="A10" s="12" t="n">
        <v>44440</v>
      </c>
      <c r="B10">
        <f>'Forecast'!S14</f>
        <v/>
      </c>
      <c r="C10">
        <f>'Forecast'!T14</f>
        <v/>
      </c>
      <c r="D10">
        <f>'Forecast'!U14</f>
        <v/>
      </c>
      <c r="E10">
        <f>'Forecast'!V14</f>
        <v/>
      </c>
      <c r="F10">
        <f>'Forecast'!W14</f>
        <v/>
      </c>
      <c r="G10">
        <f>'Forecast'!I14</f>
        <v/>
      </c>
      <c r="H10">
        <f>'Forecast'!AA14</f>
        <v/>
      </c>
      <c r="I10">
        <f>'Forecast'!Y14</f>
        <v/>
      </c>
    </row>
    <row r="11">
      <c r="A11" s="12" t="n">
        <v>44470</v>
      </c>
      <c r="B11">
        <f>'Forecast'!S15</f>
        <v/>
      </c>
      <c r="C11">
        <f>'Forecast'!T15</f>
        <v/>
      </c>
      <c r="D11">
        <f>'Forecast'!U15</f>
        <v/>
      </c>
      <c r="E11">
        <f>'Forecast'!V15</f>
        <v/>
      </c>
      <c r="F11">
        <f>'Forecast'!W15</f>
        <v/>
      </c>
      <c r="G11">
        <f>'Forecast'!I15</f>
        <v/>
      </c>
      <c r="H11">
        <f>'Forecast'!AA15</f>
        <v/>
      </c>
      <c r="I11">
        <f>'Forecast'!Y15</f>
        <v/>
      </c>
    </row>
    <row r="12">
      <c r="A12" s="12" t="n">
        <v>44501</v>
      </c>
      <c r="B12">
        <f>'Forecast'!S16</f>
        <v/>
      </c>
      <c r="C12">
        <f>'Forecast'!T16</f>
        <v/>
      </c>
      <c r="D12">
        <f>'Forecast'!U16</f>
        <v/>
      </c>
      <c r="E12">
        <f>'Forecast'!V16</f>
        <v/>
      </c>
      <c r="F12">
        <f>'Forecast'!W16</f>
        <v/>
      </c>
      <c r="G12">
        <f>'Forecast'!I16</f>
        <v/>
      </c>
      <c r="H12">
        <f>'Forecast'!AA16</f>
        <v/>
      </c>
      <c r="I12">
        <f>'Forecast'!Y16</f>
        <v/>
      </c>
    </row>
    <row r="13">
      <c r="A13" s="12" t="n">
        <v>44531</v>
      </c>
      <c r="B13">
        <f>'Forecast'!S17</f>
        <v/>
      </c>
      <c r="C13">
        <f>'Forecast'!T17</f>
        <v/>
      </c>
      <c r="D13">
        <f>'Forecast'!U17</f>
        <v/>
      </c>
      <c r="E13">
        <f>'Forecast'!V17</f>
        <v/>
      </c>
      <c r="F13">
        <f>'Forecast'!W17</f>
        <v/>
      </c>
      <c r="G13">
        <f>'Forecast'!I17</f>
        <v/>
      </c>
      <c r="H13">
        <f>'Forecast'!AA17</f>
        <v/>
      </c>
      <c r="I13">
        <f>'Forecast'!Y17</f>
        <v/>
      </c>
    </row>
    <row r="14">
      <c r="A14" s="12" t="n">
        <v>44562</v>
      </c>
      <c r="B14">
        <f>'Forecast'!S18</f>
        <v/>
      </c>
      <c r="C14">
        <f>'Forecast'!T18</f>
        <v/>
      </c>
      <c r="D14">
        <f>'Forecast'!U18</f>
        <v/>
      </c>
      <c r="E14">
        <f>'Forecast'!V18</f>
        <v/>
      </c>
      <c r="F14">
        <f>'Forecast'!W18</f>
        <v/>
      </c>
      <c r="G14">
        <f>'Forecast'!I18</f>
        <v/>
      </c>
      <c r="H14">
        <f>'Forecast'!AA18</f>
        <v/>
      </c>
      <c r="I14">
        <f>'Forecast'!Y18</f>
        <v/>
      </c>
    </row>
    <row r="15">
      <c r="A15" s="12" t="n">
        <v>44593</v>
      </c>
      <c r="B15">
        <f>'Forecast'!S19</f>
        <v/>
      </c>
      <c r="C15">
        <f>'Forecast'!T19</f>
        <v/>
      </c>
      <c r="D15">
        <f>'Forecast'!U19</f>
        <v/>
      </c>
      <c r="E15">
        <f>'Forecast'!V19</f>
        <v/>
      </c>
      <c r="F15">
        <f>'Forecast'!W19</f>
        <v/>
      </c>
      <c r="G15">
        <f>'Forecast'!I19</f>
        <v/>
      </c>
      <c r="H15">
        <f>'Forecast'!AA19</f>
        <v/>
      </c>
      <c r="I15">
        <f>'Forecast'!Y19</f>
        <v/>
      </c>
    </row>
    <row r="16">
      <c r="A16" s="12" t="n">
        <v>44621</v>
      </c>
      <c r="B16">
        <f>'Forecast'!S20</f>
        <v/>
      </c>
      <c r="C16">
        <f>'Forecast'!T20</f>
        <v/>
      </c>
      <c r="D16">
        <f>'Forecast'!U20</f>
        <v/>
      </c>
      <c r="E16">
        <f>'Forecast'!V20</f>
        <v/>
      </c>
      <c r="F16">
        <f>'Forecast'!W20</f>
        <v/>
      </c>
      <c r="G16">
        <f>'Forecast'!I20</f>
        <v/>
      </c>
      <c r="H16">
        <f>'Forecast'!AA20</f>
        <v/>
      </c>
      <c r="I16">
        <f>'Forecast'!Y20</f>
        <v/>
      </c>
    </row>
    <row r="17">
      <c r="A17" s="12" t="n">
        <v>44652</v>
      </c>
      <c r="B17">
        <f>'Forecast'!S21</f>
        <v/>
      </c>
      <c r="C17">
        <f>'Forecast'!T21</f>
        <v/>
      </c>
      <c r="D17">
        <f>'Forecast'!U21</f>
        <v/>
      </c>
      <c r="E17">
        <f>'Forecast'!V21</f>
        <v/>
      </c>
      <c r="F17">
        <f>'Forecast'!W21</f>
        <v/>
      </c>
      <c r="G17">
        <f>'Forecast'!I21</f>
        <v/>
      </c>
      <c r="H17">
        <f>'Forecast'!AA21</f>
        <v/>
      </c>
      <c r="I17">
        <f>'Forecast'!Y21</f>
        <v/>
      </c>
    </row>
    <row r="18">
      <c r="A18" s="12" t="n">
        <v>44682</v>
      </c>
      <c r="B18">
        <f>'Forecast'!S22</f>
        <v/>
      </c>
      <c r="C18">
        <f>'Forecast'!T22</f>
        <v/>
      </c>
      <c r="D18">
        <f>'Forecast'!U22</f>
        <v/>
      </c>
      <c r="E18">
        <f>'Forecast'!V22</f>
        <v/>
      </c>
      <c r="F18">
        <f>'Forecast'!W22</f>
        <v/>
      </c>
      <c r="G18">
        <f>'Forecast'!I22</f>
        <v/>
      </c>
      <c r="H18">
        <f>'Forecast'!AA22</f>
        <v/>
      </c>
      <c r="I18">
        <f>'Forecast'!Y22</f>
        <v/>
      </c>
    </row>
    <row r="19">
      <c r="A19" s="12" t="n">
        <v>44713</v>
      </c>
      <c r="B19">
        <f>'Forecast'!S23</f>
        <v/>
      </c>
      <c r="C19">
        <f>'Forecast'!T23</f>
        <v/>
      </c>
      <c r="D19">
        <f>'Forecast'!U23</f>
        <v/>
      </c>
      <c r="E19">
        <f>'Forecast'!V23</f>
        <v/>
      </c>
      <c r="F19">
        <f>'Forecast'!W23</f>
        <v/>
      </c>
      <c r="G19">
        <f>'Forecast'!I23</f>
        <v/>
      </c>
      <c r="H19">
        <f>'Forecast'!AA23</f>
        <v/>
      </c>
      <c r="I19">
        <f>'Forecast'!Y23</f>
        <v/>
      </c>
    </row>
    <row r="20">
      <c r="A20" s="12" t="n">
        <v>44743</v>
      </c>
      <c r="B20">
        <f>'Forecast'!S24</f>
        <v/>
      </c>
      <c r="C20">
        <f>'Forecast'!T24</f>
        <v/>
      </c>
      <c r="D20">
        <f>'Forecast'!U24</f>
        <v/>
      </c>
      <c r="E20">
        <f>'Forecast'!V24</f>
        <v/>
      </c>
      <c r="F20">
        <f>'Forecast'!W24</f>
        <v/>
      </c>
      <c r="G20">
        <f>'Forecast'!I24</f>
        <v/>
      </c>
      <c r="H20">
        <f>'Forecast'!AA24</f>
        <v/>
      </c>
      <c r="I20">
        <f>'Forecast'!Y24</f>
        <v/>
      </c>
    </row>
    <row r="21">
      <c r="A21" s="12" t="n">
        <v>44774</v>
      </c>
      <c r="B21">
        <f>'Forecast'!S25</f>
        <v/>
      </c>
      <c r="C21">
        <f>'Forecast'!T25</f>
        <v/>
      </c>
      <c r="D21">
        <f>'Forecast'!U25</f>
        <v/>
      </c>
      <c r="E21">
        <f>'Forecast'!V25</f>
        <v/>
      </c>
      <c r="F21">
        <f>'Forecast'!W25</f>
        <v/>
      </c>
      <c r="G21">
        <f>'Forecast'!I25</f>
        <v/>
      </c>
      <c r="H21">
        <f>'Forecast'!AA25</f>
        <v/>
      </c>
      <c r="I21">
        <f>'Forecast'!Y25</f>
        <v/>
      </c>
    </row>
    <row r="22">
      <c r="A22" s="12" t="n">
        <v>44805</v>
      </c>
      <c r="B22">
        <f>'Forecast'!S26</f>
        <v/>
      </c>
      <c r="C22">
        <f>'Forecast'!T26</f>
        <v/>
      </c>
      <c r="D22">
        <f>'Forecast'!U26</f>
        <v/>
      </c>
      <c r="E22">
        <f>'Forecast'!V26</f>
        <v/>
      </c>
      <c r="F22">
        <f>'Forecast'!W26</f>
        <v/>
      </c>
      <c r="G22">
        <f>'Forecast'!I26</f>
        <v/>
      </c>
      <c r="H22">
        <f>'Forecast'!AA26</f>
        <v/>
      </c>
      <c r="I22">
        <f>'Forecast'!Y26</f>
        <v/>
      </c>
    </row>
    <row r="23">
      <c r="A23" s="12" t="n">
        <v>44835</v>
      </c>
      <c r="B23">
        <f>'Forecast'!S27</f>
        <v/>
      </c>
      <c r="C23">
        <f>'Forecast'!T27</f>
        <v/>
      </c>
      <c r="D23">
        <f>'Forecast'!U27</f>
        <v/>
      </c>
      <c r="E23">
        <f>'Forecast'!V27</f>
        <v/>
      </c>
      <c r="F23">
        <f>'Forecast'!W27</f>
        <v/>
      </c>
      <c r="G23">
        <f>'Forecast'!I27</f>
        <v/>
      </c>
      <c r="H23">
        <f>'Forecast'!AA27</f>
        <v/>
      </c>
      <c r="I23">
        <f>'Forecast'!Y27</f>
        <v/>
      </c>
    </row>
    <row r="24">
      <c r="A24" s="12" t="n">
        <v>44866</v>
      </c>
      <c r="B24">
        <f>'Forecast'!S28</f>
        <v/>
      </c>
      <c r="C24">
        <f>'Forecast'!T28</f>
        <v/>
      </c>
      <c r="D24">
        <f>'Forecast'!U28</f>
        <v/>
      </c>
      <c r="E24">
        <f>'Forecast'!V28</f>
        <v/>
      </c>
      <c r="F24">
        <f>'Forecast'!W28</f>
        <v/>
      </c>
      <c r="G24">
        <f>'Forecast'!I28</f>
        <v/>
      </c>
      <c r="H24">
        <f>'Forecast'!AA28</f>
        <v/>
      </c>
      <c r="I24">
        <f>'Forecast'!Y28</f>
        <v/>
      </c>
    </row>
    <row r="25">
      <c r="A25" s="12" t="n">
        <v>44896</v>
      </c>
      <c r="B25">
        <f>'Forecast'!S29</f>
        <v/>
      </c>
      <c r="C25">
        <f>'Forecast'!T29</f>
        <v/>
      </c>
      <c r="D25">
        <f>'Forecast'!U29</f>
        <v/>
      </c>
      <c r="E25">
        <f>'Forecast'!V29</f>
        <v/>
      </c>
      <c r="F25">
        <f>'Forecast'!W29</f>
        <v/>
      </c>
      <c r="G25">
        <f>'Forecast'!I29</f>
        <v/>
      </c>
      <c r="H25">
        <f>'Forecast'!AA29</f>
        <v/>
      </c>
      <c r="I25">
        <f>'Forecast'!Y29</f>
        <v/>
      </c>
    </row>
    <row r="26">
      <c r="A26" s="12" t="n">
        <v>44927</v>
      </c>
      <c r="B26">
        <f>'Forecast'!S30</f>
        <v/>
      </c>
      <c r="C26">
        <f>'Forecast'!T30</f>
        <v/>
      </c>
      <c r="D26">
        <f>'Forecast'!U30</f>
        <v/>
      </c>
      <c r="E26">
        <f>'Forecast'!V30</f>
        <v/>
      </c>
      <c r="F26">
        <f>'Forecast'!W30</f>
        <v/>
      </c>
      <c r="G26">
        <f>'Forecast'!I30</f>
        <v/>
      </c>
      <c r="H26">
        <f>'Forecast'!AA30</f>
        <v/>
      </c>
      <c r="I26">
        <f>'Forecast'!Y30</f>
        <v/>
      </c>
    </row>
    <row r="27">
      <c r="A27" s="12" t="n">
        <v>44958</v>
      </c>
      <c r="B27">
        <f>'Forecast'!S31</f>
        <v/>
      </c>
      <c r="C27">
        <f>'Forecast'!T31</f>
        <v/>
      </c>
      <c r="D27">
        <f>'Forecast'!U31</f>
        <v/>
      </c>
      <c r="E27">
        <f>'Forecast'!V31</f>
        <v/>
      </c>
      <c r="F27">
        <f>'Forecast'!W31</f>
        <v/>
      </c>
      <c r="G27">
        <f>'Forecast'!I31</f>
        <v/>
      </c>
      <c r="H27">
        <f>'Forecast'!AA31</f>
        <v/>
      </c>
      <c r="I27">
        <f>'Forecast'!Y31</f>
        <v/>
      </c>
    </row>
    <row r="28">
      <c r="A28" s="12" t="n">
        <v>44986</v>
      </c>
      <c r="B28">
        <f>'Forecast'!S32</f>
        <v/>
      </c>
      <c r="C28">
        <f>'Forecast'!T32</f>
        <v/>
      </c>
      <c r="D28">
        <f>'Forecast'!U32</f>
        <v/>
      </c>
      <c r="E28">
        <f>'Forecast'!V32</f>
        <v/>
      </c>
      <c r="F28">
        <f>'Forecast'!W32</f>
        <v/>
      </c>
      <c r="G28">
        <f>'Forecast'!I32</f>
        <v/>
      </c>
      <c r="H28">
        <f>'Forecast'!AA32</f>
        <v/>
      </c>
      <c r="I28">
        <f>'Forecast'!Y32</f>
        <v/>
      </c>
    </row>
    <row r="29">
      <c r="A29" s="12" t="n">
        <v>45017</v>
      </c>
      <c r="B29">
        <f>'Forecast'!S33</f>
        <v/>
      </c>
      <c r="C29">
        <f>'Forecast'!T33</f>
        <v/>
      </c>
      <c r="D29">
        <f>'Forecast'!U33</f>
        <v/>
      </c>
      <c r="E29">
        <f>'Forecast'!V33</f>
        <v/>
      </c>
      <c r="F29">
        <f>'Forecast'!W33</f>
        <v/>
      </c>
      <c r="G29">
        <f>'Forecast'!I33</f>
        <v/>
      </c>
      <c r="H29">
        <f>'Forecast'!AA33</f>
        <v/>
      </c>
      <c r="I29">
        <f>'Forecast'!Y33</f>
        <v/>
      </c>
    </row>
    <row r="30">
      <c r="A30" s="12" t="n">
        <v>45047</v>
      </c>
      <c r="B30">
        <f>'Forecast'!S34</f>
        <v/>
      </c>
      <c r="C30">
        <f>'Forecast'!T34</f>
        <v/>
      </c>
      <c r="D30">
        <f>'Forecast'!U34</f>
        <v/>
      </c>
      <c r="E30">
        <f>'Forecast'!V34</f>
        <v/>
      </c>
      <c r="F30">
        <f>'Forecast'!W34</f>
        <v/>
      </c>
      <c r="G30">
        <f>'Forecast'!I34</f>
        <v/>
      </c>
      <c r="H30">
        <f>'Forecast'!AA34</f>
        <v/>
      </c>
      <c r="I30">
        <f>'Forecast'!Y34</f>
        <v/>
      </c>
    </row>
    <row r="31">
      <c r="A31" s="12" t="n">
        <v>45078</v>
      </c>
      <c r="B31">
        <f>'Forecast'!S35</f>
        <v/>
      </c>
      <c r="C31">
        <f>'Forecast'!T35</f>
        <v/>
      </c>
      <c r="D31">
        <f>'Forecast'!U35</f>
        <v/>
      </c>
      <c r="E31">
        <f>'Forecast'!V35</f>
        <v/>
      </c>
      <c r="F31">
        <f>'Forecast'!W35</f>
        <v/>
      </c>
      <c r="G31">
        <f>'Forecast'!I35</f>
        <v/>
      </c>
      <c r="H31">
        <f>'Forecast'!AA35</f>
        <v/>
      </c>
      <c r="I31">
        <f>'Forecast'!Y35</f>
        <v/>
      </c>
    </row>
    <row r="32">
      <c r="A32" s="12" t="n">
        <v>45108</v>
      </c>
      <c r="B32">
        <f>'Forecast'!S36</f>
        <v/>
      </c>
      <c r="C32">
        <f>'Forecast'!T36</f>
        <v/>
      </c>
      <c r="D32">
        <f>'Forecast'!U36</f>
        <v/>
      </c>
      <c r="E32">
        <f>'Forecast'!V36</f>
        <v/>
      </c>
      <c r="F32">
        <f>'Forecast'!W36</f>
        <v/>
      </c>
      <c r="G32">
        <f>'Forecast'!I36</f>
        <v/>
      </c>
      <c r="H32">
        <f>'Forecast'!AA36</f>
        <v/>
      </c>
      <c r="I32">
        <f>'Forecast'!Y36</f>
        <v/>
      </c>
    </row>
    <row r="33">
      <c r="A33" s="12" t="n">
        <v>45139</v>
      </c>
      <c r="B33">
        <f>'Forecast'!S37</f>
        <v/>
      </c>
      <c r="C33">
        <f>'Forecast'!T37</f>
        <v/>
      </c>
      <c r="D33">
        <f>'Forecast'!U37</f>
        <v/>
      </c>
      <c r="E33">
        <f>'Forecast'!V37</f>
        <v/>
      </c>
      <c r="F33">
        <f>'Forecast'!W37</f>
        <v/>
      </c>
      <c r="G33">
        <f>'Forecast'!I37</f>
        <v/>
      </c>
      <c r="H33">
        <f>'Forecast'!AA37</f>
        <v/>
      </c>
      <c r="I33">
        <f>'Forecast'!Y37</f>
        <v/>
      </c>
    </row>
    <row r="34">
      <c r="A34" s="12" t="n">
        <v>45170</v>
      </c>
      <c r="B34">
        <f>'Forecast'!S38</f>
        <v/>
      </c>
      <c r="C34">
        <f>'Forecast'!T38</f>
        <v/>
      </c>
      <c r="D34">
        <f>'Forecast'!U38</f>
        <v/>
      </c>
      <c r="E34">
        <f>'Forecast'!V38</f>
        <v/>
      </c>
      <c r="F34">
        <f>'Forecast'!W38</f>
        <v/>
      </c>
      <c r="G34">
        <f>'Forecast'!I38</f>
        <v/>
      </c>
      <c r="H34">
        <f>'Forecast'!AA38</f>
        <v/>
      </c>
      <c r="I34">
        <f>'Forecast'!Y38</f>
        <v/>
      </c>
    </row>
    <row r="35">
      <c r="A35" s="12" t="n">
        <v>45200</v>
      </c>
      <c r="B35">
        <f>'Forecast'!S39</f>
        <v/>
      </c>
      <c r="C35">
        <f>'Forecast'!T39</f>
        <v/>
      </c>
      <c r="D35">
        <f>'Forecast'!U39</f>
        <v/>
      </c>
      <c r="E35">
        <f>'Forecast'!V39</f>
        <v/>
      </c>
      <c r="F35">
        <f>'Forecast'!W39</f>
        <v/>
      </c>
      <c r="G35">
        <f>'Forecast'!I39</f>
        <v/>
      </c>
      <c r="H35">
        <f>'Forecast'!AA39</f>
        <v/>
      </c>
      <c r="I35">
        <f>'Forecast'!Y39</f>
        <v/>
      </c>
    </row>
    <row r="36">
      <c r="A36" s="12" t="n">
        <v>45231</v>
      </c>
      <c r="B36">
        <f>'Forecast'!S40</f>
        <v/>
      </c>
      <c r="C36">
        <f>'Forecast'!T40</f>
        <v/>
      </c>
      <c r="D36">
        <f>'Forecast'!U40</f>
        <v/>
      </c>
      <c r="E36">
        <f>'Forecast'!V40</f>
        <v/>
      </c>
      <c r="F36">
        <f>'Forecast'!W40</f>
        <v/>
      </c>
      <c r="G36">
        <f>'Forecast'!I40</f>
        <v/>
      </c>
      <c r="H36">
        <f>'Forecast'!AA40</f>
        <v/>
      </c>
      <c r="I36">
        <f>'Forecast'!Y40</f>
        <v/>
      </c>
    </row>
    <row r="37">
      <c r="A37" s="12" t="n">
        <v>45261</v>
      </c>
      <c r="B37">
        <f>'Forecast'!S41</f>
        <v/>
      </c>
      <c r="C37">
        <f>'Forecast'!T41</f>
        <v/>
      </c>
      <c r="D37">
        <f>'Forecast'!U41</f>
        <v/>
      </c>
      <c r="E37">
        <f>'Forecast'!V41</f>
        <v/>
      </c>
      <c r="F37">
        <f>'Forecast'!W41</f>
        <v/>
      </c>
      <c r="G37">
        <f>'Forecast'!I41</f>
        <v/>
      </c>
      <c r="H37">
        <f>'Forecast'!AA41</f>
        <v/>
      </c>
      <c r="I37">
        <f>'Forecast'!Y41</f>
        <v/>
      </c>
    </row>
    <row r="38">
      <c r="A38" s="12" t="n">
        <v>45292</v>
      </c>
      <c r="B38">
        <f>'Forecast'!S42</f>
        <v/>
      </c>
      <c r="C38">
        <f>'Forecast'!T42</f>
        <v/>
      </c>
      <c r="D38">
        <f>'Forecast'!U42</f>
        <v/>
      </c>
      <c r="E38">
        <f>'Forecast'!V42</f>
        <v/>
      </c>
      <c r="F38">
        <f>'Forecast'!W42</f>
        <v/>
      </c>
      <c r="G38">
        <f>'Forecast'!I42</f>
        <v/>
      </c>
      <c r="H38">
        <f>'Forecast'!AA42</f>
        <v/>
      </c>
      <c r="I38">
        <f>'Forecast'!Y42</f>
        <v/>
      </c>
    </row>
    <row r="39">
      <c r="A39" s="12" t="n">
        <v>45323</v>
      </c>
      <c r="B39">
        <f>'Forecast'!S43</f>
        <v/>
      </c>
      <c r="C39">
        <f>'Forecast'!T43</f>
        <v/>
      </c>
      <c r="D39">
        <f>'Forecast'!U43</f>
        <v/>
      </c>
      <c r="E39">
        <f>'Forecast'!V43</f>
        <v/>
      </c>
      <c r="F39">
        <f>'Forecast'!W43</f>
        <v/>
      </c>
      <c r="G39">
        <f>'Forecast'!I43</f>
        <v/>
      </c>
      <c r="H39">
        <f>'Forecast'!AA43</f>
        <v/>
      </c>
      <c r="I39">
        <f>'Forecast'!Y43</f>
        <v/>
      </c>
    </row>
    <row r="40">
      <c r="A40" s="12" t="n">
        <v>45352</v>
      </c>
      <c r="B40">
        <f>'Forecast'!S44</f>
        <v/>
      </c>
      <c r="C40">
        <f>'Forecast'!T44</f>
        <v/>
      </c>
      <c r="D40">
        <f>'Forecast'!U44</f>
        <v/>
      </c>
      <c r="E40">
        <f>'Forecast'!V44</f>
        <v/>
      </c>
      <c r="F40">
        <f>'Forecast'!W44</f>
        <v/>
      </c>
      <c r="G40">
        <f>'Forecast'!I44</f>
        <v/>
      </c>
      <c r="H40">
        <f>'Forecast'!AA44</f>
        <v/>
      </c>
      <c r="I40">
        <f>'Forecast'!Y44</f>
        <v/>
      </c>
    </row>
    <row r="41">
      <c r="A41" s="12" t="n">
        <v>45383</v>
      </c>
      <c r="B41">
        <f>'Forecast'!S45</f>
        <v/>
      </c>
      <c r="C41">
        <f>'Forecast'!T45</f>
        <v/>
      </c>
      <c r="D41">
        <f>'Forecast'!U45</f>
        <v/>
      </c>
      <c r="E41">
        <f>'Forecast'!V45</f>
        <v/>
      </c>
      <c r="F41">
        <f>'Forecast'!W45</f>
        <v/>
      </c>
      <c r="G41">
        <f>'Forecast'!I45</f>
        <v/>
      </c>
      <c r="H41">
        <f>'Forecast'!AA45</f>
        <v/>
      </c>
      <c r="I41">
        <f>'Forecast'!Y45</f>
        <v/>
      </c>
    </row>
    <row r="42">
      <c r="A42" s="12" t="n">
        <v>45413</v>
      </c>
      <c r="B42">
        <f>'Forecast'!S46</f>
        <v/>
      </c>
      <c r="C42">
        <f>'Forecast'!T46</f>
        <v/>
      </c>
      <c r="D42">
        <f>'Forecast'!U46</f>
        <v/>
      </c>
      <c r="E42">
        <f>'Forecast'!V46</f>
        <v/>
      </c>
      <c r="F42">
        <f>'Forecast'!W46</f>
        <v/>
      </c>
      <c r="G42">
        <f>'Forecast'!I46</f>
        <v/>
      </c>
      <c r="H42">
        <f>'Forecast'!AA46</f>
        <v/>
      </c>
      <c r="I42">
        <f>'Forecast'!Y46</f>
        <v/>
      </c>
    </row>
    <row r="43">
      <c r="A43" s="12" t="n">
        <v>45444</v>
      </c>
      <c r="B43">
        <f>'Forecast'!S47</f>
        <v/>
      </c>
      <c r="C43">
        <f>'Forecast'!T47</f>
        <v/>
      </c>
      <c r="D43">
        <f>'Forecast'!U47</f>
        <v/>
      </c>
      <c r="E43">
        <f>'Forecast'!V47</f>
        <v/>
      </c>
      <c r="F43">
        <f>'Forecast'!W47</f>
        <v/>
      </c>
      <c r="G43">
        <f>'Forecast'!I47</f>
        <v/>
      </c>
      <c r="H43">
        <f>'Forecast'!AA47</f>
        <v/>
      </c>
      <c r="I43">
        <f>'Forecast'!Y47</f>
        <v/>
      </c>
    </row>
    <row r="44">
      <c r="A44" s="12" t="n">
        <v>45474</v>
      </c>
      <c r="B44">
        <f>'Forecast'!S48</f>
        <v/>
      </c>
      <c r="C44">
        <f>'Forecast'!T48</f>
        <v/>
      </c>
      <c r="D44">
        <f>'Forecast'!U48</f>
        <v/>
      </c>
      <c r="E44">
        <f>'Forecast'!V48</f>
        <v/>
      </c>
      <c r="F44">
        <f>'Forecast'!W48</f>
        <v/>
      </c>
      <c r="G44">
        <f>'Forecast'!I48</f>
        <v/>
      </c>
      <c r="H44">
        <f>'Forecast'!AA48</f>
        <v/>
      </c>
      <c r="I44">
        <f>'Forecast'!Y48</f>
        <v/>
      </c>
    </row>
    <row r="45">
      <c r="A45" s="12" t="n">
        <v>45505</v>
      </c>
      <c r="B45">
        <f>'Forecast'!S49</f>
        <v/>
      </c>
      <c r="C45">
        <f>'Forecast'!T49</f>
        <v/>
      </c>
      <c r="D45">
        <f>'Forecast'!U49</f>
        <v/>
      </c>
      <c r="E45">
        <f>'Forecast'!V49</f>
        <v/>
      </c>
      <c r="F45">
        <f>'Forecast'!W49</f>
        <v/>
      </c>
      <c r="G45">
        <f>'Forecast'!I49</f>
        <v/>
      </c>
      <c r="H45">
        <f>'Forecast'!AA49</f>
        <v/>
      </c>
      <c r="I45">
        <f>'Forecast'!Y49</f>
        <v/>
      </c>
    </row>
    <row r="46">
      <c r="A46" s="12" t="n">
        <v>45536</v>
      </c>
      <c r="B46">
        <f>'Forecast'!S50</f>
        <v/>
      </c>
      <c r="C46">
        <f>'Forecast'!T50</f>
        <v/>
      </c>
      <c r="D46">
        <f>'Forecast'!U50</f>
        <v/>
      </c>
      <c r="E46">
        <f>'Forecast'!V50</f>
        <v/>
      </c>
      <c r="F46">
        <f>'Forecast'!W50</f>
        <v/>
      </c>
      <c r="G46">
        <f>'Forecast'!I50</f>
        <v/>
      </c>
      <c r="H46">
        <f>'Forecast'!AA50</f>
        <v/>
      </c>
      <c r="I46">
        <f>'Forecast'!Y50</f>
        <v/>
      </c>
    </row>
    <row r="47">
      <c r="A47" s="12" t="n">
        <v>45566</v>
      </c>
      <c r="B47">
        <f>'Forecast'!S51</f>
        <v/>
      </c>
      <c r="C47">
        <f>'Forecast'!T51</f>
        <v/>
      </c>
      <c r="D47">
        <f>'Forecast'!U51</f>
        <v/>
      </c>
      <c r="E47">
        <f>'Forecast'!V51</f>
        <v/>
      </c>
      <c r="F47">
        <f>'Forecast'!W51</f>
        <v/>
      </c>
      <c r="G47">
        <f>'Forecast'!I51</f>
        <v/>
      </c>
      <c r="H47">
        <f>'Forecast'!AA51</f>
        <v/>
      </c>
      <c r="I47">
        <f>'Forecast'!Y51</f>
        <v/>
      </c>
    </row>
    <row r="48">
      <c r="A48" s="12" t="n">
        <v>45597</v>
      </c>
      <c r="B48">
        <f>'Forecast'!S52</f>
        <v/>
      </c>
      <c r="C48">
        <f>'Forecast'!T52</f>
        <v/>
      </c>
      <c r="D48">
        <f>'Forecast'!U52</f>
        <v/>
      </c>
      <c r="E48">
        <f>'Forecast'!V52</f>
        <v/>
      </c>
      <c r="F48">
        <f>'Forecast'!W52</f>
        <v/>
      </c>
      <c r="G48">
        <f>'Forecast'!I52</f>
        <v/>
      </c>
      <c r="H48">
        <f>'Forecast'!AA52</f>
        <v/>
      </c>
      <c r="I48">
        <f>'Forecast'!Y52</f>
        <v/>
      </c>
    </row>
    <row r="49">
      <c r="A49" s="12" t="n">
        <v>45627</v>
      </c>
      <c r="B49">
        <f>'Forecast'!S53</f>
        <v/>
      </c>
      <c r="C49">
        <f>'Forecast'!T53</f>
        <v/>
      </c>
      <c r="D49">
        <f>'Forecast'!U53</f>
        <v/>
      </c>
      <c r="E49">
        <f>'Forecast'!V53</f>
        <v/>
      </c>
      <c r="F49">
        <f>'Forecast'!W53</f>
        <v/>
      </c>
      <c r="G49">
        <f>'Forecast'!I53</f>
        <v/>
      </c>
      <c r="H49">
        <f>'Forecast'!AA53</f>
        <v/>
      </c>
      <c r="I49">
        <f>'Forecast'!Y53</f>
        <v/>
      </c>
    </row>
    <row r="50">
      <c r="A50" s="12" t="n">
        <v>45658</v>
      </c>
      <c r="B50">
        <f>'Forecast'!S54</f>
        <v/>
      </c>
      <c r="C50">
        <f>'Forecast'!T54</f>
        <v/>
      </c>
      <c r="D50">
        <f>'Forecast'!U54</f>
        <v/>
      </c>
      <c r="E50">
        <f>'Forecast'!V54</f>
        <v/>
      </c>
      <c r="F50">
        <f>'Forecast'!W54</f>
        <v/>
      </c>
      <c r="G50">
        <f>'Forecast'!I54</f>
        <v/>
      </c>
      <c r="H50">
        <f>'Forecast'!AA54</f>
        <v/>
      </c>
      <c r="I50">
        <f>'Forecast'!Y54</f>
        <v/>
      </c>
    </row>
    <row r="51">
      <c r="A51" s="12" t="n">
        <v>45689</v>
      </c>
      <c r="B51">
        <f>'Forecast'!S55</f>
        <v/>
      </c>
      <c r="C51">
        <f>'Forecast'!T55</f>
        <v/>
      </c>
      <c r="D51">
        <f>'Forecast'!U55</f>
        <v/>
      </c>
      <c r="E51">
        <f>'Forecast'!V55</f>
        <v/>
      </c>
      <c r="F51">
        <f>'Forecast'!W55</f>
        <v/>
      </c>
      <c r="G51">
        <f>'Forecast'!I55</f>
        <v/>
      </c>
      <c r="H51">
        <f>'Forecast'!AA55</f>
        <v/>
      </c>
      <c r="I51">
        <f>'Forecast'!Y55</f>
        <v/>
      </c>
    </row>
    <row r="52">
      <c r="A52" s="12" t="n">
        <v>45717</v>
      </c>
      <c r="B52">
        <f>'Forecast'!S56</f>
        <v/>
      </c>
      <c r="C52">
        <f>'Forecast'!T56</f>
        <v/>
      </c>
      <c r="D52">
        <f>'Forecast'!U56</f>
        <v/>
      </c>
      <c r="E52">
        <f>'Forecast'!V56</f>
        <v/>
      </c>
      <c r="F52">
        <f>'Forecast'!W56</f>
        <v/>
      </c>
      <c r="G52">
        <f>'Forecast'!I56</f>
        <v/>
      </c>
      <c r="H52">
        <f>'Forecast'!AA56</f>
        <v/>
      </c>
      <c r="I52">
        <f>'Forecast'!Y56</f>
        <v/>
      </c>
    </row>
    <row r="53">
      <c r="A53" s="12" t="n">
        <v>45748</v>
      </c>
      <c r="B53">
        <f>'Forecast'!S57</f>
        <v/>
      </c>
      <c r="C53">
        <f>'Forecast'!T57</f>
        <v/>
      </c>
      <c r="D53">
        <f>'Forecast'!U57</f>
        <v/>
      </c>
      <c r="E53">
        <f>'Forecast'!V57</f>
        <v/>
      </c>
      <c r="F53">
        <f>'Forecast'!W57</f>
        <v/>
      </c>
      <c r="G53">
        <f>'Forecast'!I57</f>
        <v/>
      </c>
      <c r="H53">
        <f>'Forecast'!AA57</f>
        <v/>
      </c>
      <c r="I53">
        <f>'Forecast'!Y57</f>
        <v/>
      </c>
    </row>
    <row r="54">
      <c r="A54" s="12" t="n">
        <v>45778</v>
      </c>
      <c r="B54">
        <f>'Forecast'!S58</f>
        <v/>
      </c>
      <c r="C54">
        <f>'Forecast'!T58</f>
        <v/>
      </c>
      <c r="D54">
        <f>'Forecast'!U58</f>
        <v/>
      </c>
      <c r="E54">
        <f>'Forecast'!V58</f>
        <v/>
      </c>
      <c r="F54">
        <f>'Forecast'!W58</f>
        <v/>
      </c>
      <c r="G54">
        <f>'Forecast'!I58</f>
        <v/>
      </c>
      <c r="H54">
        <f>'Forecast'!AA58</f>
        <v/>
      </c>
      <c r="I54">
        <f>'Forecast'!Y58</f>
        <v/>
      </c>
    </row>
    <row r="55">
      <c r="A55" s="12" t="n">
        <v>45809</v>
      </c>
      <c r="B55">
        <f>'Forecast'!S59</f>
        <v/>
      </c>
      <c r="C55">
        <f>'Forecast'!T59</f>
        <v/>
      </c>
      <c r="D55">
        <f>'Forecast'!U59</f>
        <v/>
      </c>
      <c r="E55">
        <f>'Forecast'!V59</f>
        <v/>
      </c>
      <c r="F55">
        <f>'Forecast'!W59</f>
        <v/>
      </c>
      <c r="G55">
        <f>'Forecast'!I59</f>
        <v/>
      </c>
      <c r="H55">
        <f>'Forecast'!AA59</f>
        <v/>
      </c>
      <c r="I55">
        <f>'Forecast'!Y59</f>
        <v/>
      </c>
    </row>
    <row r="56">
      <c r="A56" s="12" t="n">
        <v>45839</v>
      </c>
      <c r="B56">
        <f>'Forecast'!S60</f>
        <v/>
      </c>
      <c r="C56">
        <f>'Forecast'!T60</f>
        <v/>
      </c>
      <c r="D56">
        <f>'Forecast'!U60</f>
        <v/>
      </c>
      <c r="E56">
        <f>'Forecast'!V60</f>
        <v/>
      </c>
      <c r="F56">
        <f>'Forecast'!W60</f>
        <v/>
      </c>
      <c r="G56">
        <f>'Forecast'!I60</f>
        <v/>
      </c>
      <c r="H56">
        <f>'Forecast'!AA60</f>
        <v/>
      </c>
      <c r="I56">
        <f>'Forecast'!Y60</f>
        <v/>
      </c>
    </row>
    <row r="57">
      <c r="A57" s="12" t="n">
        <v>45870</v>
      </c>
      <c r="B57">
        <f>'Forecast'!S61</f>
        <v/>
      </c>
      <c r="C57">
        <f>'Forecast'!T61</f>
        <v/>
      </c>
      <c r="D57">
        <f>'Forecast'!U61</f>
        <v/>
      </c>
      <c r="E57">
        <f>'Forecast'!V61</f>
        <v/>
      </c>
      <c r="F57">
        <f>'Forecast'!W61</f>
        <v/>
      </c>
      <c r="G57">
        <f>'Forecast'!I61</f>
        <v/>
      </c>
      <c r="H57">
        <f>'Forecast'!AA61</f>
        <v/>
      </c>
      <c r="I57">
        <f>'Forecast'!Y61</f>
        <v/>
      </c>
    </row>
    <row r="58">
      <c r="A58" s="12" t="n">
        <v>45901</v>
      </c>
      <c r="B58">
        <f>'Forecast'!S62</f>
        <v/>
      </c>
      <c r="C58">
        <f>'Forecast'!T62</f>
        <v/>
      </c>
      <c r="D58">
        <f>'Forecast'!U62</f>
        <v/>
      </c>
      <c r="E58">
        <f>'Forecast'!V62</f>
        <v/>
      </c>
      <c r="F58">
        <f>'Forecast'!W62</f>
        <v/>
      </c>
      <c r="G58">
        <f>'Forecast'!I62</f>
        <v/>
      </c>
      <c r="H58">
        <f>'Forecast'!AA62</f>
        <v/>
      </c>
      <c r="I58">
        <f>'Forecast'!Y62</f>
        <v/>
      </c>
    </row>
    <row r="59">
      <c r="A59" s="12" t="n">
        <v>45931</v>
      </c>
      <c r="B59">
        <f>'Forecast'!S63</f>
        <v/>
      </c>
      <c r="C59">
        <f>'Forecast'!T63</f>
        <v/>
      </c>
      <c r="D59">
        <f>'Forecast'!U63</f>
        <v/>
      </c>
      <c r="E59">
        <f>'Forecast'!V63</f>
        <v/>
      </c>
      <c r="F59">
        <f>'Forecast'!W63</f>
        <v/>
      </c>
      <c r="G59">
        <f>'Forecast'!I63</f>
        <v/>
      </c>
      <c r="H59">
        <f>'Forecast'!AA63</f>
        <v/>
      </c>
      <c r="I59">
        <f>'Forecast'!Y63</f>
        <v/>
      </c>
    </row>
    <row r="60">
      <c r="A60" s="12" t="n">
        <v>45962</v>
      </c>
      <c r="B60">
        <f>'Forecast'!S64</f>
        <v/>
      </c>
      <c r="C60">
        <f>'Forecast'!T64</f>
        <v/>
      </c>
      <c r="D60">
        <f>'Forecast'!U64</f>
        <v/>
      </c>
      <c r="E60">
        <f>'Forecast'!V64</f>
        <v/>
      </c>
      <c r="F60">
        <f>'Forecast'!W64</f>
        <v/>
      </c>
      <c r="G60">
        <f>'Forecast'!I64</f>
        <v/>
      </c>
      <c r="H60">
        <f>'Forecast'!AA64</f>
        <v/>
      </c>
      <c r="I60">
        <f>'Forecast'!Y64</f>
        <v/>
      </c>
    </row>
    <row r="61">
      <c r="A61" s="12" t="n">
        <v>45992</v>
      </c>
      <c r="B61">
        <f>'Forecast'!S65</f>
        <v/>
      </c>
      <c r="C61">
        <f>'Forecast'!T65</f>
        <v/>
      </c>
      <c r="D61">
        <f>'Forecast'!U65</f>
        <v/>
      </c>
      <c r="E61">
        <f>'Forecast'!V65</f>
        <v/>
      </c>
      <c r="F61">
        <f>'Forecast'!W65</f>
        <v/>
      </c>
      <c r="G61">
        <f>'Forecast'!I65</f>
        <v/>
      </c>
      <c r="H61">
        <f>'Forecast'!AA65</f>
        <v/>
      </c>
      <c r="I61">
        <f>'Forecast'!Y65</f>
        <v/>
      </c>
    </row>
    <row r="62">
      <c r="A62" s="12" t="n">
        <v>46023</v>
      </c>
      <c r="B62">
        <f>'Forecast'!S66</f>
        <v/>
      </c>
      <c r="C62">
        <f>'Forecast'!T66</f>
        <v/>
      </c>
      <c r="D62">
        <f>'Forecast'!U66</f>
        <v/>
      </c>
      <c r="E62">
        <f>'Forecast'!V66</f>
        <v/>
      </c>
      <c r="F62">
        <f>'Forecast'!W66</f>
        <v/>
      </c>
      <c r="G62">
        <f>'Forecast'!I66</f>
        <v/>
      </c>
      <c r="H62">
        <f>'Forecast'!AA66</f>
        <v/>
      </c>
      <c r="I62">
        <f>'Forecast'!Y66</f>
        <v/>
      </c>
    </row>
    <row r="63">
      <c r="A63" s="12" t="n">
        <v>46054</v>
      </c>
      <c r="B63">
        <f>'Forecast'!S67</f>
        <v/>
      </c>
      <c r="C63">
        <f>'Forecast'!T67</f>
        <v/>
      </c>
      <c r="D63">
        <f>'Forecast'!U67</f>
        <v/>
      </c>
      <c r="E63">
        <f>'Forecast'!V67</f>
        <v/>
      </c>
      <c r="F63">
        <f>'Forecast'!W67</f>
        <v/>
      </c>
      <c r="G63">
        <f>'Forecast'!I67</f>
        <v/>
      </c>
      <c r="H63">
        <f>'Forecast'!AA67</f>
        <v/>
      </c>
      <c r="I63">
        <f>'Forecast'!Y67</f>
        <v/>
      </c>
    </row>
    <row r="64">
      <c r="A64" s="12" t="n">
        <v>46082</v>
      </c>
      <c r="B64">
        <f>'Forecast'!S68</f>
        <v/>
      </c>
      <c r="C64">
        <f>'Forecast'!T68</f>
        <v/>
      </c>
      <c r="D64">
        <f>'Forecast'!U68</f>
        <v/>
      </c>
      <c r="E64">
        <f>'Forecast'!V68</f>
        <v/>
      </c>
      <c r="F64">
        <f>'Forecast'!W68</f>
        <v/>
      </c>
      <c r="G64">
        <f>'Forecast'!I68</f>
        <v/>
      </c>
      <c r="H64">
        <f>'Forecast'!AA68</f>
        <v/>
      </c>
      <c r="I64">
        <f>'Forecast'!Y68</f>
        <v/>
      </c>
    </row>
    <row r="65">
      <c r="A65" s="12" t="n">
        <v>46113</v>
      </c>
      <c r="B65">
        <f>'Forecast'!S69</f>
        <v/>
      </c>
      <c r="C65">
        <f>'Forecast'!T69</f>
        <v/>
      </c>
      <c r="D65">
        <f>'Forecast'!U69</f>
        <v/>
      </c>
      <c r="E65">
        <f>'Forecast'!V69</f>
        <v/>
      </c>
      <c r="F65">
        <f>'Forecast'!W69</f>
        <v/>
      </c>
      <c r="G65">
        <f>'Forecast'!I69</f>
        <v/>
      </c>
      <c r="H65">
        <f>'Forecast'!AA69</f>
        <v/>
      </c>
      <c r="I65">
        <f>'Forecast'!Y69</f>
        <v/>
      </c>
    </row>
    <row r="66">
      <c r="A66" s="12" t="n">
        <v>46143</v>
      </c>
      <c r="B66">
        <f>'Forecast'!S70</f>
        <v/>
      </c>
      <c r="C66">
        <f>'Forecast'!T70</f>
        <v/>
      </c>
      <c r="D66">
        <f>'Forecast'!U70</f>
        <v/>
      </c>
      <c r="E66">
        <f>'Forecast'!V70</f>
        <v/>
      </c>
      <c r="F66">
        <f>'Forecast'!W70</f>
        <v/>
      </c>
      <c r="G66">
        <f>'Forecast'!I70</f>
        <v/>
      </c>
      <c r="H66">
        <f>'Forecast'!AA70</f>
        <v/>
      </c>
      <c r="I66">
        <f>'Forecast'!Y70</f>
        <v/>
      </c>
    </row>
    <row r="67">
      <c r="A67" s="12" t="n">
        <v>46174</v>
      </c>
      <c r="B67">
        <f>'Forecast'!S71</f>
        <v/>
      </c>
      <c r="C67">
        <f>'Forecast'!T71</f>
        <v/>
      </c>
      <c r="D67">
        <f>'Forecast'!U71</f>
        <v/>
      </c>
      <c r="E67">
        <f>'Forecast'!V71</f>
        <v/>
      </c>
      <c r="F67">
        <f>'Forecast'!W71</f>
        <v/>
      </c>
      <c r="G67">
        <f>'Forecast'!I71</f>
        <v/>
      </c>
      <c r="H67">
        <f>'Forecast'!AA71</f>
        <v/>
      </c>
      <c r="I67">
        <f>'Forecast'!Y71</f>
        <v/>
      </c>
    </row>
    <row r="68">
      <c r="A68" s="12" t="n">
        <v>46204</v>
      </c>
      <c r="B68">
        <f>'Forecast'!S72</f>
        <v/>
      </c>
      <c r="C68">
        <f>'Forecast'!T72</f>
        <v/>
      </c>
      <c r="D68">
        <f>'Forecast'!U72</f>
        <v/>
      </c>
      <c r="E68">
        <f>'Forecast'!V72</f>
        <v/>
      </c>
      <c r="F68">
        <f>'Forecast'!W72</f>
        <v/>
      </c>
      <c r="G68">
        <f>'Forecast'!I72</f>
        <v/>
      </c>
      <c r="H68">
        <f>'Forecast'!AA72</f>
        <v/>
      </c>
      <c r="I68">
        <f>'Forecast'!Y72</f>
        <v/>
      </c>
    </row>
    <row r="69">
      <c r="A69" s="12" t="n">
        <v>46235</v>
      </c>
      <c r="B69">
        <f>'Forecast'!S73</f>
        <v/>
      </c>
      <c r="C69">
        <f>'Forecast'!T73</f>
        <v/>
      </c>
      <c r="D69">
        <f>'Forecast'!U73</f>
        <v/>
      </c>
      <c r="E69">
        <f>'Forecast'!V73</f>
        <v/>
      </c>
      <c r="F69">
        <f>'Forecast'!W73</f>
        <v/>
      </c>
      <c r="G69">
        <f>'Forecast'!I73</f>
        <v/>
      </c>
      <c r="H69">
        <f>'Forecast'!AA73</f>
        <v/>
      </c>
      <c r="I69">
        <f>'Forecast'!Y73</f>
        <v/>
      </c>
    </row>
    <row r="70">
      <c r="A70" s="12" t="n">
        <v>46266</v>
      </c>
      <c r="B70">
        <f>'Forecast'!S74</f>
        <v/>
      </c>
      <c r="C70">
        <f>'Forecast'!T74</f>
        <v/>
      </c>
      <c r="D70">
        <f>'Forecast'!U74</f>
        <v/>
      </c>
      <c r="E70">
        <f>'Forecast'!V74</f>
        <v/>
      </c>
      <c r="F70">
        <f>'Forecast'!W74</f>
        <v/>
      </c>
      <c r="G70">
        <f>'Forecast'!I74</f>
        <v/>
      </c>
      <c r="H70">
        <f>'Forecast'!AA74</f>
        <v/>
      </c>
      <c r="I70">
        <f>'Forecast'!Y74</f>
        <v/>
      </c>
    </row>
    <row r="71">
      <c r="A71" s="12" t="n">
        <v>46296</v>
      </c>
      <c r="B71">
        <f>'Forecast'!S75</f>
        <v/>
      </c>
      <c r="C71">
        <f>'Forecast'!T75</f>
        <v/>
      </c>
      <c r="D71">
        <f>'Forecast'!U75</f>
        <v/>
      </c>
      <c r="E71">
        <f>'Forecast'!V75</f>
        <v/>
      </c>
      <c r="F71">
        <f>'Forecast'!W75</f>
        <v/>
      </c>
      <c r="G71">
        <f>'Forecast'!I75</f>
        <v/>
      </c>
      <c r="H71">
        <f>'Forecast'!AA75</f>
        <v/>
      </c>
      <c r="I71">
        <f>'Forecast'!Y75</f>
        <v/>
      </c>
    </row>
    <row r="72">
      <c r="A72" s="12" t="n">
        <v>46327</v>
      </c>
      <c r="B72">
        <f>'Forecast'!S76</f>
        <v/>
      </c>
      <c r="C72">
        <f>'Forecast'!T76</f>
        <v/>
      </c>
      <c r="D72">
        <f>'Forecast'!U76</f>
        <v/>
      </c>
      <c r="E72">
        <f>'Forecast'!V76</f>
        <v/>
      </c>
      <c r="F72">
        <f>'Forecast'!W76</f>
        <v/>
      </c>
      <c r="G72">
        <f>'Forecast'!I76</f>
        <v/>
      </c>
      <c r="H72">
        <f>'Forecast'!AA76</f>
        <v/>
      </c>
      <c r="I72">
        <f>'Forecast'!Y76</f>
        <v/>
      </c>
    </row>
    <row r="73">
      <c r="A73" s="12" t="n">
        <v>46357</v>
      </c>
      <c r="B73">
        <f>'Forecast'!S77</f>
        <v/>
      </c>
      <c r="C73">
        <f>'Forecast'!T77</f>
        <v/>
      </c>
      <c r="D73">
        <f>'Forecast'!U77</f>
        <v/>
      </c>
      <c r="E73">
        <f>'Forecast'!V77</f>
        <v/>
      </c>
      <c r="F73">
        <f>'Forecast'!W77</f>
        <v/>
      </c>
      <c r="G73">
        <f>'Forecast'!I77</f>
        <v/>
      </c>
      <c r="H73">
        <f>'Forecast'!AA77</f>
        <v/>
      </c>
      <c r="I73">
        <f>'Forecast'!Y77</f>
        <v/>
      </c>
    </row>
    <row r="74">
      <c r="A74" s="12" t="n">
        <v>46388</v>
      </c>
      <c r="B74">
        <f>'Forecast'!S78</f>
        <v/>
      </c>
      <c r="C74">
        <f>'Forecast'!T78</f>
        <v/>
      </c>
      <c r="D74">
        <f>'Forecast'!U78</f>
        <v/>
      </c>
      <c r="E74">
        <f>'Forecast'!V78</f>
        <v/>
      </c>
      <c r="F74">
        <f>'Forecast'!W78</f>
        <v/>
      </c>
      <c r="G74">
        <f>'Forecast'!I78</f>
        <v/>
      </c>
      <c r="H74">
        <f>'Forecast'!AA78</f>
        <v/>
      </c>
      <c r="I74">
        <f>'Forecast'!Y78</f>
        <v/>
      </c>
    </row>
    <row r="75">
      <c r="A75" s="12" t="n">
        <v>46419</v>
      </c>
      <c r="B75">
        <f>'Forecast'!S79</f>
        <v/>
      </c>
      <c r="C75">
        <f>'Forecast'!T79</f>
        <v/>
      </c>
      <c r="D75">
        <f>'Forecast'!U79</f>
        <v/>
      </c>
      <c r="E75">
        <f>'Forecast'!V79</f>
        <v/>
      </c>
      <c r="F75">
        <f>'Forecast'!W79</f>
        <v/>
      </c>
      <c r="G75">
        <f>'Forecast'!I79</f>
        <v/>
      </c>
      <c r="H75">
        <f>'Forecast'!AA79</f>
        <v/>
      </c>
      <c r="I75">
        <f>'Forecast'!Y79</f>
        <v/>
      </c>
    </row>
    <row r="76">
      <c r="A76" s="12" t="n">
        <v>46447</v>
      </c>
      <c r="B76">
        <f>'Forecast'!S80</f>
        <v/>
      </c>
      <c r="C76">
        <f>'Forecast'!T80</f>
        <v/>
      </c>
      <c r="D76">
        <f>'Forecast'!U80</f>
        <v/>
      </c>
      <c r="E76">
        <f>'Forecast'!V80</f>
        <v/>
      </c>
      <c r="F76">
        <f>'Forecast'!W80</f>
        <v/>
      </c>
      <c r="G76">
        <f>'Forecast'!I80</f>
        <v/>
      </c>
      <c r="H76">
        <f>'Forecast'!AA80</f>
        <v/>
      </c>
      <c r="I76">
        <f>'Forecast'!Y80</f>
        <v/>
      </c>
    </row>
    <row r="77">
      <c r="A77" s="12" t="n">
        <v>46478</v>
      </c>
      <c r="B77">
        <f>'Forecast'!S81</f>
        <v/>
      </c>
      <c r="C77">
        <f>'Forecast'!T81</f>
        <v/>
      </c>
      <c r="D77">
        <f>'Forecast'!U81</f>
        <v/>
      </c>
      <c r="E77">
        <f>'Forecast'!V81</f>
        <v/>
      </c>
      <c r="F77">
        <f>'Forecast'!W81</f>
        <v/>
      </c>
      <c r="G77">
        <f>'Forecast'!I81</f>
        <v/>
      </c>
      <c r="H77">
        <f>'Forecast'!AA81</f>
        <v/>
      </c>
      <c r="I77">
        <f>'Forecast'!Y81</f>
        <v/>
      </c>
    </row>
    <row r="78">
      <c r="A78" s="12" t="n">
        <v>46508</v>
      </c>
      <c r="B78">
        <f>'Forecast'!S82</f>
        <v/>
      </c>
      <c r="C78">
        <f>'Forecast'!T82</f>
        <v/>
      </c>
      <c r="D78">
        <f>'Forecast'!U82</f>
        <v/>
      </c>
      <c r="E78">
        <f>'Forecast'!V82</f>
        <v/>
      </c>
      <c r="F78">
        <f>'Forecast'!W82</f>
        <v/>
      </c>
      <c r="G78">
        <f>'Forecast'!I82</f>
        <v/>
      </c>
      <c r="H78">
        <f>'Forecast'!AA82</f>
        <v/>
      </c>
      <c r="I78">
        <f>'Forecast'!Y82</f>
        <v/>
      </c>
    </row>
    <row r="79">
      <c r="A79" s="12" t="n">
        <v>46539</v>
      </c>
      <c r="B79">
        <f>'Forecast'!S83</f>
        <v/>
      </c>
      <c r="C79">
        <f>'Forecast'!T83</f>
        <v/>
      </c>
      <c r="D79">
        <f>'Forecast'!U83</f>
        <v/>
      </c>
      <c r="E79">
        <f>'Forecast'!V83</f>
        <v/>
      </c>
      <c r="F79">
        <f>'Forecast'!W83</f>
        <v/>
      </c>
      <c r="G79">
        <f>'Forecast'!I83</f>
        <v/>
      </c>
      <c r="H79">
        <f>'Forecast'!AA83</f>
        <v/>
      </c>
      <c r="I79">
        <f>'Forecast'!Y83</f>
        <v/>
      </c>
    </row>
    <row r="80">
      <c r="A80" s="12" t="n">
        <v>46569</v>
      </c>
      <c r="B80">
        <f>'Forecast'!S84</f>
        <v/>
      </c>
      <c r="C80">
        <f>'Forecast'!T84</f>
        <v/>
      </c>
      <c r="D80">
        <f>'Forecast'!U84</f>
        <v/>
      </c>
      <c r="E80">
        <f>'Forecast'!V84</f>
        <v/>
      </c>
      <c r="F80">
        <f>'Forecast'!W84</f>
        <v/>
      </c>
      <c r="G80">
        <f>'Forecast'!I84</f>
        <v/>
      </c>
      <c r="H80">
        <f>'Forecast'!AA84</f>
        <v/>
      </c>
      <c r="I80">
        <f>'Forecast'!Y84</f>
        <v/>
      </c>
    </row>
    <row r="81">
      <c r="A81" s="12" t="n">
        <v>46600</v>
      </c>
      <c r="B81">
        <f>'Forecast'!S85</f>
        <v/>
      </c>
      <c r="C81">
        <f>'Forecast'!T85</f>
        <v/>
      </c>
      <c r="D81">
        <f>'Forecast'!U85</f>
        <v/>
      </c>
      <c r="E81">
        <f>'Forecast'!V85</f>
        <v/>
      </c>
      <c r="F81">
        <f>'Forecast'!W85</f>
        <v/>
      </c>
      <c r="G81">
        <f>'Forecast'!I85</f>
        <v/>
      </c>
      <c r="H81">
        <f>'Forecast'!AA85</f>
        <v/>
      </c>
      <c r="I81">
        <f>'Forecast'!Y85</f>
        <v/>
      </c>
    </row>
    <row r="82">
      <c r="A82" s="12" t="n">
        <v>46631</v>
      </c>
      <c r="B82">
        <f>'Forecast'!S86</f>
        <v/>
      </c>
      <c r="C82">
        <f>'Forecast'!T86</f>
        <v/>
      </c>
      <c r="D82">
        <f>'Forecast'!U86</f>
        <v/>
      </c>
      <c r="E82">
        <f>'Forecast'!V86</f>
        <v/>
      </c>
      <c r="F82">
        <f>'Forecast'!W86</f>
        <v/>
      </c>
      <c r="G82">
        <f>'Forecast'!I86</f>
        <v/>
      </c>
      <c r="H82">
        <f>'Forecast'!AA86</f>
        <v/>
      </c>
      <c r="I82">
        <f>'Forecast'!Y86</f>
        <v/>
      </c>
    </row>
    <row r="83">
      <c r="A83" s="12" t="n">
        <v>46661</v>
      </c>
      <c r="B83">
        <f>'Forecast'!S87</f>
        <v/>
      </c>
      <c r="C83">
        <f>'Forecast'!T87</f>
        <v/>
      </c>
      <c r="D83">
        <f>'Forecast'!U87</f>
        <v/>
      </c>
      <c r="E83">
        <f>'Forecast'!V87</f>
        <v/>
      </c>
      <c r="F83">
        <f>'Forecast'!W87</f>
        <v/>
      </c>
      <c r="G83">
        <f>'Forecast'!I87</f>
        <v/>
      </c>
      <c r="H83">
        <f>'Forecast'!AA87</f>
        <v/>
      </c>
      <c r="I83">
        <f>'Forecast'!Y87</f>
        <v/>
      </c>
    </row>
    <row r="84">
      <c r="A84" s="12" t="n">
        <v>46692</v>
      </c>
      <c r="B84">
        <f>'Forecast'!S88</f>
        <v/>
      </c>
      <c r="C84">
        <f>'Forecast'!T88</f>
        <v/>
      </c>
      <c r="D84">
        <f>'Forecast'!U88</f>
        <v/>
      </c>
      <c r="E84">
        <f>'Forecast'!V88</f>
        <v/>
      </c>
      <c r="F84">
        <f>'Forecast'!W88</f>
        <v/>
      </c>
      <c r="G84">
        <f>'Forecast'!I88</f>
        <v/>
      </c>
      <c r="H84">
        <f>'Forecast'!AA88</f>
        <v/>
      </c>
      <c r="I84">
        <f>'Forecast'!Y88</f>
        <v/>
      </c>
    </row>
    <row r="85">
      <c r="A85" s="12" t="n">
        <v>46722</v>
      </c>
      <c r="B85">
        <f>'Forecast'!S89</f>
        <v/>
      </c>
      <c r="C85">
        <f>'Forecast'!T89</f>
        <v/>
      </c>
      <c r="D85">
        <f>'Forecast'!U89</f>
        <v/>
      </c>
      <c r="E85">
        <f>'Forecast'!V89</f>
        <v/>
      </c>
      <c r="F85">
        <f>'Forecast'!W89</f>
        <v/>
      </c>
      <c r="G85">
        <f>'Forecast'!I89</f>
        <v/>
      </c>
      <c r="H85">
        <f>'Forecast'!AA89</f>
        <v/>
      </c>
      <c r="I85">
        <f>'Forecast'!Y89</f>
        <v/>
      </c>
    </row>
    <row r="86">
      <c r="A86" s="12" t="n">
        <v>46753</v>
      </c>
      <c r="B86">
        <f>'Forecast'!S90</f>
        <v/>
      </c>
      <c r="C86">
        <f>'Forecast'!T90</f>
        <v/>
      </c>
      <c r="D86">
        <f>'Forecast'!U90</f>
        <v/>
      </c>
      <c r="E86">
        <f>'Forecast'!V90</f>
        <v/>
      </c>
      <c r="F86">
        <f>'Forecast'!W90</f>
        <v/>
      </c>
      <c r="G86">
        <f>'Forecast'!I90</f>
        <v/>
      </c>
      <c r="H86">
        <f>'Forecast'!AA90</f>
        <v/>
      </c>
      <c r="I86">
        <f>'Forecast'!Y90</f>
        <v/>
      </c>
    </row>
    <row r="87">
      <c r="A87" s="12" t="n">
        <v>46784</v>
      </c>
      <c r="B87">
        <f>'Forecast'!S91</f>
        <v/>
      </c>
      <c r="C87">
        <f>'Forecast'!T91</f>
        <v/>
      </c>
      <c r="D87">
        <f>'Forecast'!U91</f>
        <v/>
      </c>
      <c r="E87">
        <f>'Forecast'!V91</f>
        <v/>
      </c>
      <c r="F87">
        <f>'Forecast'!W91</f>
        <v/>
      </c>
      <c r="G87">
        <f>'Forecast'!I91</f>
        <v/>
      </c>
      <c r="H87">
        <f>'Forecast'!AA91</f>
        <v/>
      </c>
      <c r="I87">
        <f>'Forecast'!Y91</f>
        <v/>
      </c>
    </row>
    <row r="88">
      <c r="A88" s="12" t="n">
        <v>46813</v>
      </c>
      <c r="B88">
        <f>'Forecast'!S92</f>
        <v/>
      </c>
      <c r="C88">
        <f>'Forecast'!T92</f>
        <v/>
      </c>
      <c r="D88">
        <f>'Forecast'!U92</f>
        <v/>
      </c>
      <c r="E88">
        <f>'Forecast'!V92</f>
        <v/>
      </c>
      <c r="F88">
        <f>'Forecast'!W92</f>
        <v/>
      </c>
      <c r="G88">
        <f>'Forecast'!I92</f>
        <v/>
      </c>
      <c r="H88">
        <f>'Forecast'!AA92</f>
        <v/>
      </c>
      <c r="I88">
        <f>'Forecast'!Y92</f>
        <v/>
      </c>
    </row>
    <row r="89">
      <c r="A89" s="12" t="n">
        <v>46844</v>
      </c>
      <c r="B89">
        <f>'Forecast'!S93</f>
        <v/>
      </c>
      <c r="C89">
        <f>'Forecast'!T93</f>
        <v/>
      </c>
      <c r="D89">
        <f>'Forecast'!U93</f>
        <v/>
      </c>
      <c r="E89">
        <f>'Forecast'!V93</f>
        <v/>
      </c>
      <c r="F89">
        <f>'Forecast'!W93</f>
        <v/>
      </c>
      <c r="G89">
        <f>'Forecast'!I93</f>
        <v/>
      </c>
      <c r="H89">
        <f>'Forecast'!AA93</f>
        <v/>
      </c>
      <c r="I89">
        <f>'Forecast'!Y93</f>
        <v/>
      </c>
    </row>
    <row r="90">
      <c r="A90" s="12" t="n">
        <v>46874</v>
      </c>
      <c r="B90">
        <f>'Forecast'!S94</f>
        <v/>
      </c>
      <c r="C90">
        <f>'Forecast'!T94</f>
        <v/>
      </c>
      <c r="D90">
        <f>'Forecast'!U94</f>
        <v/>
      </c>
      <c r="E90">
        <f>'Forecast'!V94</f>
        <v/>
      </c>
      <c r="F90">
        <f>'Forecast'!W94</f>
        <v/>
      </c>
      <c r="G90">
        <f>'Forecast'!I94</f>
        <v/>
      </c>
      <c r="H90">
        <f>'Forecast'!AA94</f>
        <v/>
      </c>
      <c r="I90">
        <f>'Forecast'!Y94</f>
        <v/>
      </c>
    </row>
    <row r="91">
      <c r="A91" s="12" t="n">
        <v>46905</v>
      </c>
      <c r="B91">
        <f>'Forecast'!S95</f>
        <v/>
      </c>
      <c r="C91">
        <f>'Forecast'!T95</f>
        <v/>
      </c>
      <c r="D91">
        <f>'Forecast'!U95</f>
        <v/>
      </c>
      <c r="E91">
        <f>'Forecast'!V95</f>
        <v/>
      </c>
      <c r="F91">
        <f>'Forecast'!W95</f>
        <v/>
      </c>
      <c r="G91">
        <f>'Forecast'!I95</f>
        <v/>
      </c>
      <c r="H91">
        <f>'Forecast'!AA95</f>
        <v/>
      </c>
      <c r="I91">
        <f>'Forecast'!Y95</f>
        <v/>
      </c>
    </row>
    <row r="92">
      <c r="A92" s="12" t="n">
        <v>46935</v>
      </c>
      <c r="B92">
        <f>'Forecast'!S96</f>
        <v/>
      </c>
      <c r="C92">
        <f>'Forecast'!T96</f>
        <v/>
      </c>
      <c r="D92">
        <f>'Forecast'!U96</f>
        <v/>
      </c>
      <c r="E92">
        <f>'Forecast'!V96</f>
        <v/>
      </c>
      <c r="F92">
        <f>'Forecast'!W96</f>
        <v/>
      </c>
      <c r="G92">
        <f>'Forecast'!I96</f>
        <v/>
      </c>
      <c r="H92">
        <f>'Forecast'!AA96</f>
        <v/>
      </c>
      <c r="I92">
        <f>'Forecast'!Y96</f>
        <v/>
      </c>
    </row>
    <row r="93">
      <c r="A93" s="12" t="n">
        <v>46966</v>
      </c>
      <c r="B93">
        <f>'Forecast'!S97</f>
        <v/>
      </c>
      <c r="C93">
        <f>'Forecast'!T97</f>
        <v/>
      </c>
      <c r="D93">
        <f>'Forecast'!U97</f>
        <v/>
      </c>
      <c r="E93">
        <f>'Forecast'!V97</f>
        <v/>
      </c>
      <c r="F93">
        <f>'Forecast'!W97</f>
        <v/>
      </c>
      <c r="G93">
        <f>'Forecast'!I97</f>
        <v/>
      </c>
      <c r="H93">
        <f>'Forecast'!AA97</f>
        <v/>
      </c>
      <c r="I93">
        <f>'Forecast'!Y97</f>
        <v/>
      </c>
    </row>
    <row r="94">
      <c r="A94" s="12" t="n">
        <v>46997</v>
      </c>
      <c r="B94">
        <f>'Forecast'!S98</f>
        <v/>
      </c>
      <c r="C94">
        <f>'Forecast'!T98</f>
        <v/>
      </c>
      <c r="D94">
        <f>'Forecast'!U98</f>
        <v/>
      </c>
      <c r="E94">
        <f>'Forecast'!V98</f>
        <v/>
      </c>
      <c r="F94">
        <f>'Forecast'!W98</f>
        <v/>
      </c>
      <c r="G94">
        <f>'Forecast'!I98</f>
        <v/>
      </c>
      <c r="H94">
        <f>'Forecast'!AA98</f>
        <v/>
      </c>
      <c r="I94">
        <f>'Forecast'!Y98</f>
        <v/>
      </c>
    </row>
    <row r="95">
      <c r="A95" s="12" t="n">
        <v>47027</v>
      </c>
      <c r="B95">
        <f>'Forecast'!S99</f>
        <v/>
      </c>
      <c r="C95">
        <f>'Forecast'!T99</f>
        <v/>
      </c>
      <c r="D95">
        <f>'Forecast'!U99</f>
        <v/>
      </c>
      <c r="E95">
        <f>'Forecast'!V99</f>
        <v/>
      </c>
      <c r="F95">
        <f>'Forecast'!W99</f>
        <v/>
      </c>
      <c r="G95">
        <f>'Forecast'!I99</f>
        <v/>
      </c>
      <c r="H95">
        <f>'Forecast'!AA99</f>
        <v/>
      </c>
      <c r="I95">
        <f>'Forecast'!Y99</f>
        <v/>
      </c>
    </row>
    <row r="96">
      <c r="A96" s="12" t="n">
        <v>47058</v>
      </c>
      <c r="B96">
        <f>'Forecast'!S100</f>
        <v/>
      </c>
      <c r="C96">
        <f>'Forecast'!T100</f>
        <v/>
      </c>
      <c r="D96">
        <f>'Forecast'!U100</f>
        <v/>
      </c>
      <c r="E96">
        <f>'Forecast'!V100</f>
        <v/>
      </c>
      <c r="F96">
        <f>'Forecast'!W100</f>
        <v/>
      </c>
      <c r="G96">
        <f>'Forecast'!I100</f>
        <v/>
      </c>
      <c r="H96">
        <f>'Forecast'!AA100</f>
        <v/>
      </c>
      <c r="I96">
        <f>'Forecast'!Y100</f>
        <v/>
      </c>
    </row>
    <row r="97">
      <c r="A97" s="12" t="n">
        <v>47088</v>
      </c>
      <c r="B97">
        <f>'Forecast'!S101</f>
        <v/>
      </c>
      <c r="C97">
        <f>'Forecast'!T101</f>
        <v/>
      </c>
      <c r="D97">
        <f>'Forecast'!U101</f>
        <v/>
      </c>
      <c r="E97">
        <f>'Forecast'!V101</f>
        <v/>
      </c>
      <c r="F97">
        <f>'Forecast'!W101</f>
        <v/>
      </c>
      <c r="G97">
        <f>'Forecast'!I101</f>
        <v/>
      </c>
      <c r="H97">
        <f>'Forecast'!AA101</f>
        <v/>
      </c>
      <c r="I97">
        <f>'Forecast'!Y101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History (EIA exports x 1.09)</t>
        </is>
      </c>
      <c r="C1" t="inlineStr">
        <is>
          <t>Base forecast</t>
        </is>
      </c>
      <c r="D1" t="inlineStr">
        <is>
          <t>Delayed forecast (+6 months)</t>
        </is>
      </c>
    </row>
    <row r="2">
      <c r="A2" s="12" t="n">
        <v>44197</v>
      </c>
      <c r="B2">
        <f>'Forecast'!I6</f>
        <v/>
      </c>
    </row>
    <row r="3">
      <c r="A3" s="12" t="n">
        <v>44228</v>
      </c>
      <c r="B3">
        <f>'Forecast'!I7</f>
        <v/>
      </c>
    </row>
    <row r="4">
      <c r="A4" s="12" t="n">
        <v>44256</v>
      </c>
      <c r="B4">
        <f>'Forecast'!I8</f>
        <v/>
      </c>
    </row>
    <row r="5">
      <c r="A5" s="12" t="n">
        <v>44287</v>
      </c>
      <c r="B5">
        <f>'Forecast'!I9</f>
        <v/>
      </c>
    </row>
    <row r="6">
      <c r="A6" s="12" t="n">
        <v>44317</v>
      </c>
      <c r="B6">
        <f>'Forecast'!I10</f>
        <v/>
      </c>
    </row>
    <row r="7">
      <c r="A7" s="12" t="n">
        <v>44348</v>
      </c>
      <c r="B7">
        <f>'Forecast'!I11</f>
        <v/>
      </c>
    </row>
    <row r="8">
      <c r="A8" s="12" t="n">
        <v>44378</v>
      </c>
      <c r="B8">
        <f>'Forecast'!I12</f>
        <v/>
      </c>
    </row>
    <row r="9">
      <c r="A9" s="12" t="n">
        <v>44409</v>
      </c>
      <c r="B9">
        <f>'Forecast'!I13</f>
        <v/>
      </c>
    </row>
    <row r="10">
      <c r="A10" s="12" t="n">
        <v>44440</v>
      </c>
      <c r="B10">
        <f>'Forecast'!I14</f>
        <v/>
      </c>
    </row>
    <row r="11">
      <c r="A11" s="12" t="n">
        <v>44470</v>
      </c>
      <c r="B11">
        <f>'Forecast'!I15</f>
        <v/>
      </c>
    </row>
    <row r="12">
      <c r="A12" s="12" t="n">
        <v>44501</v>
      </c>
      <c r="B12">
        <f>'Forecast'!I16</f>
        <v/>
      </c>
    </row>
    <row r="13">
      <c r="A13" s="12" t="n">
        <v>44531</v>
      </c>
      <c r="B13">
        <f>'Forecast'!I17</f>
        <v/>
      </c>
    </row>
    <row r="14">
      <c r="A14" s="12" t="n">
        <v>44562</v>
      </c>
      <c r="B14">
        <f>'Forecast'!I18</f>
        <v/>
      </c>
    </row>
    <row r="15">
      <c r="A15" s="12" t="n">
        <v>44593</v>
      </c>
      <c r="B15">
        <f>'Forecast'!I19</f>
        <v/>
      </c>
    </row>
    <row r="16">
      <c r="A16" s="12" t="n">
        <v>44621</v>
      </c>
      <c r="B16">
        <f>'Forecast'!I20</f>
        <v/>
      </c>
    </row>
    <row r="17">
      <c r="A17" s="12" t="n">
        <v>44652</v>
      </c>
      <c r="B17">
        <f>'Forecast'!I21</f>
        <v/>
      </c>
    </row>
    <row r="18">
      <c r="A18" s="12" t="n">
        <v>44682</v>
      </c>
      <c r="B18">
        <f>'Forecast'!I22</f>
        <v/>
      </c>
    </row>
    <row r="19">
      <c r="A19" s="12" t="n">
        <v>44713</v>
      </c>
      <c r="B19">
        <f>'Forecast'!I23</f>
        <v/>
      </c>
    </row>
    <row r="20">
      <c r="A20" s="12" t="n">
        <v>44743</v>
      </c>
      <c r="B20">
        <f>'Forecast'!I24</f>
        <v/>
      </c>
    </row>
    <row r="21">
      <c r="A21" s="12" t="n">
        <v>44774</v>
      </c>
      <c r="B21">
        <f>'Forecast'!I25</f>
        <v/>
      </c>
    </row>
    <row r="22">
      <c r="A22" s="12" t="n">
        <v>44805</v>
      </c>
      <c r="B22">
        <f>'Forecast'!I26</f>
        <v/>
      </c>
    </row>
    <row r="23">
      <c r="A23" s="12" t="n">
        <v>44835</v>
      </c>
      <c r="B23">
        <f>'Forecast'!I27</f>
        <v/>
      </c>
    </row>
    <row r="24">
      <c r="A24" s="12" t="n">
        <v>44866</v>
      </c>
      <c r="B24">
        <f>'Forecast'!I28</f>
        <v/>
      </c>
    </row>
    <row r="25">
      <c r="A25" s="12" t="n">
        <v>44896</v>
      </c>
      <c r="B25">
        <f>'Forecast'!I29</f>
        <v/>
      </c>
    </row>
    <row r="26">
      <c r="A26" s="12" t="n">
        <v>44927</v>
      </c>
      <c r="B26">
        <f>'Forecast'!I30</f>
        <v/>
      </c>
    </row>
    <row r="27">
      <c r="A27" s="12" t="n">
        <v>44958</v>
      </c>
      <c r="B27">
        <f>'Forecast'!I31</f>
        <v/>
      </c>
    </row>
    <row r="28">
      <c r="A28" s="12" t="n">
        <v>44986</v>
      </c>
      <c r="B28">
        <f>'Forecast'!I32</f>
        <v/>
      </c>
    </row>
    <row r="29">
      <c r="A29" s="12" t="n">
        <v>45017</v>
      </c>
      <c r="B29">
        <f>'Forecast'!I33</f>
        <v/>
      </c>
    </row>
    <row r="30">
      <c r="A30" s="12" t="n">
        <v>45047</v>
      </c>
      <c r="B30">
        <f>'Forecast'!I34</f>
        <v/>
      </c>
    </row>
    <row r="31">
      <c r="A31" s="12" t="n">
        <v>45078</v>
      </c>
      <c r="B31">
        <f>'Forecast'!I35</f>
        <v/>
      </c>
    </row>
    <row r="32">
      <c r="A32" s="12" t="n">
        <v>45108</v>
      </c>
      <c r="B32">
        <f>'Forecast'!I36</f>
        <v/>
      </c>
    </row>
    <row r="33">
      <c r="A33" s="12" t="n">
        <v>45139</v>
      </c>
      <c r="B33">
        <f>'Forecast'!I37</f>
        <v/>
      </c>
    </row>
    <row r="34">
      <c r="A34" s="12" t="n">
        <v>45170</v>
      </c>
      <c r="B34">
        <f>'Forecast'!I38</f>
        <v/>
      </c>
    </row>
    <row r="35">
      <c r="A35" s="12" t="n">
        <v>45200</v>
      </c>
      <c r="B35">
        <f>'Forecast'!I39</f>
        <v/>
      </c>
    </row>
    <row r="36">
      <c r="A36" s="12" t="n">
        <v>45231</v>
      </c>
      <c r="B36">
        <f>'Forecast'!I40</f>
        <v/>
      </c>
    </row>
    <row r="37">
      <c r="A37" s="12" t="n">
        <v>45261</v>
      </c>
      <c r="B37">
        <f>'Forecast'!I41</f>
        <v/>
      </c>
    </row>
    <row r="38">
      <c r="A38" s="12" t="n">
        <v>45292</v>
      </c>
      <c r="B38">
        <f>'Forecast'!I42</f>
        <v/>
      </c>
    </row>
    <row r="39">
      <c r="A39" s="12" t="n">
        <v>45323</v>
      </c>
      <c r="B39">
        <f>'Forecast'!I43</f>
        <v/>
      </c>
    </row>
    <row r="40">
      <c r="A40" s="12" t="n">
        <v>45352</v>
      </c>
      <c r="B40">
        <f>'Forecast'!I44</f>
        <v/>
      </c>
    </row>
    <row r="41">
      <c r="A41" s="12" t="n">
        <v>45383</v>
      </c>
      <c r="B41">
        <f>'Forecast'!I45</f>
        <v/>
      </c>
    </row>
    <row r="42">
      <c r="A42" s="12" t="n">
        <v>45413</v>
      </c>
      <c r="B42">
        <f>'Forecast'!I46</f>
        <v/>
      </c>
    </row>
    <row r="43">
      <c r="A43" s="12" t="n">
        <v>45444</v>
      </c>
      <c r="B43">
        <f>'Forecast'!I47</f>
        <v/>
      </c>
    </row>
    <row r="44">
      <c r="A44" s="12" t="n">
        <v>45474</v>
      </c>
      <c r="B44">
        <f>'Forecast'!I48</f>
        <v/>
      </c>
    </row>
    <row r="45">
      <c r="A45" s="12" t="n">
        <v>45505</v>
      </c>
      <c r="B45">
        <f>'Forecast'!I49</f>
        <v/>
      </c>
    </row>
    <row r="46">
      <c r="A46" s="12" t="n">
        <v>45536</v>
      </c>
      <c r="B46">
        <f>'Forecast'!I50</f>
        <v/>
      </c>
    </row>
    <row r="47">
      <c r="A47" s="12" t="n">
        <v>45566</v>
      </c>
      <c r="B47">
        <f>'Forecast'!I51</f>
        <v/>
      </c>
    </row>
    <row r="48">
      <c r="A48" s="12" t="n">
        <v>45597</v>
      </c>
      <c r="B48">
        <f>'Forecast'!I52</f>
        <v/>
      </c>
    </row>
    <row r="49">
      <c r="A49" s="12" t="n">
        <v>45627</v>
      </c>
      <c r="B49">
        <f>'Forecast'!I53</f>
        <v/>
      </c>
    </row>
    <row r="50">
      <c r="A50" s="12" t="n">
        <v>45658</v>
      </c>
      <c r="B50">
        <f>'Forecast'!I54</f>
        <v/>
      </c>
    </row>
    <row r="51">
      <c r="A51" s="12" t="n">
        <v>45689</v>
      </c>
      <c r="B51">
        <f>'Forecast'!I55</f>
        <v/>
      </c>
    </row>
    <row r="52">
      <c r="A52" s="12" t="n">
        <v>45717</v>
      </c>
      <c r="B52">
        <f>'Forecast'!I56</f>
        <v/>
      </c>
    </row>
    <row r="53">
      <c r="A53" s="12" t="n">
        <v>45748</v>
      </c>
      <c r="B53">
        <f>'Forecast'!I57</f>
        <v/>
      </c>
    </row>
    <row r="54">
      <c r="A54" s="12" t="n">
        <v>45778</v>
      </c>
      <c r="B54">
        <f>'Forecast'!I58</f>
        <v/>
      </c>
    </row>
    <row r="55">
      <c r="A55" s="12" t="n">
        <v>45809</v>
      </c>
      <c r="B55">
        <f>'Forecast'!I59</f>
        <v/>
      </c>
    </row>
    <row r="56">
      <c r="A56" s="12" t="n">
        <v>45839</v>
      </c>
      <c r="B56">
        <f>'Forecast'!I60</f>
        <v/>
      </c>
    </row>
    <row r="57">
      <c r="A57" s="12" t="n">
        <v>45870</v>
      </c>
      <c r="B57">
        <f>'Forecast'!I61</f>
        <v/>
      </c>
    </row>
    <row r="58">
      <c r="A58" s="12" t="n">
        <v>45901</v>
      </c>
      <c r="B58">
        <f>'Forecast'!I62</f>
        <v/>
      </c>
    </row>
    <row r="59">
      <c r="A59" s="12" t="n">
        <v>45931</v>
      </c>
      <c r="B59">
        <f>'Forecast'!I63</f>
        <v/>
      </c>
    </row>
    <row r="60">
      <c r="A60" s="12" t="n">
        <v>45962</v>
      </c>
      <c r="B60">
        <f>'Forecast'!I64</f>
        <v/>
      </c>
    </row>
    <row r="61">
      <c r="A61" s="12" t="n">
        <v>45992</v>
      </c>
      <c r="B61">
        <f>'Forecast'!I65</f>
        <v/>
      </c>
    </row>
    <row r="62">
      <c r="A62" s="12" t="n">
        <v>46023</v>
      </c>
      <c r="B62">
        <f>'Forecast'!I66</f>
        <v/>
      </c>
    </row>
    <row r="63">
      <c r="A63" s="12" t="n">
        <v>46054</v>
      </c>
      <c r="B63">
        <f>'Forecast'!I67</f>
        <v/>
      </c>
    </row>
    <row r="64">
      <c r="A64" s="12" t="n">
        <v>46082</v>
      </c>
      <c r="B64">
        <f>'Forecast'!I68</f>
        <v/>
      </c>
    </row>
    <row r="65">
      <c r="A65" s="12" t="n">
        <v>46113</v>
      </c>
      <c r="B65">
        <f>'Forecast'!I69</f>
        <v/>
      </c>
    </row>
    <row r="66">
      <c r="A66" s="12" t="n">
        <v>46143</v>
      </c>
      <c r="B66">
        <f>'Forecast'!I70</f>
        <v/>
      </c>
    </row>
    <row r="67">
      <c r="A67" s="12" t="n">
        <v>46174</v>
      </c>
      <c r="B67">
        <f>'Forecast'!I71</f>
        <v/>
      </c>
    </row>
    <row r="68">
      <c r="A68" s="12" t="n">
        <v>46204</v>
      </c>
      <c r="B68">
        <f>'Forecast'!I72</f>
        <v/>
      </c>
      <c r="C68">
        <f>'Forecast'!I72</f>
        <v/>
      </c>
      <c r="D68">
        <f>'Forecast'!P72</f>
        <v/>
      </c>
    </row>
    <row r="69">
      <c r="A69" s="12" t="n">
        <v>46235</v>
      </c>
      <c r="C69">
        <f>'Forecast'!I73</f>
        <v/>
      </c>
      <c r="D69">
        <f>'Forecast'!P73</f>
        <v/>
      </c>
    </row>
    <row r="70">
      <c r="A70" s="12" t="n">
        <v>46266</v>
      </c>
      <c r="C70">
        <f>'Forecast'!I74</f>
        <v/>
      </c>
      <c r="D70">
        <f>'Forecast'!P74</f>
        <v/>
      </c>
    </row>
    <row r="71">
      <c r="A71" s="12" t="n">
        <v>46296</v>
      </c>
      <c r="C71">
        <f>'Forecast'!I75</f>
        <v/>
      </c>
      <c r="D71">
        <f>'Forecast'!P75</f>
        <v/>
      </c>
    </row>
    <row r="72">
      <c r="A72" s="12" t="n">
        <v>46327</v>
      </c>
      <c r="C72">
        <f>'Forecast'!I76</f>
        <v/>
      </c>
      <c r="D72">
        <f>'Forecast'!P76</f>
        <v/>
      </c>
    </row>
    <row r="73">
      <c r="A73" s="12" t="n">
        <v>46357</v>
      </c>
      <c r="C73">
        <f>'Forecast'!I77</f>
        <v/>
      </c>
      <c r="D73">
        <f>'Forecast'!P77</f>
        <v/>
      </c>
    </row>
    <row r="74">
      <c r="A74" s="12" t="n">
        <v>46388</v>
      </c>
      <c r="C74">
        <f>'Forecast'!I78</f>
        <v/>
      </c>
      <c r="D74">
        <f>'Forecast'!P78</f>
        <v/>
      </c>
    </row>
    <row r="75">
      <c r="A75" s="12" t="n">
        <v>46419</v>
      </c>
      <c r="C75">
        <f>'Forecast'!I79</f>
        <v/>
      </c>
      <c r="D75">
        <f>'Forecast'!P79</f>
        <v/>
      </c>
    </row>
    <row r="76">
      <c r="A76" s="12" t="n">
        <v>46447</v>
      </c>
      <c r="C76">
        <f>'Forecast'!I80</f>
        <v/>
      </c>
      <c r="D76">
        <f>'Forecast'!P80</f>
        <v/>
      </c>
    </row>
    <row r="77">
      <c r="A77" s="12" t="n">
        <v>46478</v>
      </c>
      <c r="C77">
        <f>'Forecast'!I81</f>
        <v/>
      </c>
      <c r="D77">
        <f>'Forecast'!P81</f>
        <v/>
      </c>
    </row>
    <row r="78">
      <c r="A78" s="12" t="n">
        <v>46508</v>
      </c>
      <c r="C78">
        <f>'Forecast'!I82</f>
        <v/>
      </c>
      <c r="D78">
        <f>'Forecast'!P82</f>
        <v/>
      </c>
    </row>
    <row r="79">
      <c r="A79" s="12" t="n">
        <v>46539</v>
      </c>
      <c r="C79">
        <f>'Forecast'!I83</f>
        <v/>
      </c>
      <c r="D79">
        <f>'Forecast'!P83</f>
        <v/>
      </c>
    </row>
    <row r="80">
      <c r="A80" s="12" t="n">
        <v>46569</v>
      </c>
      <c r="C80">
        <f>'Forecast'!I84</f>
        <v/>
      </c>
      <c r="D80">
        <f>'Forecast'!P84</f>
        <v/>
      </c>
    </row>
    <row r="81">
      <c r="A81" s="12" t="n">
        <v>46600</v>
      </c>
      <c r="C81">
        <f>'Forecast'!I85</f>
        <v/>
      </c>
      <c r="D81">
        <f>'Forecast'!P85</f>
        <v/>
      </c>
    </row>
    <row r="82">
      <c r="A82" s="12" t="n">
        <v>46631</v>
      </c>
      <c r="C82">
        <f>'Forecast'!I86</f>
        <v/>
      </c>
      <c r="D82">
        <f>'Forecast'!P86</f>
        <v/>
      </c>
    </row>
    <row r="83">
      <c r="A83" s="12" t="n">
        <v>46661</v>
      </c>
      <c r="C83">
        <f>'Forecast'!I87</f>
        <v/>
      </c>
      <c r="D83">
        <f>'Forecast'!P87</f>
        <v/>
      </c>
    </row>
    <row r="84">
      <c r="A84" s="12" t="n">
        <v>46692</v>
      </c>
      <c r="C84">
        <f>'Forecast'!I88</f>
        <v/>
      </c>
      <c r="D84">
        <f>'Forecast'!P88</f>
        <v/>
      </c>
    </row>
    <row r="85">
      <c r="A85" s="12" t="n">
        <v>46722</v>
      </c>
      <c r="C85">
        <f>'Forecast'!I89</f>
        <v/>
      </c>
      <c r="D85">
        <f>'Forecast'!P89</f>
        <v/>
      </c>
    </row>
    <row r="86">
      <c r="A86" s="12" t="n">
        <v>46753</v>
      </c>
      <c r="C86">
        <f>'Forecast'!I90</f>
        <v/>
      </c>
      <c r="D86">
        <f>'Forecast'!P90</f>
        <v/>
      </c>
    </row>
    <row r="87">
      <c r="A87" s="12" t="n">
        <v>46784</v>
      </c>
      <c r="C87">
        <f>'Forecast'!I91</f>
        <v/>
      </c>
      <c r="D87">
        <f>'Forecast'!P91</f>
        <v/>
      </c>
    </row>
    <row r="88">
      <c r="A88" s="12" t="n">
        <v>46813</v>
      </c>
      <c r="C88">
        <f>'Forecast'!I92</f>
        <v/>
      </c>
      <c r="D88">
        <f>'Forecast'!P92</f>
        <v/>
      </c>
    </row>
    <row r="89">
      <c r="A89" s="12" t="n">
        <v>46844</v>
      </c>
      <c r="C89">
        <f>'Forecast'!I93</f>
        <v/>
      </c>
      <c r="D89">
        <f>'Forecast'!P93</f>
        <v/>
      </c>
    </row>
    <row r="90">
      <c r="A90" s="12" t="n">
        <v>46874</v>
      </c>
      <c r="C90">
        <f>'Forecast'!I94</f>
        <v/>
      </c>
      <c r="D90">
        <f>'Forecast'!P94</f>
        <v/>
      </c>
    </row>
    <row r="91">
      <c r="A91" s="12" t="n">
        <v>46905</v>
      </c>
      <c r="C91">
        <f>'Forecast'!I95</f>
        <v/>
      </c>
      <c r="D91">
        <f>'Forecast'!P95</f>
        <v/>
      </c>
    </row>
    <row r="92">
      <c r="A92" s="12" t="n">
        <v>46935</v>
      </c>
      <c r="C92">
        <f>'Forecast'!I96</f>
        <v/>
      </c>
      <c r="D92">
        <f>'Forecast'!P96</f>
        <v/>
      </c>
    </row>
    <row r="93">
      <c r="A93" s="12" t="n">
        <v>46966</v>
      </c>
      <c r="C93">
        <f>'Forecast'!I97</f>
        <v/>
      </c>
      <c r="D93">
        <f>'Forecast'!P97</f>
        <v/>
      </c>
    </row>
    <row r="94">
      <c r="A94" s="12" t="n">
        <v>46997</v>
      </c>
      <c r="C94">
        <f>'Forecast'!I98</f>
        <v/>
      </c>
      <c r="D94">
        <f>'Forecast'!P98</f>
        <v/>
      </c>
    </row>
    <row r="95">
      <c r="A95" s="12" t="n">
        <v>47027</v>
      </c>
      <c r="C95">
        <f>'Forecast'!I99</f>
        <v/>
      </c>
      <c r="D95">
        <f>'Forecast'!P99</f>
        <v/>
      </c>
    </row>
    <row r="96">
      <c r="A96" s="12" t="n">
        <v>47058</v>
      </c>
      <c r="C96">
        <f>'Forecast'!I100</f>
        <v/>
      </c>
      <c r="D96">
        <f>'Forecast'!P100</f>
        <v/>
      </c>
    </row>
    <row r="97">
      <c r="A97" s="12" t="n">
        <v>47088</v>
      </c>
      <c r="C97">
        <f>'Forecast'!I101</f>
        <v/>
      </c>
      <c r="D97">
        <f>'Forecast'!P101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Electric power</t>
        </is>
      </c>
      <c r="C1" t="inlineStr">
        <is>
          <t>Industrial</t>
        </is>
      </c>
      <c r="D1" t="inlineStr">
        <is>
          <t>Residential</t>
        </is>
      </c>
      <c r="E1" t="inlineStr">
        <is>
          <t>Commercial</t>
        </is>
      </c>
      <c r="F1" t="inlineStr">
        <is>
          <t>Vehicle fuel</t>
        </is>
      </c>
    </row>
    <row r="2">
      <c r="A2" s="12" t="n">
        <v>44197</v>
      </c>
      <c r="B2" t="n">
        <v>3.671612903225806</v>
      </c>
      <c r="C2" t="n">
        <v>5.748096774193549</v>
      </c>
      <c r="D2" t="n">
        <v>1.457193548387097</v>
      </c>
      <c r="E2" t="n">
        <v>0.7947741935483871</v>
      </c>
      <c r="F2" t="n">
        <v>0.002580645161290323</v>
      </c>
    </row>
    <row r="3">
      <c r="A3" s="12" t="n">
        <v>44228</v>
      </c>
      <c r="B3" t="n">
        <v>4.4955</v>
      </c>
      <c r="C3" t="n">
        <v>4.749571428571429</v>
      </c>
      <c r="D3" t="n">
        <v>1.7995</v>
      </c>
      <c r="E3" t="n">
        <v>0.9247857142857143</v>
      </c>
      <c r="F3" t="n">
        <v>0.002571428571428572</v>
      </c>
    </row>
    <row r="4">
      <c r="A4" s="12" t="n">
        <v>44256</v>
      </c>
      <c r="B4" t="n">
        <v>2.87358064516129</v>
      </c>
      <c r="C4" t="n">
        <v>4.849387096774193</v>
      </c>
      <c r="D4" t="n">
        <v>0.8512580645161291</v>
      </c>
      <c r="E4" t="n">
        <v>0.547741935483871</v>
      </c>
      <c r="F4" t="n">
        <v>0.002580645161290323</v>
      </c>
    </row>
    <row r="5">
      <c r="A5" s="12" t="n">
        <v>44287</v>
      </c>
      <c r="B5" t="n">
        <v>3.746233333333333</v>
      </c>
      <c r="C5" t="n">
        <v>5.287166666666667</v>
      </c>
      <c r="D5" t="n">
        <v>0.4110333333333334</v>
      </c>
      <c r="E5" t="n">
        <v>0.4744333333333333</v>
      </c>
      <c r="F5" t="n">
        <v>0.002566666666666667</v>
      </c>
    </row>
    <row r="6">
      <c r="A6" s="12" t="n">
        <v>44317</v>
      </c>
      <c r="B6" t="n">
        <v>3.843774193548387</v>
      </c>
      <c r="C6" t="n">
        <v>5.234774193548387</v>
      </c>
      <c r="D6" t="n">
        <v>0.2831612903225807</v>
      </c>
      <c r="E6" t="n">
        <v>0.3512903225806452</v>
      </c>
      <c r="F6" t="n">
        <v>0.002580645161290323</v>
      </c>
    </row>
    <row r="7">
      <c r="A7" s="12" t="n">
        <v>44348</v>
      </c>
      <c r="B7" t="n">
        <v>5.751166666666667</v>
      </c>
      <c r="C7" t="n">
        <v>5.296266666666666</v>
      </c>
      <c r="D7" t="n">
        <v>0.2299</v>
      </c>
      <c r="E7" t="n">
        <v>0.3627</v>
      </c>
      <c r="F7" t="n">
        <v>0.002566666666666667</v>
      </c>
    </row>
    <row r="8">
      <c r="A8" s="12" t="n">
        <v>44378</v>
      </c>
      <c r="B8" t="n">
        <v>6.234870967741935</v>
      </c>
      <c r="C8" t="n">
        <v>5.42283870967742</v>
      </c>
      <c r="D8" t="n">
        <v>0.215258064516129</v>
      </c>
      <c r="E8" t="n">
        <v>0.3711612903225807</v>
      </c>
      <c r="F8" t="n">
        <v>0.002580645161290323</v>
      </c>
    </row>
    <row r="9">
      <c r="A9" s="12" t="n">
        <v>44409</v>
      </c>
      <c r="B9" t="n">
        <v>6.327096774193548</v>
      </c>
      <c r="C9" t="n">
        <v>5.458516129032258</v>
      </c>
      <c r="D9" t="n">
        <v>0.1994193548387097</v>
      </c>
      <c r="E9" t="n">
        <v>0.3660322580645162</v>
      </c>
      <c r="F9" t="n">
        <v>0.002580645161290323</v>
      </c>
    </row>
    <row r="10">
      <c r="A10" s="12" t="n">
        <v>44440</v>
      </c>
      <c r="B10" t="n">
        <v>5.298666666666667</v>
      </c>
      <c r="C10" t="n">
        <v>5.518066666666667</v>
      </c>
      <c r="D10" t="n">
        <v>0.2002666666666667</v>
      </c>
      <c r="E10" t="n">
        <v>0.3705666666666667</v>
      </c>
      <c r="F10" t="n">
        <v>0.002566666666666667</v>
      </c>
    </row>
    <row r="11">
      <c r="A11" s="12" t="n">
        <v>44470</v>
      </c>
      <c r="B11" t="n">
        <v>4.412612903225807</v>
      </c>
      <c r="C11" t="n">
        <v>5.262677419354839</v>
      </c>
      <c r="D11" t="n">
        <v>0.2569354838709678</v>
      </c>
      <c r="E11" t="n">
        <v>0.3873548387096775</v>
      </c>
      <c r="F11" t="n">
        <v>0.002580645161290323</v>
      </c>
    </row>
    <row r="12">
      <c r="A12" s="12" t="n">
        <v>44501</v>
      </c>
      <c r="B12" t="n">
        <v>3.4576</v>
      </c>
      <c r="C12" t="n">
        <v>5.6497</v>
      </c>
      <c r="D12" t="n">
        <v>0.5384333333333333</v>
      </c>
      <c r="E12" t="n">
        <v>0.5129333333333332</v>
      </c>
      <c r="F12" t="n">
        <v>0.002566666666666667</v>
      </c>
    </row>
    <row r="13">
      <c r="A13" s="12" t="n">
        <v>44531</v>
      </c>
      <c r="B13" t="n">
        <v>3.378290322580646</v>
      </c>
      <c r="C13" t="n">
        <v>5.783322580645161</v>
      </c>
      <c r="D13" t="n">
        <v>0.5891612903225806</v>
      </c>
      <c r="E13" t="n">
        <v>0.5320967741935484</v>
      </c>
      <c r="F13" t="n">
        <v>0.002580645161290323</v>
      </c>
    </row>
    <row r="14">
      <c r="A14" s="12" t="n">
        <v>44562</v>
      </c>
      <c r="B14" t="n">
        <v>4.094129032258064</v>
      </c>
      <c r="C14" t="n">
        <v>5.599161290322581</v>
      </c>
      <c r="D14" t="n">
        <v>1.307903225806452</v>
      </c>
      <c r="E14" t="n">
        <v>0.7509677419354839</v>
      </c>
      <c r="F14" t="n">
        <v>0.003483870967741936</v>
      </c>
    </row>
    <row r="15">
      <c r="A15" s="12" t="n">
        <v>44593</v>
      </c>
      <c r="B15" t="n">
        <v>4.156392857142857</v>
      </c>
      <c r="C15" t="n">
        <v>5.527285714285715</v>
      </c>
      <c r="D15" t="n">
        <v>1.646</v>
      </c>
      <c r="E15" t="n">
        <v>0.8936785714285714</v>
      </c>
      <c r="F15" t="n">
        <v>0.0035</v>
      </c>
    </row>
    <row r="16">
      <c r="A16" s="12" t="n">
        <v>44621</v>
      </c>
      <c r="B16" t="n">
        <v>2.959516129032258</v>
      </c>
      <c r="C16" t="n">
        <v>5.511225806451613</v>
      </c>
      <c r="D16" t="n">
        <v>0.9952903225806451</v>
      </c>
      <c r="E16" t="n">
        <v>0.6364838709677419</v>
      </c>
      <c r="F16" t="n">
        <v>0.003483870967741936</v>
      </c>
    </row>
    <row r="17">
      <c r="A17" s="12" t="n">
        <v>44652</v>
      </c>
      <c r="B17" t="n">
        <v>3.282933333333333</v>
      </c>
      <c r="C17" t="n">
        <v>5.453966666666666</v>
      </c>
      <c r="D17" t="n">
        <v>0.4558</v>
      </c>
      <c r="E17" t="n">
        <v>0.4546666666666667</v>
      </c>
      <c r="F17" t="n">
        <v>0.0035</v>
      </c>
    </row>
    <row r="18">
      <c r="A18" s="12" t="n">
        <v>44682</v>
      </c>
      <c r="B18" t="n">
        <v>4.855322580645161</v>
      </c>
      <c r="C18" t="n">
        <v>5.277774193548387</v>
      </c>
      <c r="D18" t="n">
        <v>0.2358387096774194</v>
      </c>
      <c r="E18" t="n">
        <v>0.3918387096774194</v>
      </c>
      <c r="F18" t="n">
        <v>0.003483870967741936</v>
      </c>
    </row>
    <row r="19">
      <c r="A19" s="12" t="n">
        <v>44713</v>
      </c>
      <c r="B19" t="n">
        <v>6.1464</v>
      </c>
      <c r="C19" t="n">
        <v>5.399933333333333</v>
      </c>
      <c r="D19" t="n">
        <v>0.2081</v>
      </c>
      <c r="E19" t="n">
        <v>0.3769333333333333</v>
      </c>
      <c r="F19" t="n">
        <v>0.0035</v>
      </c>
    </row>
    <row r="20">
      <c r="A20" s="12" t="n">
        <v>44743</v>
      </c>
      <c r="B20" t="n">
        <v>7.247</v>
      </c>
      <c r="C20" t="n">
        <v>5.349774193548387</v>
      </c>
      <c r="D20" t="n">
        <v>0.198</v>
      </c>
      <c r="E20" t="n">
        <v>0.3811935483870968</v>
      </c>
      <c r="F20" t="n">
        <v>0.003483870967741936</v>
      </c>
    </row>
    <row r="21">
      <c r="A21" s="12" t="n">
        <v>44774</v>
      </c>
      <c r="B21" t="n">
        <v>7.078322580645161</v>
      </c>
      <c r="C21" t="n">
        <v>5.306225806451613</v>
      </c>
      <c r="D21" t="n">
        <v>0.1731290322580645</v>
      </c>
      <c r="E21" t="n">
        <v>0.3629354838709677</v>
      </c>
      <c r="F21" t="n">
        <v>0.003483870967741936</v>
      </c>
    </row>
    <row r="22">
      <c r="A22" s="12" t="n">
        <v>44805</v>
      </c>
      <c r="B22" t="n">
        <v>6.03</v>
      </c>
      <c r="C22" t="n">
        <v>5.1567</v>
      </c>
      <c r="D22" t="n">
        <v>0.1889666666666667</v>
      </c>
      <c r="E22" t="n">
        <v>0.3755333333333334</v>
      </c>
      <c r="F22" t="n">
        <v>0.0035</v>
      </c>
    </row>
    <row r="23">
      <c r="A23" s="12" t="n">
        <v>44835</v>
      </c>
      <c r="B23" t="n">
        <v>4.475677419354839</v>
      </c>
      <c r="C23" t="n">
        <v>5.268645161290323</v>
      </c>
      <c r="D23" t="n">
        <v>0.2959032258064516</v>
      </c>
      <c r="E23" t="n">
        <v>0.4337741935483871</v>
      </c>
      <c r="F23" t="n">
        <v>0.003483870967741936</v>
      </c>
    </row>
    <row r="24">
      <c r="A24" s="12" t="n">
        <v>44866</v>
      </c>
      <c r="B24" t="n">
        <v>4.325966666666666</v>
      </c>
      <c r="C24" t="n">
        <v>5.461066666666667</v>
      </c>
      <c r="D24" t="n">
        <v>0.8497333333333333</v>
      </c>
      <c r="E24" t="n">
        <v>0.7006</v>
      </c>
      <c r="F24" t="n">
        <v>0.0035</v>
      </c>
    </row>
    <row r="25">
      <c r="A25" s="12" t="n">
        <v>44896</v>
      </c>
      <c r="B25" t="n">
        <v>4.625387096774193</v>
      </c>
      <c r="C25" t="n">
        <v>5.226</v>
      </c>
      <c r="D25" t="n">
        <v>1.168129032258065</v>
      </c>
      <c r="E25" t="n">
        <v>0.7404838709677419</v>
      </c>
      <c r="F25" t="n">
        <v>0.003483870967741936</v>
      </c>
    </row>
    <row r="26">
      <c r="A26" s="12" t="n">
        <v>44927</v>
      </c>
      <c r="B26" t="n">
        <v>4.131806451612904</v>
      </c>
      <c r="C26" t="n">
        <v>5.51583870967742</v>
      </c>
      <c r="D26" t="n">
        <v>1.208774193548387</v>
      </c>
      <c r="E26" t="n">
        <v>0.7606774193548387</v>
      </c>
      <c r="F26" t="n">
        <v>0.002548387096774193</v>
      </c>
    </row>
    <row r="27">
      <c r="A27" s="12" t="n">
        <v>44958</v>
      </c>
      <c r="B27" t="n">
        <v>4.249357142857143</v>
      </c>
      <c r="C27" t="n">
        <v>5.526035714285714</v>
      </c>
      <c r="D27" t="n">
        <v>1.250571428571429</v>
      </c>
      <c r="E27" t="n">
        <v>0.8006071428571429</v>
      </c>
      <c r="F27" t="n">
        <v>0.002535714285714286</v>
      </c>
    </row>
    <row r="28">
      <c r="A28" s="12" t="n">
        <v>44986</v>
      </c>
      <c r="B28" t="n">
        <v>3.893903225806452</v>
      </c>
      <c r="C28" t="n">
        <v>5.402161290322581</v>
      </c>
      <c r="D28" t="n">
        <v>0.694516129032258</v>
      </c>
      <c r="E28" t="n">
        <v>0.615225806451613</v>
      </c>
      <c r="F28" t="n">
        <v>0.002548387096774193</v>
      </c>
    </row>
    <row r="29">
      <c r="A29" s="12" t="n">
        <v>45017</v>
      </c>
      <c r="B29" t="n">
        <v>3.9954</v>
      </c>
      <c r="C29" t="n">
        <v>5.470466666666666</v>
      </c>
      <c r="D29" t="n">
        <v>0.4013333333333333</v>
      </c>
      <c r="E29" t="n">
        <v>0.4463666666666667</v>
      </c>
      <c r="F29" t="n">
        <v>0.002533333333333333</v>
      </c>
    </row>
    <row r="30">
      <c r="A30" s="12" t="n">
        <v>45047</v>
      </c>
      <c r="B30" t="n">
        <v>5.581419354838709</v>
      </c>
      <c r="C30" t="n">
        <v>5.328387096774193</v>
      </c>
      <c r="D30" t="n">
        <v>0.2346774193548387</v>
      </c>
      <c r="E30" t="n">
        <v>0.4124516129032258</v>
      </c>
      <c r="F30" t="n">
        <v>0.002548387096774193</v>
      </c>
    </row>
    <row r="31">
      <c r="A31" s="12" t="n">
        <v>45078</v>
      </c>
      <c r="B31" t="n">
        <v>7.014966666666666</v>
      </c>
      <c r="C31" t="n">
        <v>5.343</v>
      </c>
      <c r="D31" t="n">
        <v>0.2256666666666667</v>
      </c>
      <c r="E31" t="n">
        <v>0.4073333333333333</v>
      </c>
      <c r="F31" t="n">
        <v>0.002533333333333333</v>
      </c>
    </row>
    <row r="32">
      <c r="A32" s="12" t="n">
        <v>45108</v>
      </c>
      <c r="B32" t="n">
        <v>7.577548387096774</v>
      </c>
      <c r="C32" t="n">
        <v>5.342064516129033</v>
      </c>
      <c r="D32" t="n">
        <v>0.2085161290322581</v>
      </c>
      <c r="E32" t="n">
        <v>0.4069354838709677</v>
      </c>
      <c r="F32" t="n">
        <v>0.002548387096774193</v>
      </c>
    </row>
    <row r="33">
      <c r="A33" s="12" t="n">
        <v>45139</v>
      </c>
      <c r="B33" t="n">
        <v>8.656483870967742</v>
      </c>
      <c r="C33" t="n">
        <v>5.447580645161291</v>
      </c>
      <c r="D33" t="n">
        <v>0.1878064516129032</v>
      </c>
      <c r="E33" t="n">
        <v>0.3826774193548387</v>
      </c>
      <c r="F33" t="n">
        <v>0.002548387096774193</v>
      </c>
    </row>
    <row r="34">
      <c r="A34" s="12" t="n">
        <v>45170</v>
      </c>
      <c r="B34" t="n">
        <v>7.155399999999999</v>
      </c>
      <c r="C34" t="n">
        <v>5.445399999999999</v>
      </c>
      <c r="D34" t="n">
        <v>0.1764</v>
      </c>
      <c r="E34" t="n">
        <v>0.3765</v>
      </c>
      <c r="F34" t="n">
        <v>0.002533333333333333</v>
      </c>
    </row>
    <row r="35">
      <c r="A35" s="12" t="n">
        <v>45200</v>
      </c>
      <c r="B35" t="n">
        <v>4.932032258064516</v>
      </c>
      <c r="C35" t="n">
        <v>5.434838709677419</v>
      </c>
      <c r="D35" t="n">
        <v>0.3194516129032258</v>
      </c>
      <c r="E35" t="n">
        <v>0.4662903225806452</v>
      </c>
      <c r="F35" t="n">
        <v>0.002548387096774193</v>
      </c>
    </row>
    <row r="36">
      <c r="A36" s="12" t="n">
        <v>45231</v>
      </c>
      <c r="B36" t="n">
        <v>4.633666666666667</v>
      </c>
      <c r="C36" t="n">
        <v>5.712766666666666</v>
      </c>
      <c r="D36" t="n">
        <v>0.6995</v>
      </c>
      <c r="E36" t="n">
        <v>0.6163</v>
      </c>
      <c r="F36" t="n">
        <v>0.002533333333333333</v>
      </c>
    </row>
    <row r="37">
      <c r="A37" s="12" t="n">
        <v>45261</v>
      </c>
      <c r="B37" t="n">
        <v>4.421</v>
      </c>
      <c r="C37" t="n">
        <v>5.817548387096775</v>
      </c>
      <c r="D37" t="n">
        <v>1.020774193548387</v>
      </c>
      <c r="E37" t="n">
        <v>0.7173548387096774</v>
      </c>
      <c r="F37" t="n">
        <v>0.002548387096774193</v>
      </c>
    </row>
    <row r="38">
      <c r="A38" s="12" t="n">
        <v>45292</v>
      </c>
      <c r="B38" t="n">
        <v>5.561419354838709</v>
      </c>
      <c r="C38" t="n">
        <v>5.737903225806452</v>
      </c>
      <c r="D38" t="n">
        <v>1.718290322580645</v>
      </c>
      <c r="E38" t="n">
        <v>0.9129677419354839</v>
      </c>
      <c r="F38" t="n">
        <v>0.007419354838709677</v>
      </c>
    </row>
    <row r="39">
      <c r="A39" s="12" t="n">
        <v>45323</v>
      </c>
      <c r="B39" t="n">
        <v>4.008068965517241</v>
      </c>
      <c r="C39" t="n">
        <v>5.536586206896551</v>
      </c>
      <c r="D39" t="n">
        <v>1.097586206896552</v>
      </c>
      <c r="E39" t="n">
        <v>0.764551724137931</v>
      </c>
      <c r="F39" t="n">
        <v>0.007413793103448276</v>
      </c>
    </row>
    <row r="40">
      <c r="A40" s="12" t="n">
        <v>45352</v>
      </c>
      <c r="B40" t="n">
        <v>4.475806451612903</v>
      </c>
      <c r="C40" t="n">
        <v>5.56</v>
      </c>
      <c r="D40" t="n">
        <v>0.5969677419354839</v>
      </c>
      <c r="E40" t="n">
        <v>0.5730645161290323</v>
      </c>
      <c r="F40" t="n">
        <v>0.007419354838709677</v>
      </c>
    </row>
    <row r="41">
      <c r="A41" s="12" t="n">
        <v>45383</v>
      </c>
      <c r="B41" t="n">
        <v>4.507533333333334</v>
      </c>
      <c r="C41" t="n">
        <v>5.455</v>
      </c>
      <c r="D41" t="n">
        <v>0.3352</v>
      </c>
      <c r="E41" t="n">
        <v>0.4414666666666666</v>
      </c>
      <c r="F41" t="n">
        <v>0.0074</v>
      </c>
    </row>
    <row r="42">
      <c r="A42" s="12" t="n">
        <v>45413</v>
      </c>
      <c r="B42" t="n">
        <v>6.010064516129032</v>
      </c>
      <c r="C42" t="n">
        <v>5.232161290322581</v>
      </c>
      <c r="D42" t="n">
        <v>0.2444516129032258</v>
      </c>
      <c r="E42" t="n">
        <v>0.4193225806451613</v>
      </c>
      <c r="F42" t="n">
        <v>0.007419354838709677</v>
      </c>
    </row>
    <row r="43">
      <c r="A43" s="12" t="n">
        <v>45444</v>
      </c>
      <c r="B43" t="n">
        <v>6.976733333333334</v>
      </c>
      <c r="C43" t="n">
        <v>5.412633333333333</v>
      </c>
      <c r="D43" t="n">
        <v>0.2411666666666667</v>
      </c>
      <c r="E43" t="n">
        <v>0.4122</v>
      </c>
      <c r="F43" t="n">
        <v>0.0074</v>
      </c>
    </row>
    <row r="44">
      <c r="A44" s="12" t="n">
        <v>45474</v>
      </c>
      <c r="B44" t="n">
        <v>7.261322580645161</v>
      </c>
      <c r="C44" t="n">
        <v>5.511741935483871</v>
      </c>
      <c r="D44" t="n">
        <v>0.2387096774193548</v>
      </c>
      <c r="E44" t="n">
        <v>0.4077096774193548</v>
      </c>
      <c r="F44" t="n">
        <v>0.007419354838709677</v>
      </c>
    </row>
    <row r="45">
      <c r="A45" s="12" t="n">
        <v>45505</v>
      </c>
      <c r="B45" t="n">
        <v>8.358483870967742</v>
      </c>
      <c r="C45" t="n">
        <v>5.637741935483871</v>
      </c>
      <c r="D45" t="n">
        <v>0.2118709677419355</v>
      </c>
      <c r="E45" t="n">
        <v>0.3919677419354838</v>
      </c>
      <c r="F45" t="n">
        <v>0.007419354838709677</v>
      </c>
    </row>
    <row r="46">
      <c r="A46" s="12" t="n">
        <v>45536</v>
      </c>
      <c r="B46" t="n">
        <v>6.897866666666666</v>
      </c>
      <c r="C46" t="n">
        <v>5.5316</v>
      </c>
      <c r="D46" t="n">
        <v>0.2098333333333333</v>
      </c>
      <c r="E46" t="n">
        <v>0.4142666666666667</v>
      </c>
      <c r="F46" t="n">
        <v>0.0074</v>
      </c>
    </row>
    <row r="47">
      <c r="A47" s="12" t="n">
        <v>45566</v>
      </c>
      <c r="B47" t="n">
        <v>5.92516129032258</v>
      </c>
      <c r="C47" t="n">
        <v>5.303709677419355</v>
      </c>
      <c r="D47" t="n">
        <v>0.2420322580645161</v>
      </c>
      <c r="E47" t="n">
        <v>0.4293548387096774</v>
      </c>
      <c r="F47" t="n">
        <v>0.007419354838709677</v>
      </c>
    </row>
    <row r="48">
      <c r="A48" s="12" t="n">
        <v>45597</v>
      </c>
      <c r="B48" t="n">
        <v>4.806333333333333</v>
      </c>
      <c r="C48" t="n">
        <v>5.701866666666667</v>
      </c>
      <c r="D48" t="n">
        <v>0.4328666666666667</v>
      </c>
      <c r="E48" t="n">
        <v>0.5004</v>
      </c>
      <c r="F48" t="n">
        <v>0.0074</v>
      </c>
    </row>
    <row r="49">
      <c r="A49" s="12" t="n">
        <v>45627</v>
      </c>
      <c r="B49" t="n">
        <v>4.653419354838709</v>
      </c>
      <c r="C49" t="n">
        <v>6.043483870967742</v>
      </c>
      <c r="D49" t="n">
        <v>0.8987419354838709</v>
      </c>
      <c r="E49" t="n">
        <v>0.681483870967742</v>
      </c>
      <c r="F49" t="n">
        <v>0.007419354838709677</v>
      </c>
    </row>
    <row r="50">
      <c r="A50" s="12" t="n">
        <v>45658</v>
      </c>
      <c r="B50" t="n">
        <v>5.869</v>
      </c>
      <c r="C50" t="n">
        <v>5.845741935483871</v>
      </c>
      <c r="D50" t="n">
        <v>2.010354838709677</v>
      </c>
      <c r="E50" t="n">
        <v>1.101387096774194</v>
      </c>
      <c r="F50" t="n">
        <v>0.006193548387096774</v>
      </c>
    </row>
    <row r="51">
      <c r="A51" s="12" t="n">
        <v>45689</v>
      </c>
      <c r="B51" t="n">
        <v>5.272785714285715</v>
      </c>
      <c r="C51" t="n">
        <v>5.759535714285715</v>
      </c>
      <c r="D51" t="n">
        <v>1.569142857142857</v>
      </c>
      <c r="E51" t="n">
        <v>0.9613214285714285</v>
      </c>
      <c r="F51" t="n">
        <v>0.006214285714285715</v>
      </c>
    </row>
    <row r="52">
      <c r="A52" s="12" t="n">
        <v>45717</v>
      </c>
      <c r="B52" t="n">
        <v>3.69841935483871</v>
      </c>
      <c r="C52" t="n">
        <v>5.697580645161291</v>
      </c>
      <c r="D52" t="n">
        <v>0.5337741935483871</v>
      </c>
      <c r="E52" t="n">
        <v>0.4649354838709677</v>
      </c>
      <c r="F52" t="n">
        <v>0.006193548387096774</v>
      </c>
    </row>
    <row r="53">
      <c r="A53" s="12" t="n">
        <v>45748</v>
      </c>
      <c r="B53" t="n">
        <v>4.2876</v>
      </c>
      <c r="C53" t="n">
        <v>5.537833333333333</v>
      </c>
      <c r="D53" t="n">
        <v>0.4167</v>
      </c>
      <c r="E53" t="n">
        <v>0.5441666666666666</v>
      </c>
      <c r="F53" t="n">
        <v>0.0062</v>
      </c>
    </row>
    <row r="54">
      <c r="A54" s="12" t="n">
        <v>45778</v>
      </c>
      <c r="B54" t="n">
        <v>5.777741935483871</v>
      </c>
      <c r="C54" t="n">
        <v>5.462096774193548</v>
      </c>
      <c r="D54" t="n">
        <v>0.2829032258064516</v>
      </c>
      <c r="E54" t="n">
        <v>0.4228387096774193</v>
      </c>
      <c r="F54" t="n">
        <v>0.006193548387096774</v>
      </c>
    </row>
    <row r="55">
      <c r="A55" s="12" t="n">
        <v>45809</v>
      </c>
      <c r="B55" t="n">
        <v>6.4434</v>
      </c>
      <c r="C55" t="n">
        <v>5.411233333333334</v>
      </c>
      <c r="D55" t="n">
        <v>0.2359</v>
      </c>
      <c r="E55" t="n">
        <v>0.419</v>
      </c>
      <c r="F55" t="n">
        <v>0.0062</v>
      </c>
    </row>
    <row r="56">
      <c r="A56" s="12" t="n">
        <v>45839</v>
      </c>
      <c r="B56" t="n">
        <v>7.139032258064516</v>
      </c>
      <c r="C56" t="n">
        <v>5.410709677419355</v>
      </c>
      <c r="D56" t="n">
        <v>0.2180645161290322</v>
      </c>
      <c r="E56" t="n">
        <v>0.4039032258064516</v>
      </c>
      <c r="F56" t="n">
        <v>0.006193548387096774</v>
      </c>
    </row>
    <row r="57">
      <c r="A57" s="12" t="n">
        <v>45870</v>
      </c>
      <c r="B57" t="n">
        <v>7.713354838709678</v>
      </c>
      <c r="C57" t="n">
        <v>5.538838709677419</v>
      </c>
      <c r="D57" t="n">
        <v>0.1949677419354839</v>
      </c>
      <c r="E57" t="n">
        <v>0.383</v>
      </c>
      <c r="F57" t="n">
        <v>0.006193548387096774</v>
      </c>
    </row>
    <row r="58">
      <c r="A58" s="12" t="n">
        <v>45901</v>
      </c>
      <c r="B58" t="n">
        <v>6.913966666666666</v>
      </c>
      <c r="C58" t="n">
        <v>5.562266666666666</v>
      </c>
      <c r="D58" t="n">
        <v>0.1994</v>
      </c>
      <c r="E58" t="n">
        <v>0.3982666666666667</v>
      </c>
      <c r="F58" t="n">
        <v>0.0062</v>
      </c>
    </row>
    <row r="59">
      <c r="A59" s="12" t="n">
        <v>45931</v>
      </c>
      <c r="B59" t="n">
        <v>5.629225806451613</v>
      </c>
      <c r="C59" t="n">
        <v>5.351806451612903</v>
      </c>
      <c r="D59" t="n">
        <v>0.2535806451612903</v>
      </c>
      <c r="E59" t="n">
        <v>0.410258064516129</v>
      </c>
      <c r="F59" t="n">
        <v>0.006193548387096774</v>
      </c>
    </row>
    <row r="60">
      <c r="A60" s="12" t="n">
        <v>45962</v>
      </c>
      <c r="B60" t="n">
        <v>4.648733333333333</v>
      </c>
      <c r="C60" t="n">
        <v>5.8022</v>
      </c>
      <c r="D60" t="n">
        <v>0.4432</v>
      </c>
      <c r="E60" t="n">
        <v>0.5220333333333333</v>
      </c>
      <c r="F60" t="n">
        <v>0.0062</v>
      </c>
    </row>
    <row r="61">
      <c r="A61" s="12" t="n">
        <v>45992</v>
      </c>
      <c r="B61" t="n">
        <v>4.848451612903226</v>
      </c>
      <c r="C61" t="n">
        <v>5.93</v>
      </c>
      <c r="D61" t="n">
        <v>0.9796451612903225</v>
      </c>
      <c r="E61" t="n">
        <v>0.6952903225806452</v>
      </c>
      <c r="F61" t="n">
        <v>0.006193548387096774</v>
      </c>
    </row>
    <row r="62">
      <c r="A62" s="12" t="n">
        <v>46023</v>
      </c>
      <c r="B62" t="n">
        <v>5.437354838709677</v>
      </c>
      <c r="C62" t="n">
        <v>5.787548387096774</v>
      </c>
      <c r="D62" t="n">
        <v>1.498</v>
      </c>
      <c r="E62" t="n">
        <v>0.921258064516129</v>
      </c>
      <c r="F62" t="n">
        <v>0.006193548387096774</v>
      </c>
    </row>
    <row r="63">
      <c r="A63" s="12" t="n">
        <v>46054</v>
      </c>
      <c r="B63" t="n">
        <v>4.554392857142857</v>
      </c>
      <c r="C63" t="n">
        <v>5.705857142857143</v>
      </c>
      <c r="D63" t="n">
        <v>1.006357142857143</v>
      </c>
      <c r="E63" t="n">
        <v>0.6013214285714286</v>
      </c>
      <c r="F63" t="n">
        <v>0.006214285714285715</v>
      </c>
    </row>
    <row r="64">
      <c r="A64" s="12" t="n">
        <v>46082</v>
      </c>
      <c r="B64" t="n">
        <v>4.129</v>
      </c>
      <c r="C64" t="n">
        <v>5.653225806451613</v>
      </c>
      <c r="D64" t="n">
        <v>0.5390967741935484</v>
      </c>
      <c r="E64" t="n">
        <v>0.5518387096774194</v>
      </c>
      <c r="F64" t="n">
        <v>0.006193548387096774</v>
      </c>
    </row>
    <row r="65">
      <c r="A65" s="12" t="n">
        <v>46113</v>
      </c>
      <c r="B65" t="n">
        <v>4.808033333333333</v>
      </c>
      <c r="C65" t="n">
        <v>5.719533333333334</v>
      </c>
      <c r="D65" t="n">
        <v>0.3398</v>
      </c>
      <c r="E65" t="n">
        <v>0.4702333333333333</v>
      </c>
      <c r="F65" t="n">
        <v>0.0062</v>
      </c>
    </row>
    <row r="66">
      <c r="A66" s="12" t="n">
        <v>46143</v>
      </c>
      <c r="B66" t="n">
        <v>5.746419354838709</v>
      </c>
      <c r="C66" t="n">
        <v>5.633806451612903</v>
      </c>
      <c r="D66" t="n">
        <v>0.2309032258064516</v>
      </c>
      <c r="E66" t="n">
        <v>0.3834838709677419</v>
      </c>
      <c r="F66" t="n">
        <v>0.006193548387096774</v>
      </c>
    </row>
    <row r="67">
      <c r="A67" s="12" t="n">
        <v>46174</v>
      </c>
      <c r="B67" t="n">
        <v>6.806066666666666</v>
      </c>
      <c r="C67" t="n">
        <v>5.6723</v>
      </c>
      <c r="D67" t="n">
        <v>0.2417</v>
      </c>
      <c r="E67" t="n">
        <v>0.4054</v>
      </c>
      <c r="F67" t="n">
        <v>0.0062</v>
      </c>
    </row>
    <row r="68">
      <c r="A68" s="12" t="n">
        <v>46204</v>
      </c>
      <c r="B68" t="n">
        <v>7.621806451612904</v>
      </c>
      <c r="C68" t="n">
        <v>5.519354838709677</v>
      </c>
      <c r="D68" t="n">
        <v>0.2176451612903226</v>
      </c>
      <c r="E68" t="n">
        <v>0.3741290322580645</v>
      </c>
      <c r="F68" t="n">
        <v>0.006193548387096774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Pipeline to Mexico</t>
        </is>
      </c>
      <c r="C1" t="inlineStr">
        <is>
          <t>Corpus Christi LNG</t>
        </is>
      </c>
      <c r="D1" t="inlineStr">
        <is>
          <t>El Paso LNG</t>
        </is>
      </c>
      <c r="E1" t="inlineStr">
        <is>
          <t>Freeport LNG</t>
        </is>
      </c>
      <c r="F1" t="inlineStr">
        <is>
          <t>Golden Pass LNG</t>
        </is>
      </c>
      <c r="G1" t="inlineStr">
        <is>
          <t>Laredo LNG</t>
        </is>
      </c>
    </row>
    <row r="2">
      <c r="A2" s="12" t="n">
        <v>44197</v>
      </c>
      <c r="B2" t="n">
        <v>2.552483870967742</v>
      </c>
      <c r="C2" t="n">
        <v>1.845677419354839</v>
      </c>
      <c r="E2" t="n">
        <v>1.971064516129032</v>
      </c>
      <c r="G2" t="n">
        <v>0.002483870967741936</v>
      </c>
    </row>
    <row r="3">
      <c r="A3" s="12" t="n">
        <v>44228</v>
      </c>
      <c r="B3" t="n">
        <v>2.252428571428571</v>
      </c>
      <c r="C3" t="n">
        <v>1.190357142857143</v>
      </c>
      <c r="E3" t="n">
        <v>1.08825</v>
      </c>
      <c r="G3" t="n">
        <v>0.001964285714285714</v>
      </c>
    </row>
    <row r="4">
      <c r="A4" s="12" t="n">
        <v>44256</v>
      </c>
      <c r="B4" t="n">
        <v>2.643935483870968</v>
      </c>
      <c r="C4" t="n">
        <v>2.019064516129032</v>
      </c>
      <c r="E4" t="n">
        <v>2.05241935483871</v>
      </c>
      <c r="G4" t="n">
        <v>0.0002903225806451613</v>
      </c>
    </row>
    <row r="5">
      <c r="A5" s="12" t="n">
        <v>44287</v>
      </c>
      <c r="B5" t="n">
        <v>2.670233333333333</v>
      </c>
      <c r="C5" t="n">
        <v>1.995366666666667</v>
      </c>
      <c r="E5" t="n">
        <v>2.020833333333333</v>
      </c>
      <c r="G5" t="n">
        <v>0.0004</v>
      </c>
    </row>
    <row r="6">
      <c r="A6" s="12" t="n">
        <v>44317</v>
      </c>
      <c r="B6" t="n">
        <v>2.766322580645161</v>
      </c>
      <c r="C6" t="n">
        <v>1.895741935483871</v>
      </c>
      <c r="E6" t="n">
        <v>2.039161290322581</v>
      </c>
      <c r="G6" t="n">
        <v>0.0008709677419354839</v>
      </c>
    </row>
    <row r="7">
      <c r="A7" s="12" t="n">
        <v>44348</v>
      </c>
      <c r="B7" t="n">
        <v>2.929933333333334</v>
      </c>
      <c r="C7" t="n">
        <v>2.0512</v>
      </c>
      <c r="E7" t="n">
        <v>1.9513</v>
      </c>
      <c r="G7" t="n">
        <v>0.0029</v>
      </c>
    </row>
    <row r="8">
      <c r="A8" s="12" t="n">
        <v>44378</v>
      </c>
      <c r="B8" t="n">
        <v>2.876193548387096</v>
      </c>
      <c r="C8" t="n">
        <v>1.950870967741935</v>
      </c>
      <c r="E8" t="n">
        <v>1.964548387096774</v>
      </c>
      <c r="G8" t="n">
        <v>0.002548387096774193</v>
      </c>
    </row>
    <row r="9">
      <c r="A9" s="12" t="n">
        <v>44409</v>
      </c>
      <c r="B9" t="n">
        <v>2.802806451612903</v>
      </c>
      <c r="C9" t="n">
        <v>1.991903225806452</v>
      </c>
      <c r="E9" t="n">
        <v>2.116967741935484</v>
      </c>
      <c r="G9" t="n">
        <v>0.004129032258064516</v>
      </c>
    </row>
    <row r="10">
      <c r="A10" s="12" t="n">
        <v>44440</v>
      </c>
      <c r="B10" t="n">
        <v>2.6138</v>
      </c>
      <c r="C10" t="n">
        <v>2.1464</v>
      </c>
      <c r="E10" t="n">
        <v>1.6184</v>
      </c>
      <c r="G10" t="n">
        <v>0.0045</v>
      </c>
    </row>
    <row r="11">
      <c r="A11" s="12" t="n">
        <v>44470</v>
      </c>
      <c r="B11" t="n">
        <v>2.767870967741935</v>
      </c>
      <c r="C11" t="n">
        <v>2.091451612903226</v>
      </c>
      <c r="E11" t="n">
        <v>1.936709677419355</v>
      </c>
      <c r="G11" t="n">
        <v>0.005387096774193548</v>
      </c>
    </row>
    <row r="12">
      <c r="A12" s="12" t="n">
        <v>44501</v>
      </c>
      <c r="B12" t="n">
        <v>2.557566666666667</v>
      </c>
      <c r="C12" t="n">
        <v>2.1165</v>
      </c>
      <c r="E12" t="n">
        <v>1.4647</v>
      </c>
      <c r="G12" t="n">
        <v>0.004966666666666667</v>
      </c>
    </row>
    <row r="13">
      <c r="A13" s="12" t="n">
        <v>44531</v>
      </c>
      <c r="B13" t="n">
        <v>2.405741935483871</v>
      </c>
      <c r="C13" t="n">
        <v>2.063709677419355</v>
      </c>
      <c r="E13" t="n">
        <v>2.169774193548387</v>
      </c>
      <c r="G13" t="n">
        <v>0.004419354838709677</v>
      </c>
    </row>
    <row r="14">
      <c r="A14" s="12" t="n">
        <v>44562</v>
      </c>
      <c r="B14" t="n">
        <v>2.562612903225807</v>
      </c>
      <c r="C14" t="n">
        <v>2.153354838709677</v>
      </c>
      <c r="E14" t="n">
        <v>2.06258064516129</v>
      </c>
      <c r="G14" t="n">
        <v>0.004451612903225806</v>
      </c>
    </row>
    <row r="15">
      <c r="A15" s="12" t="n">
        <v>44593</v>
      </c>
      <c r="B15" t="n">
        <v>2.727035714285714</v>
      </c>
      <c r="C15" t="n">
        <v>2.434892857142857</v>
      </c>
      <c r="E15" t="n">
        <v>1.874428571428571</v>
      </c>
      <c r="G15" t="n">
        <v>0.005321428571428572</v>
      </c>
    </row>
    <row r="16">
      <c r="A16" s="12" t="n">
        <v>44621</v>
      </c>
      <c r="B16" t="n">
        <v>2.667935483870968</v>
      </c>
      <c r="C16" t="n">
        <v>1.940225806451613</v>
      </c>
      <c r="E16" t="n">
        <v>2.08041935483871</v>
      </c>
      <c r="G16" t="n">
        <v>0.004451612903225806</v>
      </c>
    </row>
    <row r="17">
      <c r="A17" s="12" t="n">
        <v>44652</v>
      </c>
      <c r="B17" t="n">
        <v>2.7244</v>
      </c>
      <c r="C17" t="n">
        <v>1.9423</v>
      </c>
      <c r="E17" t="n">
        <v>1.3095</v>
      </c>
      <c r="G17" t="n">
        <v>0.003766666666666666</v>
      </c>
    </row>
    <row r="18">
      <c r="A18" s="12" t="n">
        <v>44682</v>
      </c>
      <c r="B18" t="n">
        <v>2.805161290322581</v>
      </c>
      <c r="C18" t="n">
        <v>1.999451612903226</v>
      </c>
      <c r="E18" t="n">
        <v>2.047806451612903</v>
      </c>
      <c r="G18" t="n">
        <v>0.003451612903225806</v>
      </c>
    </row>
    <row r="19">
      <c r="A19" s="12" t="n">
        <v>44713</v>
      </c>
      <c r="B19" t="n">
        <v>2.674066666666667</v>
      </c>
      <c r="C19" t="n">
        <v>2.124033333333333</v>
      </c>
      <c r="E19" t="n">
        <v>0.5774333333333332</v>
      </c>
      <c r="G19" t="n">
        <v>0.003266666666666666</v>
      </c>
    </row>
    <row r="20">
      <c r="A20" s="12" t="n">
        <v>44743</v>
      </c>
      <c r="B20" t="n">
        <v>2.817677419354839</v>
      </c>
      <c r="C20" t="n">
        <v>2.034870967741935</v>
      </c>
      <c r="G20" t="n">
        <v>0.002225806451612903</v>
      </c>
    </row>
    <row r="21">
      <c r="A21" s="12" t="n">
        <v>44774</v>
      </c>
      <c r="B21" t="n">
        <v>2.790903225806451</v>
      </c>
      <c r="C21" t="n">
        <v>2.04541935483871</v>
      </c>
      <c r="G21" t="n">
        <v>0.002838709677419355</v>
      </c>
    </row>
    <row r="22">
      <c r="A22" s="12" t="n">
        <v>44805</v>
      </c>
      <c r="B22" t="n">
        <v>2.759933333333333</v>
      </c>
      <c r="C22" t="n">
        <v>1.9937</v>
      </c>
      <c r="G22" t="n">
        <v>0.003133333333333333</v>
      </c>
    </row>
    <row r="23">
      <c r="A23" s="12" t="n">
        <v>44835</v>
      </c>
      <c r="B23" t="n">
        <v>2.740677419354839</v>
      </c>
      <c r="C23" t="n">
        <v>2.154387096774194</v>
      </c>
      <c r="G23" t="n">
        <v>0.005612903225806452</v>
      </c>
    </row>
    <row r="24">
      <c r="A24" s="12" t="n">
        <v>44866</v>
      </c>
      <c r="B24" t="n">
        <v>2.750966666666667</v>
      </c>
      <c r="C24" t="n">
        <v>1.900933333333333</v>
      </c>
      <c r="G24" t="n">
        <v>0.005</v>
      </c>
    </row>
    <row r="25">
      <c r="A25" s="12" t="n">
        <v>44896</v>
      </c>
      <c r="B25" t="n">
        <v>2.523516129032258</v>
      </c>
      <c r="C25" t="n">
        <v>2.068354838709678</v>
      </c>
      <c r="D25" t="n">
        <v>3.225806451612903e-05</v>
      </c>
      <c r="G25" t="n">
        <v>0.005161290322580645</v>
      </c>
    </row>
    <row r="26">
      <c r="A26" s="12" t="n">
        <v>44927</v>
      </c>
      <c r="B26" t="n">
        <v>2.707741935483871</v>
      </c>
      <c r="C26" t="n">
        <v>2.018322580645161</v>
      </c>
      <c r="G26" t="n">
        <v>0.004290322580645161</v>
      </c>
    </row>
    <row r="27">
      <c r="A27" s="12" t="n">
        <v>44958</v>
      </c>
      <c r="B27" t="n">
        <v>2.707571428571429</v>
      </c>
      <c r="C27" t="n">
        <v>2.289785714285714</v>
      </c>
      <c r="D27" t="n">
        <v>3.571428571428571e-05</v>
      </c>
      <c r="E27" t="n">
        <v>0.4127142857142857</v>
      </c>
      <c r="G27" t="n">
        <v>0.00375</v>
      </c>
    </row>
    <row r="28">
      <c r="A28" s="12" t="n">
        <v>44986</v>
      </c>
      <c r="B28" t="n">
        <v>2.856064516129032</v>
      </c>
      <c r="C28" t="n">
        <v>2.165870967741935</v>
      </c>
      <c r="E28" t="n">
        <v>0.9348709677419355</v>
      </c>
      <c r="G28" t="n">
        <v>0.003096774193548387</v>
      </c>
    </row>
    <row r="29">
      <c r="A29" s="12" t="n">
        <v>45017</v>
      </c>
      <c r="B29" t="n">
        <v>2.752766666666667</v>
      </c>
      <c r="C29" t="n">
        <v>1.8517</v>
      </c>
      <c r="E29" t="n">
        <v>2.083933333333333</v>
      </c>
      <c r="G29" t="n">
        <v>0.001933333333333333</v>
      </c>
    </row>
    <row r="30">
      <c r="A30" s="12" t="n">
        <v>45047</v>
      </c>
      <c r="B30" t="n">
        <v>2.939967741935484</v>
      </c>
      <c r="C30" t="n">
        <v>1.86258064516129</v>
      </c>
      <c r="E30" t="n">
        <v>2.206645161290322</v>
      </c>
      <c r="G30" t="n">
        <v>0.0008387096774193549</v>
      </c>
    </row>
    <row r="31">
      <c r="A31" s="12" t="n">
        <v>45078</v>
      </c>
      <c r="B31" t="n">
        <v>3.368</v>
      </c>
      <c r="C31" t="n">
        <v>2.081666666666667</v>
      </c>
      <c r="E31" t="n">
        <v>2.109566666666667</v>
      </c>
      <c r="G31" t="n">
        <v>0.001133333333333333</v>
      </c>
    </row>
    <row r="32">
      <c r="A32" s="12" t="n">
        <v>45108</v>
      </c>
      <c r="B32" t="n">
        <v>3.123096774193549</v>
      </c>
      <c r="C32" t="n">
        <v>1.89158064516129</v>
      </c>
      <c r="E32" t="n">
        <v>1.920064516129032</v>
      </c>
      <c r="G32" t="n">
        <v>0.0008064516129032258</v>
      </c>
    </row>
    <row r="33">
      <c r="A33" s="12" t="n">
        <v>45139</v>
      </c>
      <c r="B33" t="n">
        <v>3.173225806451613</v>
      </c>
      <c r="C33" t="n">
        <v>2.014</v>
      </c>
      <c r="E33" t="n">
        <v>1.981806451612903</v>
      </c>
      <c r="G33" t="n">
        <v>0.0006129032258064516</v>
      </c>
    </row>
    <row r="34">
      <c r="A34" s="12" t="n">
        <v>45170</v>
      </c>
      <c r="B34" t="n">
        <v>3.124733333333333</v>
      </c>
      <c r="C34" t="n">
        <v>1.978633333333333</v>
      </c>
      <c r="E34" t="n">
        <v>1.8007</v>
      </c>
      <c r="G34" t="n">
        <v>0.001166666666666667</v>
      </c>
    </row>
    <row r="35">
      <c r="A35" s="12" t="n">
        <v>45200</v>
      </c>
      <c r="B35" t="n">
        <v>3.054387096774194</v>
      </c>
      <c r="C35" t="n">
        <v>2.044677419354839</v>
      </c>
      <c r="E35" t="n">
        <v>2.062967741935484</v>
      </c>
      <c r="G35" t="n">
        <v>0.0008709677419354839</v>
      </c>
    </row>
    <row r="36">
      <c r="A36" s="12" t="n">
        <v>45231</v>
      </c>
      <c r="B36" t="n">
        <v>2.908766666666667</v>
      </c>
      <c r="C36" t="n">
        <v>2.148433333333333</v>
      </c>
      <c r="E36" t="n">
        <v>2.003366666666667</v>
      </c>
      <c r="G36" t="n">
        <v>0.0008666666666666667</v>
      </c>
    </row>
    <row r="37">
      <c r="A37" s="12" t="n">
        <v>45261</v>
      </c>
      <c r="B37" t="n">
        <v>2.73416129032258</v>
      </c>
      <c r="C37" t="n">
        <v>2.070612903225806</v>
      </c>
      <c r="E37" t="n">
        <v>2.297548387096774</v>
      </c>
      <c r="G37" t="n">
        <v>0.0006451612903225806</v>
      </c>
    </row>
    <row r="38">
      <c r="A38" s="12" t="n">
        <v>45292</v>
      </c>
      <c r="B38" t="n">
        <v>3.045290322580645</v>
      </c>
      <c r="C38" t="n">
        <v>1.970258064516129</v>
      </c>
      <c r="E38" t="n">
        <v>1.702129032258065</v>
      </c>
      <c r="G38" t="n">
        <v>0.0006774193548387096</v>
      </c>
    </row>
    <row r="39">
      <c r="A39" s="12" t="n">
        <v>45323</v>
      </c>
      <c r="B39" t="n">
        <v>2.881137931034483</v>
      </c>
      <c r="C39" t="n">
        <v>1.92248275862069</v>
      </c>
      <c r="E39" t="n">
        <v>1.430206896551724</v>
      </c>
      <c r="G39" t="n">
        <v>0.0004827586206896552</v>
      </c>
    </row>
    <row r="40">
      <c r="A40" s="12" t="n">
        <v>45352</v>
      </c>
      <c r="B40" t="n">
        <v>2.966548387096774</v>
      </c>
      <c r="C40" t="n">
        <v>1.97658064516129</v>
      </c>
      <c r="E40" t="n">
        <v>0.8467741935483871</v>
      </c>
      <c r="G40" t="n">
        <v>0.0003870967741935484</v>
      </c>
    </row>
    <row r="41">
      <c r="A41" s="12" t="n">
        <v>45383</v>
      </c>
      <c r="B41" t="n">
        <v>3.1878</v>
      </c>
      <c r="C41" t="n">
        <v>1.670966666666667</v>
      </c>
      <c r="E41" t="n">
        <v>0.3578666666666667</v>
      </c>
      <c r="G41" t="n">
        <v>0.0004666666666666667</v>
      </c>
    </row>
    <row r="42">
      <c r="A42" s="12" t="n">
        <v>45413</v>
      </c>
      <c r="B42" t="n">
        <v>3.257677419354839</v>
      </c>
      <c r="C42" t="n">
        <v>1.984129032258065</v>
      </c>
      <c r="E42" t="n">
        <v>1.781870967741935</v>
      </c>
      <c r="G42" t="n">
        <v>0.0004193548387096774</v>
      </c>
    </row>
    <row r="43">
      <c r="A43" s="12" t="n">
        <v>45444</v>
      </c>
      <c r="B43" t="n">
        <v>3.117133333333333</v>
      </c>
      <c r="C43" t="n">
        <v>2.1527</v>
      </c>
      <c r="E43" t="n">
        <v>2.1648</v>
      </c>
      <c r="G43" t="n">
        <v>0.0004666666666666667</v>
      </c>
    </row>
    <row r="44">
      <c r="A44" s="12" t="n">
        <v>45474</v>
      </c>
      <c r="B44" t="n">
        <v>3.147096774193549</v>
      </c>
      <c r="C44" t="n">
        <v>1.851096774193548</v>
      </c>
      <c r="E44" t="n">
        <v>0.7989354838709677</v>
      </c>
      <c r="G44" t="n">
        <v>0.0003870967741935484</v>
      </c>
    </row>
    <row r="45">
      <c r="A45" s="12" t="n">
        <v>45505</v>
      </c>
      <c r="B45" t="n">
        <v>3.193548387096774</v>
      </c>
      <c r="C45" t="n">
        <v>2.049645161290322</v>
      </c>
      <c r="E45" t="n">
        <v>2.029064516129032</v>
      </c>
      <c r="G45" t="n">
        <v>0.0002580645161290323</v>
      </c>
    </row>
    <row r="46">
      <c r="A46" s="12" t="n">
        <v>45536</v>
      </c>
      <c r="B46" t="n">
        <v>3.0912</v>
      </c>
      <c r="C46" t="n">
        <v>2.1548</v>
      </c>
      <c r="E46" t="n">
        <v>2.099266666666667</v>
      </c>
      <c r="G46" t="n">
        <v>0.0001333333333333333</v>
      </c>
    </row>
    <row r="47">
      <c r="A47" s="12" t="n">
        <v>45566</v>
      </c>
      <c r="B47" t="n">
        <v>2.869387096774194</v>
      </c>
      <c r="C47" t="n">
        <v>2.154193548387096</v>
      </c>
      <c r="E47" t="n">
        <v>2.226806451612903</v>
      </c>
    </row>
    <row r="48">
      <c r="A48" s="12" t="n">
        <v>45597</v>
      </c>
      <c r="B48" t="n">
        <v>2.7428</v>
      </c>
      <c r="C48" t="n">
        <v>2.183166666666667</v>
      </c>
      <c r="E48" t="n">
        <v>1.853833333333333</v>
      </c>
      <c r="G48" t="n">
        <v>3.333333333333333e-05</v>
      </c>
    </row>
    <row r="49">
      <c r="A49" s="12" t="n">
        <v>45627</v>
      </c>
      <c r="B49" t="n">
        <v>2.697645161290323</v>
      </c>
      <c r="C49" t="n">
        <v>2.169774193548387</v>
      </c>
      <c r="E49" t="n">
        <v>2.19683870967742</v>
      </c>
    </row>
    <row r="50">
      <c r="A50" s="12" t="n">
        <v>45658</v>
      </c>
      <c r="B50" t="n">
        <v>3.12958064516129</v>
      </c>
      <c r="C50" t="n">
        <v>2.004483870967742</v>
      </c>
      <c r="E50" t="n">
        <v>1.806774193548387</v>
      </c>
    </row>
    <row r="51">
      <c r="A51" s="12" t="n">
        <v>45689</v>
      </c>
      <c r="B51" t="n">
        <v>3.037857142857143</v>
      </c>
      <c r="C51" t="n">
        <v>2.368821428571429</v>
      </c>
      <c r="E51" t="n">
        <v>2.205357142857143</v>
      </c>
    </row>
    <row r="52">
      <c r="A52" s="12" t="n">
        <v>45717</v>
      </c>
      <c r="B52" t="n">
        <v>2.864387096774194</v>
      </c>
      <c r="C52" t="n">
        <v>2.148096774193548</v>
      </c>
      <c r="E52" t="n">
        <v>2.070677419354839</v>
      </c>
    </row>
    <row r="53">
      <c r="A53" s="12" t="n">
        <v>45748</v>
      </c>
      <c r="B53" t="n">
        <v>3.252</v>
      </c>
      <c r="C53" t="n">
        <v>2.125466666666667</v>
      </c>
      <c r="E53" t="n">
        <v>2.295533333333333</v>
      </c>
    </row>
    <row r="54">
      <c r="A54" s="12" t="n">
        <v>45778</v>
      </c>
      <c r="B54" t="n">
        <v>3.523838709677419</v>
      </c>
      <c r="C54" t="n">
        <v>2.01458064516129</v>
      </c>
      <c r="E54" t="n">
        <v>2.109935483870968</v>
      </c>
    </row>
    <row r="55">
      <c r="A55" s="12" t="n">
        <v>45809</v>
      </c>
      <c r="B55" t="n">
        <v>3.446133333333333</v>
      </c>
      <c r="C55" t="n">
        <v>2.0722</v>
      </c>
      <c r="E55" t="n">
        <v>2.239966666666667</v>
      </c>
    </row>
    <row r="56">
      <c r="A56" s="12" t="n">
        <v>45839</v>
      </c>
      <c r="B56" t="n">
        <v>3.09458064516129</v>
      </c>
      <c r="C56" t="n">
        <v>2.191032258064516</v>
      </c>
      <c r="E56" t="n">
        <v>1.934838709677419</v>
      </c>
    </row>
    <row r="57">
      <c r="A57" s="12" t="n">
        <v>45870</v>
      </c>
      <c r="B57" t="n">
        <v>3.350290322580645</v>
      </c>
      <c r="C57" t="n">
        <v>2.141709677419354</v>
      </c>
      <c r="E57" t="n">
        <v>1.957516129032258</v>
      </c>
    </row>
    <row r="58">
      <c r="A58" s="12" t="n">
        <v>45901</v>
      </c>
      <c r="B58" t="n">
        <v>2.949933333333334</v>
      </c>
      <c r="C58" t="n">
        <v>2.335733333333333</v>
      </c>
      <c r="E58" t="n">
        <v>1.9989</v>
      </c>
    </row>
    <row r="59">
      <c r="A59" s="12" t="n">
        <v>45931</v>
      </c>
      <c r="B59" t="n">
        <v>2.833483870967742</v>
      </c>
      <c r="C59" t="n">
        <v>2.462806451612904</v>
      </c>
      <c r="E59" t="n">
        <v>2.256322580645162</v>
      </c>
    </row>
    <row r="60">
      <c r="A60" s="12" t="n">
        <v>45962</v>
      </c>
      <c r="B60" t="n">
        <v>2.9201</v>
      </c>
      <c r="C60" t="n">
        <v>2.839033333333334</v>
      </c>
      <c r="E60" t="n">
        <v>2.133933333333333</v>
      </c>
    </row>
    <row r="61">
      <c r="A61" s="12" t="n">
        <v>45992</v>
      </c>
      <c r="B61" t="n">
        <v>2.764451612903226</v>
      </c>
      <c r="C61" t="n">
        <v>2.925548387096774</v>
      </c>
      <c r="E61" t="n">
        <v>2.236451612903226</v>
      </c>
    </row>
    <row r="62">
      <c r="A62" s="12" t="n">
        <v>46023</v>
      </c>
      <c r="B62" t="n">
        <v>2.873354838709677</v>
      </c>
      <c r="C62" t="n">
        <v>2.701935483870968</v>
      </c>
      <c r="E62" t="n">
        <v>2.048064516129032</v>
      </c>
    </row>
    <row r="63">
      <c r="A63" s="12" t="n">
        <v>46054</v>
      </c>
      <c r="B63" t="n">
        <v>2.989107142857143</v>
      </c>
      <c r="C63" t="n">
        <v>3.042928571428571</v>
      </c>
      <c r="E63" t="n">
        <v>2.239464285714286</v>
      </c>
    </row>
    <row r="64">
      <c r="A64" s="12" t="n">
        <v>46082</v>
      </c>
      <c r="B64" t="n">
        <v>2.768580645161291</v>
      </c>
      <c r="C64" t="n">
        <v>3.083451612903226</v>
      </c>
      <c r="E64" t="n">
        <v>2.252</v>
      </c>
    </row>
    <row r="65">
      <c r="A65" s="12" t="n">
        <v>46113</v>
      </c>
      <c r="B65" t="n">
        <v>2.837666666666667</v>
      </c>
      <c r="C65" t="n">
        <v>2.893366666666667</v>
      </c>
      <c r="E65" t="n">
        <v>2.303466666666667</v>
      </c>
      <c r="F65" t="n">
        <v>0.1206333333333333</v>
      </c>
    </row>
    <row r="66">
      <c r="A66" s="12" t="n">
        <v>46143</v>
      </c>
      <c r="B66" t="n">
        <v>3.316451612903226</v>
      </c>
      <c r="C66" t="n">
        <v>2.864483870967742</v>
      </c>
      <c r="E66" t="n">
        <v>1.828322580645161</v>
      </c>
      <c r="F66" t="n">
        <v>0.111741935483871</v>
      </c>
    </row>
    <row r="67">
      <c r="A67" s="12" t="n">
        <v>46174</v>
      </c>
      <c r="B67" t="n">
        <v>3.3545</v>
      </c>
      <c r="C67" t="n">
        <v>3.0009</v>
      </c>
      <c r="E67" t="n">
        <v>1.981266666666667</v>
      </c>
      <c r="F67" t="n">
        <v>0.1149666666666667</v>
      </c>
    </row>
    <row r="68">
      <c r="A68" s="12" t="n">
        <v>46204</v>
      </c>
      <c r="B68" t="n">
        <v>3.236774193548387</v>
      </c>
      <c r="C68" t="n">
        <v>3.133193548387097</v>
      </c>
      <c r="E68" t="n">
        <v>1.678161290322581</v>
      </c>
      <c r="F68" t="n">
        <v>0.2184516129032258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Rio Grande</t>
        </is>
      </c>
      <c r="C1" t="inlineStr">
        <is>
          <t>Brownsville</t>
        </is>
      </c>
      <c r="D1" t="inlineStr">
        <is>
          <t>Laredo</t>
        </is>
      </c>
    </row>
    <row r="2">
      <c r="A2" s="12" t="n">
        <v>44197</v>
      </c>
      <c r="B2" t="n">
        <v>1.57158064516129</v>
      </c>
      <c r="C2" t="n">
        <v>0.7478064516129032</v>
      </c>
      <c r="D2" t="n">
        <v>0.2330967741935484</v>
      </c>
    </row>
    <row r="3">
      <c r="A3" s="12" t="n">
        <v>44228</v>
      </c>
      <c r="B3" t="n">
        <v>1.308714285714286</v>
      </c>
      <c r="C3" t="n">
        <v>0.7278928571428571</v>
      </c>
      <c r="D3" t="n">
        <v>0.2158214285714286</v>
      </c>
    </row>
    <row r="4">
      <c r="A4" s="12" t="n">
        <v>44256</v>
      </c>
      <c r="B4" t="n">
        <v>1.608935483870968</v>
      </c>
      <c r="C4" t="n">
        <v>0.8165806451612904</v>
      </c>
      <c r="D4" t="n">
        <v>0.2184193548387097</v>
      </c>
    </row>
    <row r="5">
      <c r="A5" s="12" t="n">
        <v>44287</v>
      </c>
      <c r="B5" t="n">
        <v>1.4521</v>
      </c>
      <c r="C5" t="n">
        <v>0.9571666666666666</v>
      </c>
      <c r="D5" t="n">
        <v>0.2609666666666666</v>
      </c>
    </row>
    <row r="6">
      <c r="A6" s="12" t="n">
        <v>44317</v>
      </c>
      <c r="B6" t="n">
        <v>1.506967741935484</v>
      </c>
      <c r="C6" t="n">
        <v>0.9520322580645161</v>
      </c>
      <c r="D6" t="n">
        <v>0.3073225806451613</v>
      </c>
    </row>
    <row r="7">
      <c r="A7" s="12" t="n">
        <v>44348</v>
      </c>
      <c r="B7" t="n">
        <v>1.5201</v>
      </c>
      <c r="C7" t="n">
        <v>1.059166666666667</v>
      </c>
      <c r="D7" t="n">
        <v>0.3506666666666667</v>
      </c>
    </row>
    <row r="8">
      <c r="A8" s="12" t="n">
        <v>44378</v>
      </c>
      <c r="B8" t="n">
        <v>1.529387096774194</v>
      </c>
      <c r="C8" t="n">
        <v>1.011290322580645</v>
      </c>
      <c r="D8" t="n">
        <v>0.335516129032258</v>
      </c>
    </row>
    <row r="9">
      <c r="A9" s="12" t="n">
        <v>44409</v>
      </c>
      <c r="B9" t="n">
        <v>1.470677419354839</v>
      </c>
      <c r="C9" t="n">
        <v>1.006354838709677</v>
      </c>
      <c r="D9" t="n">
        <v>0.325774193548387</v>
      </c>
    </row>
    <row r="10">
      <c r="A10" s="12" t="n">
        <v>44440</v>
      </c>
      <c r="B10" t="n">
        <v>1.4215</v>
      </c>
      <c r="C10" t="n">
        <v>0.8623</v>
      </c>
      <c r="D10" t="n">
        <v>0.33</v>
      </c>
    </row>
    <row r="11">
      <c r="A11" s="12" t="n">
        <v>44470</v>
      </c>
      <c r="B11" t="n">
        <v>1.523870967741935</v>
      </c>
      <c r="C11" t="n">
        <v>0.9503225806451613</v>
      </c>
      <c r="D11" t="n">
        <v>0.2936774193548387</v>
      </c>
    </row>
    <row r="12">
      <c r="A12" s="12" t="n">
        <v>44501</v>
      </c>
      <c r="B12" t="n">
        <v>1.421066666666667</v>
      </c>
      <c r="C12" t="n">
        <v>0.8767333333333334</v>
      </c>
      <c r="D12" t="n">
        <v>0.2597666666666666</v>
      </c>
    </row>
    <row r="13">
      <c r="A13" s="12" t="n">
        <v>44531</v>
      </c>
      <c r="B13" t="n">
        <v>1.446677419354839</v>
      </c>
      <c r="C13" t="n">
        <v>0.7382903225806451</v>
      </c>
      <c r="D13" t="n">
        <v>0.2207741935483871</v>
      </c>
    </row>
    <row r="14">
      <c r="A14" s="12" t="n">
        <v>44562</v>
      </c>
      <c r="B14" t="n">
        <v>1.524612903225806</v>
      </c>
      <c r="C14" t="n">
        <v>0.754741935483871</v>
      </c>
      <c r="D14" t="n">
        <v>0.283258064516129</v>
      </c>
    </row>
    <row r="15">
      <c r="A15" s="12" t="n">
        <v>44593</v>
      </c>
      <c r="B15" t="n">
        <v>1.550178571428571</v>
      </c>
      <c r="C15" t="n">
        <v>0.8596785714285714</v>
      </c>
      <c r="D15" t="n">
        <v>0.3171785714285714</v>
      </c>
    </row>
    <row r="16">
      <c r="A16" s="12" t="n">
        <v>44621</v>
      </c>
      <c r="B16" t="n">
        <v>1.536838709677419</v>
      </c>
      <c r="C16" t="n">
        <v>0.8459354838709677</v>
      </c>
      <c r="D16" t="n">
        <v>0.2851612903225807</v>
      </c>
    </row>
    <row r="17">
      <c r="A17" s="12" t="n">
        <v>44652</v>
      </c>
      <c r="B17" t="n">
        <v>1.345766666666667</v>
      </c>
      <c r="C17" t="n">
        <v>1.0392</v>
      </c>
      <c r="D17" t="n">
        <v>0.3394333333333334</v>
      </c>
    </row>
    <row r="18">
      <c r="A18" s="12" t="n">
        <v>44682</v>
      </c>
      <c r="B18" t="n">
        <v>1.406064516129032</v>
      </c>
      <c r="C18" t="n">
        <v>1.035161290322581</v>
      </c>
      <c r="D18" t="n">
        <v>0.3639354838709677</v>
      </c>
    </row>
    <row r="19">
      <c r="A19" s="12" t="n">
        <v>44713</v>
      </c>
      <c r="B19" t="n">
        <v>1.456233333333333</v>
      </c>
      <c r="C19" t="n">
        <v>0.8925</v>
      </c>
      <c r="D19" t="n">
        <v>0.3253333333333333</v>
      </c>
    </row>
    <row r="20">
      <c r="A20" s="12" t="n">
        <v>44743</v>
      </c>
      <c r="B20" t="n">
        <v>1.46841935483871</v>
      </c>
      <c r="C20" t="n">
        <v>0.983741935483871</v>
      </c>
      <c r="D20" t="n">
        <v>0.3655161290322581</v>
      </c>
    </row>
    <row r="21">
      <c r="A21" s="12" t="n">
        <v>44774</v>
      </c>
      <c r="B21" t="n">
        <v>1.492322580645161</v>
      </c>
      <c r="C21" t="n">
        <v>0.9318709677419355</v>
      </c>
      <c r="D21" t="n">
        <v>0.3667096774193548</v>
      </c>
    </row>
    <row r="22">
      <c r="A22" s="12" t="n">
        <v>44805</v>
      </c>
      <c r="B22" t="n">
        <v>1.498766666666667</v>
      </c>
      <c r="C22" t="n">
        <v>0.952</v>
      </c>
      <c r="D22" t="n">
        <v>0.3091666666666667</v>
      </c>
    </row>
    <row r="23">
      <c r="A23" s="12" t="n">
        <v>44835</v>
      </c>
      <c r="B23" t="n">
        <v>1.566935483870968</v>
      </c>
      <c r="C23" t="n">
        <v>0.9549677419354839</v>
      </c>
      <c r="D23" t="n">
        <v>0.2187741935483871</v>
      </c>
    </row>
    <row r="24">
      <c r="A24" s="12" t="n">
        <v>44866</v>
      </c>
      <c r="B24" t="n">
        <v>1.625166666666667</v>
      </c>
      <c r="C24" t="n">
        <v>0.876</v>
      </c>
      <c r="D24" t="n">
        <v>0.2498</v>
      </c>
    </row>
    <row r="25">
      <c r="A25" s="12" t="n">
        <v>44896</v>
      </c>
      <c r="B25" t="n">
        <v>1.527290322580645</v>
      </c>
      <c r="C25" t="n">
        <v>0.6906129032258065</v>
      </c>
      <c r="D25" t="n">
        <v>0.3056129032258065</v>
      </c>
    </row>
    <row r="26">
      <c r="A26" s="12" t="n">
        <v>44927</v>
      </c>
      <c r="B26" t="n">
        <v>1.516612903225806</v>
      </c>
      <c r="C26" t="n">
        <v>0.9337741935483871</v>
      </c>
      <c r="D26" t="n">
        <v>0.2573548387096775</v>
      </c>
    </row>
    <row r="27">
      <c r="A27" s="12" t="n">
        <v>44958</v>
      </c>
      <c r="B27" t="n">
        <v>1.485142857142857</v>
      </c>
      <c r="C27" t="n">
        <v>0.8648928571428571</v>
      </c>
      <c r="D27" t="n">
        <v>0.3575357142857143</v>
      </c>
    </row>
    <row r="28">
      <c r="A28" s="12" t="n">
        <v>44986</v>
      </c>
      <c r="B28" t="n">
        <v>1.611193548387097</v>
      </c>
      <c r="C28" t="n">
        <v>0.8901290322580645</v>
      </c>
      <c r="D28" t="n">
        <v>0.354741935483871</v>
      </c>
    </row>
    <row r="29">
      <c r="A29" s="12" t="n">
        <v>45017</v>
      </c>
      <c r="B29" t="n">
        <v>1.508833333333333</v>
      </c>
      <c r="C29" t="n">
        <v>0.9881</v>
      </c>
      <c r="D29" t="n">
        <v>0.2558333333333334</v>
      </c>
    </row>
    <row r="30">
      <c r="A30" s="12" t="n">
        <v>45047</v>
      </c>
      <c r="B30" t="n">
        <v>1.600225806451613</v>
      </c>
      <c r="C30" t="n">
        <v>1.009903225806452</v>
      </c>
      <c r="D30" t="n">
        <v>0.3298387096774194</v>
      </c>
    </row>
    <row r="31">
      <c r="A31" s="12" t="n">
        <v>45078</v>
      </c>
      <c r="B31" t="n">
        <v>1.7055</v>
      </c>
      <c r="C31" t="n">
        <v>1.249266666666667</v>
      </c>
      <c r="D31" t="n">
        <v>0.4132333333333333</v>
      </c>
    </row>
    <row r="32">
      <c r="A32" s="12" t="n">
        <v>45108</v>
      </c>
      <c r="B32" t="n">
        <v>1.642709677419355</v>
      </c>
      <c r="C32" t="n">
        <v>1.090967741935484</v>
      </c>
      <c r="D32" t="n">
        <v>0.3894193548387097</v>
      </c>
    </row>
    <row r="33">
      <c r="A33" s="12" t="n">
        <v>45139</v>
      </c>
      <c r="B33" t="n">
        <v>1.645032258064516</v>
      </c>
      <c r="C33" t="n">
        <v>1.11258064516129</v>
      </c>
      <c r="D33" t="n">
        <v>0.4156129032258065</v>
      </c>
    </row>
    <row r="34">
      <c r="A34" s="12" t="n">
        <v>45170</v>
      </c>
      <c r="B34" t="n">
        <v>1.6368</v>
      </c>
      <c r="C34" t="n">
        <v>1.058233333333333</v>
      </c>
      <c r="D34" t="n">
        <v>0.4297</v>
      </c>
    </row>
    <row r="35">
      <c r="A35" s="12" t="n">
        <v>45200</v>
      </c>
      <c r="B35" t="n">
        <v>1.571032258064516</v>
      </c>
      <c r="C35" t="n">
        <v>1.082677419354839</v>
      </c>
      <c r="D35" t="n">
        <v>0.4006774193548387</v>
      </c>
    </row>
    <row r="36">
      <c r="A36" s="12" t="n">
        <v>45231</v>
      </c>
      <c r="B36" t="n">
        <v>1.602433333333333</v>
      </c>
      <c r="C36" t="n">
        <v>0.9275333333333333</v>
      </c>
      <c r="D36" t="n">
        <v>0.3788</v>
      </c>
    </row>
    <row r="37">
      <c r="A37" s="12" t="n">
        <v>45261</v>
      </c>
      <c r="B37" t="n">
        <v>1.583709677419355</v>
      </c>
      <c r="C37" t="n">
        <v>0.807483870967742</v>
      </c>
      <c r="D37" t="n">
        <v>0.3429677419354838</v>
      </c>
    </row>
    <row r="38">
      <c r="A38" s="12" t="n">
        <v>45292</v>
      </c>
      <c r="B38" t="n">
        <v>1.757193548387097</v>
      </c>
      <c r="C38" t="n">
        <v>1.002387096774193</v>
      </c>
      <c r="D38" t="n">
        <v>0.2857096774193548</v>
      </c>
    </row>
    <row r="39">
      <c r="A39" s="12" t="n">
        <v>45323</v>
      </c>
      <c r="B39" t="n">
        <v>1.618758620689655</v>
      </c>
      <c r="C39" t="n">
        <v>0.9475517241379311</v>
      </c>
      <c r="D39" t="n">
        <v>0.3148275862068965</v>
      </c>
    </row>
    <row r="40">
      <c r="A40" s="12" t="n">
        <v>45352</v>
      </c>
      <c r="B40" t="n">
        <v>1.525322580645161</v>
      </c>
      <c r="C40" t="n">
        <v>1.135193548387097</v>
      </c>
      <c r="D40" t="n">
        <v>0.3060322580645162</v>
      </c>
    </row>
    <row r="41">
      <c r="A41" s="12" t="n">
        <v>45383</v>
      </c>
      <c r="B41" t="n">
        <v>1.652733333333333</v>
      </c>
      <c r="C41" t="n">
        <v>1.1453</v>
      </c>
      <c r="D41" t="n">
        <v>0.3897666666666667</v>
      </c>
    </row>
    <row r="42">
      <c r="A42" s="12" t="n">
        <v>45413</v>
      </c>
      <c r="B42" t="n">
        <v>1.650193548387097</v>
      </c>
      <c r="C42" t="n">
        <v>1.215161290322581</v>
      </c>
      <c r="D42" t="n">
        <v>0.3923225806451613</v>
      </c>
    </row>
    <row r="43">
      <c r="A43" s="12" t="n">
        <v>45444</v>
      </c>
      <c r="B43" t="n">
        <v>1.5861</v>
      </c>
      <c r="C43" t="n">
        <v>1.151233333333333</v>
      </c>
      <c r="D43" t="n">
        <v>0.3798</v>
      </c>
    </row>
    <row r="44">
      <c r="A44" s="12" t="n">
        <v>45474</v>
      </c>
      <c r="B44" t="n">
        <v>1.682451612903226</v>
      </c>
      <c r="C44" t="n">
        <v>1.074161290322581</v>
      </c>
      <c r="D44" t="n">
        <v>0.390483870967742</v>
      </c>
    </row>
    <row r="45">
      <c r="A45" s="12" t="n">
        <v>45505</v>
      </c>
      <c r="B45" t="n">
        <v>1.744548387096774</v>
      </c>
      <c r="C45" t="n">
        <v>1.054774193548387</v>
      </c>
      <c r="D45" t="n">
        <v>0.3942258064516129</v>
      </c>
    </row>
    <row r="46">
      <c r="A46" s="12" t="n">
        <v>45536</v>
      </c>
      <c r="B46" t="n">
        <v>1.699233333333333</v>
      </c>
      <c r="C46" t="n">
        <v>1.031033333333333</v>
      </c>
      <c r="D46" t="n">
        <v>0.3609333333333333</v>
      </c>
    </row>
    <row r="47">
      <c r="A47" s="12" t="n">
        <v>45566</v>
      </c>
      <c r="B47" t="n">
        <v>1.608032258064516</v>
      </c>
      <c r="C47" t="n">
        <v>0.9116451612903226</v>
      </c>
      <c r="D47" t="n">
        <v>0.3497096774193548</v>
      </c>
    </row>
    <row r="48">
      <c r="A48" s="12" t="n">
        <v>45597</v>
      </c>
      <c r="B48" t="n">
        <v>1.517733333333333</v>
      </c>
      <c r="C48" t="n">
        <v>0.8977333333333334</v>
      </c>
      <c r="D48" t="n">
        <v>0.3273333333333333</v>
      </c>
    </row>
    <row r="49">
      <c r="A49" s="12" t="n">
        <v>45627</v>
      </c>
      <c r="B49" t="n">
        <v>1.534903225806452</v>
      </c>
      <c r="C49" t="n">
        <v>0.8410967741935484</v>
      </c>
      <c r="D49" t="n">
        <v>0.3216451612903226</v>
      </c>
    </row>
    <row r="50">
      <c r="A50" s="12" t="n">
        <v>45658</v>
      </c>
      <c r="B50" t="n">
        <v>1.686709677419355</v>
      </c>
      <c r="C50" t="n">
        <v>1.095064516129032</v>
      </c>
      <c r="D50" t="n">
        <v>0.3478064516129032</v>
      </c>
    </row>
    <row r="51">
      <c r="A51" s="12" t="n">
        <v>45689</v>
      </c>
      <c r="B51" t="n">
        <v>1.695071428571429</v>
      </c>
      <c r="C51" t="n">
        <v>1.071821428571429</v>
      </c>
      <c r="D51" t="n">
        <v>0.2709642857142857</v>
      </c>
    </row>
    <row r="52">
      <c r="A52" s="12" t="n">
        <v>45717</v>
      </c>
      <c r="B52" t="n">
        <v>1.615935483870968</v>
      </c>
      <c r="C52" t="n">
        <v>0.9162258064516129</v>
      </c>
      <c r="D52" t="n">
        <v>0.3322258064516129</v>
      </c>
    </row>
    <row r="53">
      <c r="A53" s="12" t="n">
        <v>45748</v>
      </c>
      <c r="B53" t="n">
        <v>1.671866666666667</v>
      </c>
      <c r="C53" t="n">
        <v>1.223</v>
      </c>
      <c r="D53" t="n">
        <v>0.3571333333333333</v>
      </c>
    </row>
    <row r="54">
      <c r="A54" s="12" t="n">
        <v>45778</v>
      </c>
      <c r="B54" t="n">
        <v>1.865354838709677</v>
      </c>
      <c r="C54" t="n">
        <v>1.246354838709677</v>
      </c>
      <c r="D54" t="n">
        <v>0.4121290322580645</v>
      </c>
    </row>
    <row r="55">
      <c r="A55" s="12" t="n">
        <v>45809</v>
      </c>
      <c r="B55" t="n">
        <v>1.9081</v>
      </c>
      <c r="C55" t="n">
        <v>1.154233333333333</v>
      </c>
      <c r="D55" t="n">
        <v>0.3838</v>
      </c>
    </row>
    <row r="56">
      <c r="A56" s="12" t="n">
        <v>45839</v>
      </c>
      <c r="B56" t="n">
        <v>1.718774193548387</v>
      </c>
      <c r="C56" t="n">
        <v>1.039903225806452</v>
      </c>
      <c r="D56" t="n">
        <v>0.3359032258064516</v>
      </c>
    </row>
    <row r="57">
      <c r="A57" s="12" t="n">
        <v>45870</v>
      </c>
      <c r="B57" t="n">
        <v>1.803</v>
      </c>
      <c r="C57" t="n">
        <v>1.195741935483871</v>
      </c>
      <c r="D57" t="n">
        <v>0.3515483870967742</v>
      </c>
    </row>
    <row r="58">
      <c r="A58" s="12" t="n">
        <v>45901</v>
      </c>
      <c r="B58" t="n">
        <v>1.6384</v>
      </c>
      <c r="C58" t="n">
        <v>0.9532</v>
      </c>
      <c r="D58" t="n">
        <v>0.3583333333333333</v>
      </c>
    </row>
    <row r="59">
      <c r="A59" s="12" t="n">
        <v>45931</v>
      </c>
      <c r="B59" t="n">
        <v>1.683806451612903</v>
      </c>
      <c r="C59" t="n">
        <v>0.8150967741935484</v>
      </c>
      <c r="D59" t="n">
        <v>0.3345806451612903</v>
      </c>
    </row>
    <row r="60">
      <c r="A60" s="12" t="n">
        <v>45962</v>
      </c>
      <c r="B60" t="n">
        <v>1.6883</v>
      </c>
      <c r="C60" t="n">
        <v>0.9061</v>
      </c>
      <c r="D60" t="n">
        <v>0.3257</v>
      </c>
    </row>
    <row r="61">
      <c r="A61" s="12" t="n">
        <v>45992</v>
      </c>
      <c r="B61" t="n">
        <v>1.684774193548387</v>
      </c>
      <c r="C61" t="n">
        <v>0.7549354838709676</v>
      </c>
      <c r="D61" t="n">
        <v>0.324741935483871</v>
      </c>
    </row>
    <row r="62">
      <c r="A62" s="12" t="n">
        <v>46023</v>
      </c>
      <c r="B62" t="n">
        <v>1.750032258064516</v>
      </c>
      <c r="C62" t="n">
        <v>0.859</v>
      </c>
      <c r="D62" t="n">
        <v>0.2643225806451613</v>
      </c>
    </row>
    <row r="63">
      <c r="A63" s="12" t="n">
        <v>46054</v>
      </c>
      <c r="B63" t="n">
        <v>1.819571428571429</v>
      </c>
      <c r="C63" t="n">
        <v>0.8906785714285714</v>
      </c>
      <c r="D63" t="n">
        <v>0.2788571428571429</v>
      </c>
    </row>
    <row r="64">
      <c r="A64" s="12" t="n">
        <v>46082</v>
      </c>
      <c r="B64" t="n">
        <v>1.69341935483871</v>
      </c>
      <c r="C64" t="n">
        <v>0.8338387096774194</v>
      </c>
      <c r="D64" t="n">
        <v>0.2413225806451613</v>
      </c>
    </row>
    <row r="65">
      <c r="A65" s="12" t="n">
        <v>46113</v>
      </c>
      <c r="B65" t="n">
        <v>1.6579</v>
      </c>
      <c r="C65" t="n">
        <v>0.8766333333333334</v>
      </c>
      <c r="D65" t="n">
        <v>0.3031333333333333</v>
      </c>
    </row>
    <row r="66">
      <c r="A66" s="12" t="n">
        <v>46143</v>
      </c>
      <c r="B66" t="n">
        <v>1.829774193548387</v>
      </c>
      <c r="C66" t="n">
        <v>1.121903225806452</v>
      </c>
      <c r="D66" t="n">
        <v>0.3647741935483871</v>
      </c>
    </row>
    <row r="67">
      <c r="A67" s="12" t="n">
        <v>46174</v>
      </c>
      <c r="B67" t="n">
        <v>1.834733333333333</v>
      </c>
      <c r="C67" t="n">
        <v>1.1435</v>
      </c>
      <c r="D67" t="n">
        <v>0.3762666666666666</v>
      </c>
    </row>
    <row r="68">
      <c r="A68" s="12" t="n">
        <v>46204</v>
      </c>
      <c r="B68" t="n">
        <v>1.762483870967742</v>
      </c>
      <c r="C68" t="n">
        <v>1.122032258064516</v>
      </c>
      <c r="D68" t="n">
        <v>0.352258064516129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Dry production</t>
        </is>
      </c>
      <c r="C1" t="inlineStr">
        <is>
          <t>Consumption</t>
        </is>
      </c>
      <c r="D1" t="inlineStr">
        <is>
          <t>Exports (Mexico pipeline + LNG)</t>
        </is>
      </c>
      <c r="E1" t="inlineStr">
        <is>
          <t>Residual (net interstate outflow + withheld fuel)</t>
        </is>
      </c>
    </row>
    <row r="2">
      <c r="A2" s="12" t="n">
        <v>44197</v>
      </c>
      <c r="B2" t="n">
        <v>22.10383870967742</v>
      </c>
      <c r="C2" t="n">
        <v>11.67429032258065</v>
      </c>
      <c r="D2" t="n">
        <v>6.371709677419355</v>
      </c>
      <c r="E2" t="n">
        <v>6.098225806451612</v>
      </c>
    </row>
    <row r="3">
      <c r="A3" s="12" t="n">
        <v>44228</v>
      </c>
      <c r="B3" t="n">
        <v>18.401</v>
      </c>
      <c r="C3" t="n">
        <v>11.97196428571429</v>
      </c>
      <c r="D3" t="n">
        <v>4.532999999999999</v>
      </c>
      <c r="E3" t="n">
        <v>5.036678571428572</v>
      </c>
    </row>
    <row r="4">
      <c r="A4" s="12" t="n">
        <v>44256</v>
      </c>
      <c r="B4" t="n">
        <v>22.99258064516129</v>
      </c>
      <c r="C4" t="n">
        <v>9.124516129032257</v>
      </c>
      <c r="D4" t="n">
        <v>6.715709677419357</v>
      </c>
      <c r="E4" t="n">
        <v>6.534322580645162</v>
      </c>
    </row>
    <row r="5">
      <c r="A5" s="12" t="n">
        <v>44287</v>
      </c>
      <c r="B5" t="n">
        <v>23.71223333333333</v>
      </c>
      <c r="C5" t="n">
        <v>9.921433333333333</v>
      </c>
      <c r="D5" t="n">
        <v>6.686833333333333</v>
      </c>
      <c r="E5" t="n">
        <v>6.311833333333337</v>
      </c>
    </row>
    <row r="6">
      <c r="A6" s="12" t="n">
        <v>44317</v>
      </c>
      <c r="B6" t="n">
        <v>23.58770967741935</v>
      </c>
      <c r="C6" t="n">
        <v>9.715548387096774</v>
      </c>
      <c r="D6" t="n">
        <v>6.702096774193548</v>
      </c>
      <c r="E6" t="n">
        <v>5.480612903225806</v>
      </c>
    </row>
    <row r="7">
      <c r="A7" s="12" t="n">
        <v>44348</v>
      </c>
      <c r="B7" t="n">
        <v>23.52116666666667</v>
      </c>
      <c r="C7" t="n">
        <v>11.6426</v>
      </c>
      <c r="D7" t="n">
        <v>6.935333333333334</v>
      </c>
      <c r="E7" t="n">
        <v>5.142000000000005</v>
      </c>
    </row>
    <row r="8">
      <c r="A8" s="12" t="n">
        <v>44378</v>
      </c>
      <c r="B8" t="n">
        <v>23.99703225806451</v>
      </c>
      <c r="C8" t="n">
        <v>12.24674193548387</v>
      </c>
      <c r="D8" t="n">
        <v>6.79416129032258</v>
      </c>
      <c r="E8" t="n">
        <v>5.273290322580643</v>
      </c>
    </row>
    <row r="9">
      <c r="A9" s="12" t="n">
        <v>44409</v>
      </c>
      <c r="B9" t="n">
        <v>24.04129032258064</v>
      </c>
      <c r="C9" t="n">
        <v>12.35361290322581</v>
      </c>
      <c r="D9" t="n">
        <v>6.915806451612903</v>
      </c>
      <c r="E9" t="n">
        <v>5.418193548387094</v>
      </c>
    </row>
    <row r="10">
      <c r="A10" s="12" t="n">
        <v>44440</v>
      </c>
      <c r="B10" t="n">
        <v>24.82143333333334</v>
      </c>
      <c r="C10" t="n">
        <v>11.39013333333333</v>
      </c>
      <c r="D10" t="n">
        <v>6.3831</v>
      </c>
      <c r="E10" t="n">
        <v>5.56266666666667</v>
      </c>
    </row>
    <row r="11">
      <c r="A11" s="12" t="n">
        <v>44470</v>
      </c>
      <c r="B11" t="n">
        <v>24.74848387096774</v>
      </c>
      <c r="C11" t="n">
        <v>10.32216129032258</v>
      </c>
      <c r="D11" t="n">
        <v>6.80141935483871</v>
      </c>
      <c r="E11" t="n">
        <v>6.060161290322582</v>
      </c>
    </row>
    <row r="12">
      <c r="A12" s="12" t="n">
        <v>44501</v>
      </c>
      <c r="B12" t="n">
        <v>24.64196666666667</v>
      </c>
      <c r="C12" t="n">
        <v>10.1612</v>
      </c>
      <c r="D12" t="n">
        <v>6.143733333333334</v>
      </c>
      <c r="E12" t="n">
        <v>8.157533333333333</v>
      </c>
    </row>
    <row r="13">
      <c r="A13" s="12" t="n">
        <v>44531</v>
      </c>
      <c r="B13" t="n">
        <v>24.995</v>
      </c>
      <c r="C13" t="n">
        <v>10.28545161290323</v>
      </c>
      <c r="D13" t="n">
        <v>6.643645161290323</v>
      </c>
      <c r="E13" t="n">
        <v>8.045451612903227</v>
      </c>
    </row>
    <row r="14">
      <c r="A14" s="12" t="n">
        <v>44562</v>
      </c>
      <c r="B14" t="n">
        <v>23.17987096774193</v>
      </c>
      <c r="C14" t="n">
        <v>11.75564516129032</v>
      </c>
      <c r="D14" t="n">
        <v>6.783000000000001</v>
      </c>
      <c r="E14" t="n">
        <v>8.126870967741933</v>
      </c>
    </row>
    <row r="15">
      <c r="A15" s="12" t="n">
        <v>44593</v>
      </c>
      <c r="B15" t="n">
        <v>24.34007142857143</v>
      </c>
      <c r="C15" t="n">
        <v>12.22682142857143</v>
      </c>
      <c r="D15" t="n">
        <v>7.041678571428571</v>
      </c>
      <c r="E15" t="n">
        <v>8.012892857142853</v>
      </c>
    </row>
    <row r="16">
      <c r="A16" s="12" t="n">
        <v>44621</v>
      </c>
      <c r="B16" t="n">
        <v>24.87987096774194</v>
      </c>
      <c r="C16" t="n">
        <v>10.106</v>
      </c>
      <c r="D16" t="n">
        <v>6.693032258064516</v>
      </c>
      <c r="E16" t="n">
        <v>8.073709677419357</v>
      </c>
    </row>
    <row r="17">
      <c r="A17" s="12" t="n">
        <v>44652</v>
      </c>
      <c r="B17" t="n">
        <v>25.36933333333333</v>
      </c>
      <c r="C17" t="n">
        <v>9.650833333333335</v>
      </c>
      <c r="D17" t="n">
        <v>5.979966666666668</v>
      </c>
      <c r="E17" t="n">
        <v>8.248133333333332</v>
      </c>
    </row>
    <row r="18">
      <c r="A18" s="12" t="n">
        <v>44682</v>
      </c>
      <c r="B18" t="n">
        <v>24.7518064516129</v>
      </c>
      <c r="C18" t="n">
        <v>10.76425806451613</v>
      </c>
      <c r="D18" t="n">
        <v>6.855870967741936</v>
      </c>
      <c r="E18" t="n">
        <v>6.135677419354837</v>
      </c>
    </row>
    <row r="19">
      <c r="A19" s="12" t="n">
        <v>44713</v>
      </c>
      <c r="B19" t="n">
        <v>24.54246666666667</v>
      </c>
      <c r="C19" t="n">
        <v>12.13486666666667</v>
      </c>
      <c r="D19" t="n">
        <v>5.3788</v>
      </c>
      <c r="E19" t="n">
        <v>6.357433333333331</v>
      </c>
    </row>
    <row r="20">
      <c r="A20" s="12" t="n">
        <v>44743</v>
      </c>
      <c r="B20" t="n">
        <v>24.48077419354838</v>
      </c>
      <c r="C20" t="n">
        <v>13.17945161290323</v>
      </c>
      <c r="D20" t="n">
        <v>4.854774193548387</v>
      </c>
      <c r="E20" t="n">
        <v>6.632387096774192</v>
      </c>
    </row>
    <row r="21">
      <c r="A21" s="12" t="n">
        <v>44774</v>
      </c>
      <c r="B21" t="n">
        <v>25.02229032258064</v>
      </c>
      <c r="C21" t="n">
        <v>12.92409677419355</v>
      </c>
      <c r="D21" t="n">
        <v>4.83916129032258</v>
      </c>
      <c r="E21" t="n">
        <v>7.271225806451612</v>
      </c>
    </row>
    <row r="22">
      <c r="A22" s="12" t="n">
        <v>44805</v>
      </c>
      <c r="B22" t="n">
        <v>25.65153333333333</v>
      </c>
      <c r="C22" t="n">
        <v>11.7547</v>
      </c>
      <c r="D22" t="n">
        <v>4.756766666666666</v>
      </c>
      <c r="E22" t="n">
        <v>7.675599999999999</v>
      </c>
    </row>
    <row r="23">
      <c r="A23" s="12" t="n">
        <v>44835</v>
      </c>
      <c r="B23" t="n">
        <v>25.33190322580645</v>
      </c>
      <c r="C23" t="n">
        <v>10.47748387096774</v>
      </c>
      <c r="D23" t="n">
        <v>4.900677419354839</v>
      </c>
      <c r="E23" t="n">
        <v>7.939709677419351</v>
      </c>
    </row>
    <row r="24">
      <c r="A24" s="12" t="n">
        <v>44866</v>
      </c>
      <c r="B24" t="n">
        <v>25.37643333333333</v>
      </c>
      <c r="C24" t="n">
        <v>11.34083333333333</v>
      </c>
      <c r="D24" t="n">
        <v>4.6569</v>
      </c>
      <c r="E24" t="n">
        <v>9.2417</v>
      </c>
    </row>
    <row r="25">
      <c r="A25" s="12" t="n">
        <v>44896</v>
      </c>
      <c r="B25" t="n">
        <v>25.55032258064516</v>
      </c>
      <c r="C25" t="n">
        <v>11.76351612903226</v>
      </c>
      <c r="D25" t="n">
        <v>4.597064516129032</v>
      </c>
      <c r="E25" t="n">
        <v>10.07793548387097</v>
      </c>
    </row>
    <row r="26">
      <c r="A26" s="12" t="n">
        <v>44927</v>
      </c>
      <c r="B26" t="n">
        <v>25.18170967741936</v>
      </c>
      <c r="C26" t="n">
        <v>11.61961290322581</v>
      </c>
      <c r="D26" t="n">
        <v>4.730354838709677</v>
      </c>
      <c r="E26" t="n">
        <v>9.574129032258067</v>
      </c>
    </row>
    <row r="27">
      <c r="A27" s="12" t="n">
        <v>44958</v>
      </c>
      <c r="B27" t="n">
        <v>25.22707142857143</v>
      </c>
      <c r="C27" t="n">
        <v>11.82910714285714</v>
      </c>
      <c r="D27" t="n">
        <v>5.413857142857143</v>
      </c>
      <c r="E27" t="n">
        <v>8.55892857142857</v>
      </c>
    </row>
    <row r="28">
      <c r="A28" s="12" t="n">
        <v>44986</v>
      </c>
      <c r="B28" t="n">
        <v>26.69438709677419</v>
      </c>
      <c r="C28" t="n">
        <v>10.60835483870968</v>
      </c>
      <c r="D28" t="n">
        <v>5.959903225806451</v>
      </c>
      <c r="E28" t="n">
        <v>9.605612903225804</v>
      </c>
    </row>
    <row r="29">
      <c r="A29" s="12" t="n">
        <v>45017</v>
      </c>
      <c r="B29" t="n">
        <v>26.09276666666667</v>
      </c>
      <c r="C29" t="n">
        <v>10.31606666666667</v>
      </c>
      <c r="D29" t="n">
        <v>6.690333333333334</v>
      </c>
      <c r="E29" t="n">
        <v>8.340066666666663</v>
      </c>
    </row>
    <row r="30">
      <c r="A30" s="12" t="n">
        <v>45047</v>
      </c>
      <c r="B30" t="n">
        <v>26.302</v>
      </c>
      <c r="C30" t="n">
        <v>11.55945161290323</v>
      </c>
      <c r="D30" t="n">
        <v>7.010032258064515</v>
      </c>
      <c r="E30" t="n">
        <v>6.620774193548387</v>
      </c>
    </row>
    <row r="31">
      <c r="A31" s="12" t="n">
        <v>45078</v>
      </c>
      <c r="B31" t="n">
        <v>25.9884</v>
      </c>
      <c r="C31" t="n">
        <v>12.99353333333333</v>
      </c>
      <c r="D31" t="n">
        <v>7.560366666666667</v>
      </c>
      <c r="E31" t="n">
        <v>5.077033333333334</v>
      </c>
    </row>
    <row r="32">
      <c r="A32" s="12" t="n">
        <v>45108</v>
      </c>
      <c r="B32" t="n">
        <v>26.24264516129032</v>
      </c>
      <c r="C32" t="n">
        <v>13.53758064516129</v>
      </c>
      <c r="D32" t="n">
        <v>6.935548387096775</v>
      </c>
      <c r="E32" t="n">
        <v>6.333516129032258</v>
      </c>
    </row>
    <row r="33">
      <c r="A33" s="12" t="n">
        <v>45139</v>
      </c>
      <c r="B33" t="n">
        <v>26.59361290322581</v>
      </c>
      <c r="C33" t="n">
        <v>14.67709677419355</v>
      </c>
      <c r="D33" t="n">
        <v>7.169645161290322</v>
      </c>
      <c r="E33" t="n">
        <v>6.160774193548386</v>
      </c>
    </row>
    <row r="34">
      <c r="A34" s="12" t="n">
        <v>45170</v>
      </c>
      <c r="B34" t="n">
        <v>26.9492</v>
      </c>
      <c r="C34" t="n">
        <v>13.15623333333333</v>
      </c>
      <c r="D34" t="n">
        <v>6.905233333333333</v>
      </c>
      <c r="E34" t="n">
        <v>6.6517</v>
      </c>
    </row>
    <row r="35">
      <c r="A35" s="12" t="n">
        <v>45200</v>
      </c>
      <c r="B35" t="n">
        <v>26.96512903225807</v>
      </c>
      <c r="C35" t="n">
        <v>11.15516129032258</v>
      </c>
      <c r="D35" t="n">
        <v>7.162903225806452</v>
      </c>
      <c r="E35" t="n">
        <v>7.099290322580643</v>
      </c>
    </row>
    <row r="36">
      <c r="A36" s="12" t="n">
        <v>45231</v>
      </c>
      <c r="B36" t="n">
        <v>27.1668</v>
      </c>
      <c r="C36" t="n">
        <v>11.66476666666667</v>
      </c>
      <c r="D36" t="n">
        <v>7.061433333333333</v>
      </c>
      <c r="E36" t="n">
        <v>8.072033333333332</v>
      </c>
    </row>
    <row r="37">
      <c r="A37" s="12" t="n">
        <v>45261</v>
      </c>
      <c r="B37" t="n">
        <v>27.04570967741936</v>
      </c>
      <c r="C37" t="n">
        <v>11.97922580645161</v>
      </c>
      <c r="D37" t="n">
        <v>7.102967741935483</v>
      </c>
      <c r="E37" t="n">
        <v>8.052645161290322</v>
      </c>
    </row>
    <row r="38">
      <c r="A38" s="12" t="n">
        <v>45292</v>
      </c>
      <c r="B38" t="n">
        <v>25.127</v>
      </c>
      <c r="C38" t="n">
        <v>13.93796774193548</v>
      </c>
      <c r="D38" t="n">
        <v>6.718354838709677</v>
      </c>
      <c r="E38" t="n">
        <v>7.507354838709675</v>
      </c>
    </row>
    <row r="39">
      <c r="A39" s="12" t="n">
        <v>45323</v>
      </c>
      <c r="B39" t="n">
        <v>26.47165517241379</v>
      </c>
      <c r="C39" t="n">
        <v>11.41420689655173</v>
      </c>
      <c r="D39" t="n">
        <v>6.234310344827588</v>
      </c>
      <c r="E39" t="n">
        <v>8.416275862068964</v>
      </c>
    </row>
    <row r="40">
      <c r="A40" s="12" t="n">
        <v>45352</v>
      </c>
      <c r="B40" t="n">
        <v>26.71183870967742</v>
      </c>
      <c r="C40" t="n">
        <v>11.21325806451613</v>
      </c>
      <c r="D40" t="n">
        <v>5.790290322580645</v>
      </c>
      <c r="E40" t="n">
        <v>8.522903225806452</v>
      </c>
    </row>
    <row r="41">
      <c r="A41" s="12" t="n">
        <v>45383</v>
      </c>
      <c r="B41" t="n">
        <v>26.68763333333333</v>
      </c>
      <c r="C41" t="n">
        <v>10.7466</v>
      </c>
      <c r="D41" t="n">
        <v>5.2171</v>
      </c>
      <c r="E41" t="n">
        <v>9.7454</v>
      </c>
    </row>
    <row r="42">
      <c r="A42" s="12" t="n">
        <v>45413</v>
      </c>
      <c r="B42" t="n">
        <v>27.57170967741936</v>
      </c>
      <c r="C42" t="n">
        <v>11.91341935483871</v>
      </c>
      <c r="D42" t="n">
        <v>7.024096774193548</v>
      </c>
      <c r="E42" t="n">
        <v>7.972129032258064</v>
      </c>
    </row>
    <row r="43">
      <c r="A43" s="12" t="n">
        <v>45444</v>
      </c>
      <c r="B43" t="n">
        <v>27.7913</v>
      </c>
      <c r="C43" t="n">
        <v>13.05013333333333</v>
      </c>
      <c r="D43" t="n">
        <v>7.4351</v>
      </c>
      <c r="E43" t="n">
        <v>7.085899999999999</v>
      </c>
    </row>
    <row r="44">
      <c r="A44" s="12" t="n">
        <v>45474</v>
      </c>
      <c r="B44" t="n">
        <v>27.72906451612904</v>
      </c>
      <c r="C44" t="n">
        <v>13.42690322580645</v>
      </c>
      <c r="D44" t="n">
        <v>5.797516129032259</v>
      </c>
      <c r="E44" t="n">
        <v>9.039516129032263</v>
      </c>
    </row>
    <row r="45">
      <c r="A45" s="12" t="n">
        <v>45505</v>
      </c>
      <c r="B45" t="n">
        <v>27.9198064516129</v>
      </c>
      <c r="C45" t="n">
        <v>14.60748387096774</v>
      </c>
      <c r="D45" t="n">
        <v>7.272516129032257</v>
      </c>
      <c r="E45" t="n">
        <v>7.639225806451612</v>
      </c>
    </row>
    <row r="46">
      <c r="A46" s="12" t="n">
        <v>45536</v>
      </c>
      <c r="B46" t="n">
        <v>28.2645</v>
      </c>
      <c r="C46" t="n">
        <v>13.06096666666667</v>
      </c>
      <c r="D46" t="n">
        <v>7.3454</v>
      </c>
      <c r="E46" t="n">
        <v>7.562166666666671</v>
      </c>
    </row>
    <row r="47">
      <c r="A47" s="12" t="n">
        <v>45566</v>
      </c>
      <c r="B47" t="n">
        <v>28.559</v>
      </c>
      <c r="C47" t="n">
        <v>11.90767741935484</v>
      </c>
      <c r="D47" t="n">
        <v>7.250387096774194</v>
      </c>
      <c r="E47" t="n">
        <v>7.605387096774196</v>
      </c>
    </row>
    <row r="48">
      <c r="A48" s="12" t="n">
        <v>45597</v>
      </c>
      <c r="B48" t="n">
        <v>28.28536666666666</v>
      </c>
      <c r="C48" t="n">
        <v>11.44886666666667</v>
      </c>
      <c r="D48" t="n">
        <v>6.779833333333332</v>
      </c>
      <c r="E48" t="n">
        <v>9.496733333333331</v>
      </c>
    </row>
    <row r="49">
      <c r="A49" s="12" t="n">
        <v>45627</v>
      </c>
      <c r="B49" t="n">
        <v>28.49945161290323</v>
      </c>
      <c r="C49" t="n">
        <v>12.28451612903226</v>
      </c>
      <c r="D49" t="n">
        <v>7.06425806451613</v>
      </c>
      <c r="E49" t="n">
        <v>9.575709677419356</v>
      </c>
    </row>
    <row r="50">
      <c r="A50" s="12" t="n">
        <v>45658</v>
      </c>
      <c r="B50" t="n">
        <v>28.24405679752158</v>
      </c>
      <c r="C50" t="n">
        <v>14.83267741935484</v>
      </c>
      <c r="D50" t="n">
        <v>6.940838709677418</v>
      </c>
      <c r="E50" t="n">
        <v>10.11747615236029</v>
      </c>
    </row>
    <row r="51">
      <c r="A51" s="12" t="n">
        <v>45689</v>
      </c>
      <c r="B51" t="n">
        <v>28.33351354931359</v>
      </c>
      <c r="C51" t="n">
        <v>13.56896428571429</v>
      </c>
      <c r="D51" t="n">
        <v>7.612035714285715</v>
      </c>
      <c r="E51" t="n">
        <v>9.921906406456447</v>
      </c>
    </row>
    <row r="52">
      <c r="A52" s="12" t="n">
        <v>45717</v>
      </c>
      <c r="B52" t="n">
        <v>28.42087368859537</v>
      </c>
      <c r="C52" t="n">
        <v>10.40090322580645</v>
      </c>
      <c r="D52" t="n">
        <v>7.083161290322581</v>
      </c>
      <c r="E52" t="n">
        <v>9.522422075692145</v>
      </c>
    </row>
    <row r="53">
      <c r="A53" s="12" t="n">
        <v>45748</v>
      </c>
      <c r="B53" t="n">
        <v>28.66872758850139</v>
      </c>
      <c r="C53" t="n">
        <v>10.7925</v>
      </c>
      <c r="D53" t="n">
        <v>7.672999999999999</v>
      </c>
      <c r="E53" t="n">
        <v>8.801827588501393</v>
      </c>
    </row>
    <row r="54">
      <c r="A54" s="12" t="n">
        <v>45778</v>
      </c>
      <c r="B54" t="n">
        <v>28.39991141756023</v>
      </c>
      <c r="C54" t="n">
        <v>11.9518064516129</v>
      </c>
      <c r="D54" t="n">
        <v>7.648354838709679</v>
      </c>
      <c r="E54" t="n">
        <v>7.201104965947325</v>
      </c>
    </row>
    <row r="55">
      <c r="A55" s="12" t="n">
        <v>45809</v>
      </c>
      <c r="B55" t="n">
        <v>28.79030246552894</v>
      </c>
      <c r="C55" t="n">
        <v>12.51576666666667</v>
      </c>
      <c r="D55" t="n">
        <v>7.758299999999999</v>
      </c>
      <c r="E55" t="n">
        <v>7.301769132195609</v>
      </c>
    </row>
    <row r="56">
      <c r="A56" s="12" t="n">
        <v>45839</v>
      </c>
      <c r="B56" t="n">
        <v>29.17521868269277</v>
      </c>
      <c r="C56" t="n">
        <v>13.17793548387097</v>
      </c>
      <c r="D56" t="n">
        <v>7.220451612903226</v>
      </c>
      <c r="E56" t="n">
        <v>8.551444489144387</v>
      </c>
    </row>
    <row r="57">
      <c r="A57" s="12" t="n">
        <v>45870</v>
      </c>
      <c r="B57" t="n">
        <v>29.48895130800512</v>
      </c>
      <c r="C57" t="n">
        <v>13.83638709677419</v>
      </c>
      <c r="D57" t="n">
        <v>7.449516129032258</v>
      </c>
      <c r="E57" t="n">
        <v>8.615048082198665</v>
      </c>
    </row>
    <row r="58">
      <c r="A58" s="12" t="n">
        <v>45901</v>
      </c>
      <c r="B58" t="n">
        <v>29.45501958725445</v>
      </c>
      <c r="C58" t="n">
        <v>13.08006666666667</v>
      </c>
      <c r="D58" t="n">
        <v>7.284566666666668</v>
      </c>
      <c r="E58" t="n">
        <v>8.700552920587789</v>
      </c>
    </row>
    <row r="59">
      <c r="A59" s="12" t="n">
        <v>45931</v>
      </c>
      <c r="B59" t="n">
        <v>29.14146861697209</v>
      </c>
      <c r="C59" t="n">
        <v>11.65106451612903</v>
      </c>
      <c r="D59" t="n">
        <v>7.552612903225807</v>
      </c>
      <c r="E59" t="n">
        <v>8.881017004068866</v>
      </c>
    </row>
    <row r="60">
      <c r="A60" s="12" t="n">
        <v>45962</v>
      </c>
      <c r="B60" t="n">
        <v>29.76337540353552</v>
      </c>
      <c r="C60" t="n">
        <v>11.42233333333333</v>
      </c>
      <c r="D60" t="n">
        <v>7.893066666666666</v>
      </c>
      <c r="E60" t="n">
        <v>9.594142070202189</v>
      </c>
    </row>
    <row r="61">
      <c r="A61" s="12" t="n">
        <v>45992</v>
      </c>
      <c r="B61" t="n">
        <v>30.07883555019745</v>
      </c>
      <c r="C61" t="n">
        <v>12.45961290322581</v>
      </c>
      <c r="D61" t="n">
        <v>7.926451612903226</v>
      </c>
      <c r="E61" t="n">
        <v>11.51728716310067</v>
      </c>
    </row>
    <row r="62">
      <c r="A62" s="12" t="n">
        <v>46023</v>
      </c>
      <c r="B62" t="n">
        <v>29.03649539097756</v>
      </c>
      <c r="C62" t="n">
        <v>13.65038709677419</v>
      </c>
      <c r="D62" t="n">
        <v>7.623354838709677</v>
      </c>
      <c r="E62" t="n">
        <v>11.39923732646143</v>
      </c>
    </row>
    <row r="63">
      <c r="A63" s="12" t="n">
        <v>46054</v>
      </c>
      <c r="B63" t="n">
        <v>29.89721649149912</v>
      </c>
      <c r="C63" t="n">
        <v>11.87410714285714</v>
      </c>
      <c r="D63" t="n">
        <v>8.271500000000001</v>
      </c>
      <c r="E63" t="n">
        <v>11.03396649149912</v>
      </c>
    </row>
    <row r="64">
      <c r="A64" s="12" t="n">
        <v>46082</v>
      </c>
      <c r="B64" t="n">
        <v>30.04411425956394</v>
      </c>
      <c r="C64" t="n">
        <v>10.87938709677419</v>
      </c>
      <c r="D64" t="n">
        <v>8.104032258064517</v>
      </c>
      <c r="E64" t="n">
        <v>10.04572716278975</v>
      </c>
    </row>
    <row r="65">
      <c r="A65" s="12" t="n">
        <v>46113</v>
      </c>
      <c r="B65" t="n">
        <v>30.27805446331141</v>
      </c>
      <c r="C65" t="n">
        <v>11.3438</v>
      </c>
      <c r="D65" t="n">
        <v>8.155133333333334</v>
      </c>
      <c r="E65" t="n">
        <v>9.822287796644749</v>
      </c>
    </row>
    <row r="66">
      <c r="A66" s="12" t="n">
        <v>46143</v>
      </c>
      <c r="B66" t="n">
        <v>30.03561604157672</v>
      </c>
      <c r="C66" t="n">
        <v>12.00083870967742</v>
      </c>
      <c r="D66" t="n">
        <v>8.121</v>
      </c>
      <c r="E66" t="n">
        <v>9.005809589963821</v>
      </c>
    </row>
    <row r="67">
      <c r="A67" s="12" t="n">
        <v>46174</v>
      </c>
      <c r="B67" t="n">
        <v>30.44816450679276</v>
      </c>
      <c r="C67" t="n">
        <v>13.13166666666667</v>
      </c>
      <c r="D67" t="n">
        <v>8.451633333333334</v>
      </c>
      <c r="E67" t="n">
        <v>8.240764506792758</v>
      </c>
    </row>
    <row r="68">
      <c r="A68" s="12" t="n">
        <v>46204</v>
      </c>
      <c r="B68" t="n">
        <v>31.2355644213723</v>
      </c>
      <c r="C68" t="n">
        <v>13.7391935483871</v>
      </c>
      <c r="D68" t="n">
        <v>8.266580645161291</v>
      </c>
      <c r="E68" t="n">
        <v>9.149274098791654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1" customWidth="1" min="5" max="5"/>
    <col width="13" customWidth="1" min="6" max="6"/>
    <col width="12" customWidth="1" min="7" max="7"/>
    <col width="30" customWidth="1" min="8" max="8"/>
    <col width="120" customWidth="1" min="9" max="9"/>
  </cols>
  <sheetData>
    <row r="1">
      <c r="A1" s="3" t="inlineStr">
        <is>
          <t>LNG assumptions (yellow cells are editable; the Forecast tab recalculates in Excel)</t>
        </is>
      </c>
    </row>
    <row r="2">
      <c r="A2" t="inlineStr">
        <is>
          <t>Feedgas = LNG exports x ratio. First-LNG month is a real date (type e.g. 2027-04-01). Trains already started keep their date in the delayed scenario.</t>
        </is>
      </c>
    </row>
    <row r="4">
      <c r="A4" t="inlineStr">
        <is>
          <t>Delayed scenario: months of delay</t>
        </is>
      </c>
      <c r="B4" s="4" t="n">
        <v>6</v>
      </c>
      <c r="C4" t="inlineStr">
        <is>
          <t>applied to trains that have not started yet</t>
        </is>
      </c>
    </row>
    <row r="5">
      <c r="A5" t="inlineStr">
        <is>
          <t>Feedgas / export ratio</t>
        </is>
      </c>
      <c r="B5" s="4" t="n">
        <v>1.09</v>
      </c>
      <c r="C5" t="inlineStr">
        <is>
          <t>liquefaction fuel and shrink (~9%), as lng_feedgas_daily.xlsx</t>
        </is>
      </c>
    </row>
    <row r="6">
      <c r="A6" t="inlineStr">
        <is>
          <t>First forecast month</t>
        </is>
      </c>
      <c r="B6" s="12" t="n">
        <v>46235</v>
      </c>
      <c r="C6" t="inlineStr">
        <is>
          <t>set by the script: the month after the last EIA actual (do not edit)</t>
        </is>
      </c>
    </row>
    <row r="10">
      <c r="A10" s="6" t="inlineStr">
        <is>
          <t>New and ramping trains (one row per train; spare rows below can be filled)</t>
        </is>
      </c>
    </row>
    <row r="11" ht="45" customHeight="1">
      <c r="A11" s="7" t="inlineStr">
        <is>
          <t>Plant</t>
        </is>
      </c>
      <c r="B11" s="7" t="inlineStr">
        <is>
          <t>Train</t>
        </is>
      </c>
      <c r="C11" s="7" t="inlineStr">
        <is>
          <t>Nameplate feedgas Bcf/d</t>
        </is>
      </c>
      <c r="D11" s="7" t="inlineStr">
        <is>
          <t>First-LNG month</t>
        </is>
      </c>
      <c r="E11" s="7" t="inlineStr">
        <is>
          <t>Ramp months</t>
        </is>
      </c>
      <c r="F11" s="7" t="inlineStr">
        <is>
          <t>Ramp-start utilisation</t>
        </is>
      </c>
      <c r="G11" s="7" t="inlineStr">
        <is>
          <t>Steady utilisation</t>
        </is>
      </c>
      <c r="H11" s="7" t="inlineStr">
        <is>
          <t>Date status</t>
        </is>
      </c>
      <c r="I11" s="7" t="inlineStr">
        <is>
          <t>Source / status note</t>
        </is>
      </c>
    </row>
    <row r="12">
      <c r="A12" s="4" t="inlineStr">
        <is>
          <t>Corpus Christi</t>
        </is>
      </c>
      <c r="B12" s="4" t="inlineStr">
        <is>
          <t>Midscale Train 8</t>
        </is>
      </c>
      <c r="C12" s="4" t="n">
        <v>0.215</v>
      </c>
      <c r="D12" s="13" t="n">
        <v>46905</v>
      </c>
      <c r="E12" s="4" t="n">
        <v>4</v>
      </c>
      <c r="F12" s="4" t="n">
        <v>0.3</v>
      </c>
      <c r="G12" s="4" t="n">
        <v>1</v>
      </c>
      <c r="H12" t="inlineStr">
        <is>
          <t>unverified (month assumed)</t>
        </is>
      </c>
      <c r="I12" t="inlineStr">
        <is>
          <t>Cheniere: Midscale Trains 8-9 substantial completion 2H 2028 (earlier repo research); steady 1.00 as the plant runs at nameplate</t>
        </is>
      </c>
    </row>
    <row r="13">
      <c r="A13" s="4" t="inlineStr">
        <is>
          <t>Corpus Christi</t>
        </is>
      </c>
      <c r="B13" s="4" t="inlineStr">
        <is>
          <t>Midscale Train 9</t>
        </is>
      </c>
      <c r="C13" s="4" t="n">
        <v>0.215</v>
      </c>
      <c r="D13" s="13" t="n">
        <v>46997</v>
      </c>
      <c r="E13" s="4" t="n">
        <v>4</v>
      </c>
      <c r="F13" s="4" t="n">
        <v>0.3</v>
      </c>
      <c r="G13" s="4" t="n">
        <v>1</v>
      </c>
      <c r="H13" t="inlineStr">
        <is>
          <t>unverified (month assumed)</t>
        </is>
      </c>
      <c r="I13" t="inlineStr">
        <is>
          <t>As Train 8. Not included: Corpus Christi Stage 4 (pre-FID; FERC draft EIS 18 Sep 2026), Texas LNG Brownsville (no FID verified), Freeport Train 4 (shelved)</t>
        </is>
      </c>
    </row>
    <row r="14">
      <c r="A14" s="4" t="inlineStr">
        <is>
          <t>Golden Pass</t>
        </is>
      </c>
      <c r="B14" s="4" t="inlineStr">
        <is>
          <t>Train 1</t>
        </is>
      </c>
      <c r="C14" s="4" t="n">
        <v>0.865</v>
      </c>
      <c r="D14" s="13" t="n">
        <v>45962</v>
      </c>
      <c r="E14" s="4" t="n">
        <v>24</v>
      </c>
      <c r="F14" s="4" t="n">
        <v>0.1</v>
      </c>
      <c r="G14" s="4" t="n">
        <v>0.9</v>
      </c>
      <c r="H14" t="inlineStr">
        <is>
          <t>actual (first LNG Nov 2025)</t>
        </is>
      </c>
      <c r="I14" t="inlineStr">
        <is>
          <t>Started Nov 2025 (lng_feedgas_daily Train start-ups); slow ramp: 0.12-0.24 Bcf/d of exports Apr-Jul 2026, 0.33 Bcf/d metered Sep 2026</t>
        </is>
      </c>
    </row>
    <row r="15">
      <c r="A15" s="4" t="inlineStr">
        <is>
          <t>Golden Pass</t>
        </is>
      </c>
      <c r="B15" s="4" t="inlineStr">
        <is>
          <t>Train 2</t>
        </is>
      </c>
      <c r="C15" s="4" t="n">
        <v>0.865</v>
      </c>
      <c r="D15" s="13" t="n">
        <v>46357</v>
      </c>
      <c r="E15" s="4" t="n">
        <v>12</v>
      </c>
      <c r="F15" s="4" t="n">
        <v>0.15</v>
      </c>
      <c r="G15" s="4" t="n">
        <v>0.9</v>
      </c>
      <c r="H15" t="inlineStr">
        <is>
          <t>conflicting statements</t>
        </is>
      </c>
      <c r="I15" t="inlineStr">
        <is>
          <t>FERC approved Train 2 commissioning Jun 2026 (Argus); EIA: start-up 2H 2026; ExxonMobil/McDermott: first LNG 1H 2027. Dec 2026 chosen; the 6-month delay case = Jun 2027</t>
        </is>
      </c>
    </row>
    <row r="16">
      <c r="A16" s="4" t="inlineStr">
        <is>
          <t>Golden Pass</t>
        </is>
      </c>
      <c r="B16" s="4" t="inlineStr">
        <is>
          <t>Train 3</t>
        </is>
      </c>
      <c r="C16" s="4" t="n">
        <v>0.865</v>
      </c>
      <c r="D16" s="13" t="n">
        <v>46569</v>
      </c>
      <c r="E16" s="4" t="n">
        <v>12</v>
      </c>
      <c r="F16" s="4" t="n">
        <v>0.15</v>
      </c>
      <c r="G16" s="4" t="n">
        <v>0.9</v>
      </c>
      <c r="H16" t="inlineStr">
        <is>
          <t>unverified</t>
        </is>
      </c>
      <c r="I16" t="inlineStr">
        <is>
          <t>Mechanical completion targeted 2Q 2027 (earlier repo research, not re-verified); EIA has it exporting in 2027</t>
        </is>
      </c>
    </row>
    <row r="17">
      <c r="A17" s="4" t="inlineStr">
        <is>
          <t>Rio Grande</t>
        </is>
      </c>
      <c r="B17" s="4" t="inlineStr">
        <is>
          <t>Train 1</t>
        </is>
      </c>
      <c r="C17" s="4" t="n">
        <v>0.841</v>
      </c>
      <c r="D17" s="13" t="n">
        <v>46478</v>
      </c>
      <c r="E17" s="4" t="n">
        <v>8</v>
      </c>
      <c r="F17" s="4" t="n">
        <v>0.15</v>
      </c>
      <c r="G17" s="4" t="n">
        <v>0.95</v>
      </c>
      <c r="H17" t="inlineStr">
        <is>
          <t>company guidance (month assumed)</t>
        </is>
      </c>
      <c r="I17" t="inlineStr">
        <is>
          <t>NextDecade Q2 2026 update (30 Jul 2026): first gas later in 2026, first LNG from Train 1 in 1H 2027; Trains 1-2 74% complete, ahead of the guaranteed EPC schedule</t>
        </is>
      </c>
    </row>
    <row r="18">
      <c r="A18" s="4" t="inlineStr">
        <is>
          <t>Rio Grande</t>
        </is>
      </c>
      <c r="B18" s="4" t="inlineStr">
        <is>
          <t>Train 2</t>
        </is>
      </c>
      <c r="C18" s="4" t="n">
        <v>0.841</v>
      </c>
      <c r="D18" s="13" t="n">
        <v>46661</v>
      </c>
      <c r="E18" s="4" t="n">
        <v>8</v>
      </c>
      <c r="F18" s="4" t="n">
        <v>0.15</v>
      </c>
      <c r="G18" s="4" t="n">
        <v>0.95</v>
      </c>
      <c r="H18" t="inlineStr">
        <is>
          <t>unverified</t>
        </is>
      </c>
      <c r="I18" t="inlineStr">
        <is>
          <t>Month estimated: EIA has Trains 1-2 exporting in 2027; NextDecade gives no month for Train 2</t>
        </is>
      </c>
    </row>
    <row r="19">
      <c r="A19" s="4" t="inlineStr">
        <is>
          <t>Rio Grande</t>
        </is>
      </c>
      <c r="B19" s="4" t="inlineStr">
        <is>
          <t>Train 3</t>
        </is>
      </c>
      <c r="C19" s="4" t="n">
        <v>0.841</v>
      </c>
      <c r="D19" s="13" t="n">
        <v>46935</v>
      </c>
      <c r="E19" s="4" t="n">
        <v>8</v>
      </c>
      <c r="F19" s="4" t="n">
        <v>0.15</v>
      </c>
      <c r="G19" s="4" t="n">
        <v>0.95</v>
      </c>
      <c r="H19" t="inlineStr">
        <is>
          <t>unverified</t>
        </is>
      </c>
      <c r="I19" t="inlineStr">
        <is>
          <t>Month estimated ~9 months after Train 2; Train 3 more than 50% complete (Jun 2026)</t>
        </is>
      </c>
    </row>
    <row r="20">
      <c r="A20" s="4" t="inlineStr">
        <is>
          <t>Rio Grande</t>
        </is>
      </c>
      <c r="B20" s="4" t="inlineStr">
        <is>
          <t>Train 4</t>
        </is>
      </c>
      <c r="C20" s="4" t="n">
        <v>0.841</v>
      </c>
      <c r="D20" s="13" t="n">
        <v>47665</v>
      </c>
      <c r="E20" s="4" t="n">
        <v>8</v>
      </c>
      <c r="F20" s="4" t="n">
        <v>0.15</v>
      </c>
      <c r="G20" s="4" t="n">
        <v>0.95</v>
      </c>
      <c r="H20" t="inlineStr">
        <is>
          <t>unverified</t>
        </is>
      </c>
      <c r="I20" t="inlineStr">
        <is>
          <t>FID Sep 2025, 15.5% complete (Jun 2026); beyond the forecast horizon</t>
        </is>
      </c>
    </row>
    <row r="21">
      <c r="A21" s="4" t="inlineStr">
        <is>
          <t>Rio Grande</t>
        </is>
      </c>
      <c r="B21" s="4" t="inlineStr">
        <is>
          <t>Train 5</t>
        </is>
      </c>
      <c r="C21" s="4" t="n">
        <v>0.841</v>
      </c>
      <c r="D21" s="13" t="n">
        <v>47849</v>
      </c>
      <c r="E21" s="4" t="n">
        <v>8</v>
      </c>
      <c r="F21" s="4" t="n">
        <v>0.15</v>
      </c>
      <c r="G21" s="4" t="n">
        <v>0.95</v>
      </c>
      <c r="H21" t="inlineStr">
        <is>
          <t>unverified</t>
        </is>
      </c>
      <c r="I21" t="inlineStr">
        <is>
          <t>FID Oct 2025, 9.4% complete (Jun 2026); beyond the forecast horizon</t>
        </is>
      </c>
    </row>
    <row r="22">
      <c r="A22" s="4" t="inlineStr">
        <is>
          <t>Port Arthur</t>
        </is>
      </c>
      <c r="B22" s="4" t="inlineStr">
        <is>
          <t>Train 1</t>
        </is>
      </c>
      <c r="C22" s="4" t="n">
        <v>0.9320000000000001</v>
      </c>
      <c r="D22" s="13" t="n">
        <v>46447</v>
      </c>
      <c r="E22" s="4" t="n">
        <v>8</v>
      </c>
      <c r="F22" s="4" t="n">
        <v>0.15</v>
      </c>
      <c r="G22" s="4" t="n">
        <v>0.95</v>
      </c>
      <c r="H22" t="inlineStr">
        <is>
          <t>unverified (month assumed)</t>
        </is>
      </c>
      <c r="I22" t="inlineStr">
        <is>
          <t>Sempra: Train 1 commercial operations 2027; Argus (2026): commissioning steps under way, ramp-up could begin in Q4 2026. First LNG month assumed</t>
        </is>
      </c>
    </row>
    <row r="23">
      <c r="A23" s="4" t="inlineStr">
        <is>
          <t>Port Arthur</t>
        </is>
      </c>
      <c r="B23" s="4" t="inlineStr">
        <is>
          <t>Train 2</t>
        </is>
      </c>
      <c r="C23" s="4" t="n">
        <v>0.9320000000000001</v>
      </c>
      <c r="D23" s="13" t="n">
        <v>46784</v>
      </c>
      <c r="E23" s="4" t="n">
        <v>8</v>
      </c>
      <c r="F23" s="4" t="n">
        <v>0.15</v>
      </c>
      <c r="G23" s="4" t="n">
        <v>0.95</v>
      </c>
      <c r="H23" t="inlineStr">
        <is>
          <t>unverified (month assumed)</t>
        </is>
      </c>
      <c r="I23" t="inlineStr">
        <is>
          <t>Sempra: Train 2 commercial operations 2028</t>
        </is>
      </c>
    </row>
    <row r="24">
      <c r="A24" s="4" t="inlineStr">
        <is>
          <t>Port Arthur</t>
        </is>
      </c>
      <c r="B24" s="4" t="inlineStr">
        <is>
          <t>Train 3</t>
        </is>
      </c>
      <c r="C24" s="4" t="n">
        <v>0.968</v>
      </c>
      <c r="D24" s="13" t="n">
        <v>47727</v>
      </c>
      <c r="E24" s="4" t="n">
        <v>8</v>
      </c>
      <c r="F24" s="4" t="n">
        <v>0.15</v>
      </c>
      <c r="G24" s="4" t="n">
        <v>0.95</v>
      </c>
      <c r="H24" t="inlineStr">
        <is>
          <t>unverified</t>
        </is>
      </c>
      <c r="I24" t="inlineStr">
        <is>
          <t>Phase 2 FID Sep 2025, completion 2030-31 (Sempra); beyond the horizon</t>
        </is>
      </c>
    </row>
    <row r="25">
      <c r="A25" s="4" t="n"/>
      <c r="B25" s="4" t="n"/>
      <c r="C25" s="4" t="n"/>
      <c r="D25" s="13" t="n"/>
      <c r="E25" s="4" t="n"/>
      <c r="F25" s="4" t="n"/>
      <c r="G25" s="4" t="n"/>
    </row>
    <row r="26">
      <c r="A26" s="4" t="n"/>
      <c r="B26" s="4" t="n"/>
      <c r="C26" s="4" t="n"/>
      <c r="D26" s="13" t="n"/>
      <c r="E26" s="4" t="n"/>
      <c r="F26" s="4" t="n"/>
      <c r="G26" s="4" t="n"/>
    </row>
    <row r="27">
      <c r="A27" s="4" t="n"/>
      <c r="B27" s="4" t="n"/>
      <c r="C27" s="4" t="n"/>
      <c r="D27" s="13" t="n"/>
      <c r="E27" s="4" t="n"/>
      <c r="F27" s="4" t="n"/>
      <c r="G27" s="4" t="n"/>
    </row>
    <row r="28">
      <c r="A28" s="4" t="n"/>
      <c r="B28" s="4" t="n"/>
      <c r="C28" s="4" t="n"/>
      <c r="D28" s="13" t="n"/>
      <c r="E28" s="4" t="n"/>
      <c r="F28" s="4" t="n"/>
      <c r="G28" s="4" t="n"/>
    </row>
    <row r="29">
      <c r="A29" s="4" t="n"/>
      <c r="B29" s="4" t="n"/>
      <c r="C29" s="4" t="n"/>
      <c r="D29" s="13" t="n"/>
      <c r="E29" s="4" t="n"/>
      <c r="F29" s="4" t="n"/>
      <c r="G29" s="4" t="n"/>
    </row>
    <row r="30">
      <c r="A30" s="4" t="n"/>
      <c r="B30" s="4" t="n"/>
      <c r="C30" s="4" t="n"/>
      <c r="D30" s="13" t="n"/>
      <c r="E30" s="4" t="n"/>
      <c r="F30" s="4" t="n"/>
      <c r="G30" s="4" t="n"/>
    </row>
    <row r="31">
      <c r="A31" s="4" t="n"/>
      <c r="B31" s="4" t="n"/>
      <c r="C31" s="4" t="n"/>
      <c r="D31" s="13" t="n"/>
      <c r="E31" s="4" t="n"/>
      <c r="F31" s="4" t="n"/>
      <c r="G31" s="4" t="n"/>
    </row>
    <row r="33">
      <c r="A33" s="6" t="inlineStr">
        <is>
          <t>Existing plants: nameplate feedgas (Corpus Christi trains 1-3 + midscale 1-7; Freeport trains 1-3) and monthly utilisation</t>
        </is>
      </c>
    </row>
    <row r="34">
      <c r="B34" t="inlineStr">
        <is>
          <t>Corpus Christi</t>
        </is>
      </c>
      <c r="C34" t="inlineStr">
        <is>
          <t>Freeport</t>
        </is>
      </c>
    </row>
    <row r="35">
      <c r="A35" t="inlineStr">
        <is>
          <t>Nameplate feedgas Bcf/d</t>
        </is>
      </c>
      <c r="B35" s="4" t="n">
        <v>3.586</v>
      </c>
      <c r="C35" s="4" t="n">
        <v>2.151</v>
      </c>
      <c r="D35" t="inlineStr">
        <is>
          <t>FERC feed-gas letters (lng_feedgas_daily.xlsx Train start-ups); EIA exports x ratio can exceed it (plants run above nameplate)</t>
        </is>
      </c>
    </row>
    <row r="36">
      <c r="A36" t="inlineStr">
        <is>
          <t>Profiles: mean of the same calendar month over the last 36 EIA months (utilisation = feedgas / nameplate in operation, smoothed 1-2-1 across neighbouring months; outages, summer derate and maintenance are inside it). Type a number in an override column to replace one month.</t>
        </is>
      </c>
    </row>
    <row r="37" ht="60" customHeight="1">
      <c r="A37" s="7" t="inlineStr">
        <is>
          <t>Month</t>
        </is>
      </c>
      <c r="B37" s="7" t="inlineStr">
        <is>
          <t>CC utilisation (computed)</t>
        </is>
      </c>
      <c r="C37" s="7" t="inlineStr">
        <is>
          <t>CC override</t>
        </is>
      </c>
      <c r="D37" s="7" t="inlineStr">
        <is>
          <t>CC used</t>
        </is>
      </c>
      <c r="E37" s="7" t="inlineStr">
        <is>
          <t>Freeport utilisation (computed)</t>
        </is>
      </c>
      <c r="F37" s="7" t="inlineStr">
        <is>
          <t>Freeport override</t>
        </is>
      </c>
      <c r="G37" s="7" t="inlineStr">
        <is>
          <t>Freeport used</t>
        </is>
      </c>
      <c r="H37" s="7" t="inlineStr">
        <is>
          <t>New-build seasonal index (computed, mean 1)</t>
        </is>
      </c>
      <c r="I37" s="7" t="inlineStr">
        <is>
          <t>New-build override</t>
        </is>
      </c>
      <c r="J37" s="7" t="inlineStr">
        <is>
          <t>New-build used</t>
        </is>
      </c>
    </row>
    <row r="38">
      <c r="A38" t="n">
        <v>1</v>
      </c>
      <c r="B38" s="14" t="n">
        <v>1.013393274855556</v>
      </c>
      <c r="C38" s="4" t="n"/>
      <c r="D38" s="14">
        <f>IF(C38="",B38,C38)</f>
        <v/>
      </c>
      <c r="E38" s="14" t="n">
        <v>1.001649804174492</v>
      </c>
      <c r="F38" s="4" t="n"/>
      <c r="G38" s="14">
        <f>IF(F38="",E38,F38)</f>
        <v/>
      </c>
      <c r="H38" s="14" t="n">
        <v>1.017521366001886</v>
      </c>
      <c r="I38" s="4" t="n"/>
      <c r="J38" s="14">
        <f>IF(I38="",H38,I38)</f>
        <v/>
      </c>
    </row>
    <row r="39">
      <c r="A39" t="n">
        <v>2</v>
      </c>
      <c r="B39" s="14" t="n">
        <v>1.019908487517859</v>
      </c>
      <c r="C39" s="4" t="n"/>
      <c r="D39" s="14">
        <f>IF(C39="",B39,C39)</f>
        <v/>
      </c>
      <c r="E39" s="14" t="n">
        <v>0.9491460888556744</v>
      </c>
      <c r="F39" s="4" t="n"/>
      <c r="G39" s="14">
        <f>IF(F39="",E39,F39)</f>
        <v/>
      </c>
      <c r="H39" s="14" t="n">
        <v>1.001776328564219</v>
      </c>
      <c r="I39" s="4" t="n"/>
      <c r="J39" s="14">
        <f>IF(I39="",H39,I39)</f>
        <v/>
      </c>
    </row>
    <row r="40">
      <c r="A40" t="n">
        <v>3</v>
      </c>
      <c r="B40" s="14" t="n">
        <v>1.004147860081019</v>
      </c>
      <c r="C40" s="4" t="n"/>
      <c r="D40" s="14">
        <f>IF(C40="",B40,C40)</f>
        <v/>
      </c>
      <c r="E40" s="14" t="n">
        <v>0.8940093776995173</v>
      </c>
      <c r="F40" s="4" t="n"/>
      <c r="G40" s="14">
        <f>IF(F40="",E40,F40)</f>
        <v/>
      </c>
      <c r="H40" s="14" t="n">
        <v>0.9709941590135546</v>
      </c>
      <c r="I40" s="4" t="n"/>
      <c r="J40" s="14">
        <f>IF(I40="",H40,I40)</f>
        <v/>
      </c>
    </row>
    <row r="41">
      <c r="A41" t="n">
        <v>4</v>
      </c>
      <c r="B41" s="14" t="n">
        <v>0.960945478902772</v>
      </c>
      <c r="C41" s="4" t="n"/>
      <c r="D41" s="14">
        <f>IF(C41="",B41,C41)</f>
        <v/>
      </c>
      <c r="E41" s="14" t="n">
        <v>0.8784910985804721</v>
      </c>
      <c r="F41" s="4" t="n"/>
      <c r="G41" s="14">
        <f>IF(F41="",E41,F41)</f>
        <v/>
      </c>
      <c r="H41" s="14" t="n">
        <v>0.9378939873433532</v>
      </c>
      <c r="I41" s="4" t="n"/>
      <c r="J41" s="14">
        <f>IF(I41="",H41,I41)</f>
        <v/>
      </c>
    </row>
    <row r="42">
      <c r="A42" t="n">
        <v>5</v>
      </c>
      <c r="B42" s="14" t="n">
        <v>0.9566732826603291</v>
      </c>
      <c r="C42" s="4" t="n"/>
      <c r="D42" s="14">
        <f>IF(C42="",B42,C42)</f>
        <v/>
      </c>
      <c r="E42" s="14" t="n">
        <v>0.9620967879405931</v>
      </c>
      <c r="F42" s="4" t="n"/>
      <c r="G42" s="14">
        <f>IF(F42="",E42,F42)</f>
        <v/>
      </c>
      <c r="H42" s="14" t="n">
        <v>0.9668127150823983</v>
      </c>
      <c r="I42" s="4" t="n"/>
      <c r="J42" s="14">
        <f>IF(I42="",H42,I42)</f>
        <v/>
      </c>
    </row>
    <row r="43">
      <c r="A43" t="n">
        <v>6</v>
      </c>
      <c r="B43" s="14" t="n">
        <v>0.969448699623201</v>
      </c>
      <c r="C43" s="4" t="n"/>
      <c r="D43" s="14">
        <f>IF(C43="",B43,C43)</f>
        <v/>
      </c>
      <c r="E43" s="14" t="n">
        <v>0.9672052916956191</v>
      </c>
      <c r="F43" s="4" t="n"/>
      <c r="G43" s="14">
        <f>IF(F43="",E43,F43)</f>
        <v/>
      </c>
      <c r="H43" s="14" t="n">
        <v>0.9767972533267995</v>
      </c>
      <c r="I43" s="4" t="n"/>
      <c r="J43" s="14">
        <f>IF(I43="",H43,I43)</f>
        <v/>
      </c>
    </row>
    <row r="44">
      <c r="A44" t="n">
        <v>7</v>
      </c>
      <c r="B44" s="14" t="n">
        <v>0.9714082064238148</v>
      </c>
      <c r="C44" s="4" t="n"/>
      <c r="D44" s="14">
        <f>IF(C44="",B44,C44)</f>
        <v/>
      </c>
      <c r="E44" s="14" t="n">
        <v>0.8943258028690502</v>
      </c>
      <c r="F44" s="4" t="n"/>
      <c r="G44" s="14">
        <f>IF(F44="",E44,F44)</f>
        <v/>
      </c>
      <c r="H44" s="14" t="n">
        <v>0.950476348319931</v>
      </c>
      <c r="I44" s="4" t="n"/>
      <c r="J44" s="14">
        <f>IF(I44="",H44,I44)</f>
        <v/>
      </c>
    </row>
    <row r="45">
      <c r="A45" t="n">
        <v>8</v>
      </c>
      <c r="B45" s="14" t="n">
        <v>0.9842281432568616</v>
      </c>
      <c r="C45" s="4" t="n"/>
      <c r="D45" s="14">
        <f>IF(C45="",B45,C45)</f>
        <v/>
      </c>
      <c r="E45" s="14" t="n">
        <v>0.9394800176295431</v>
      </c>
      <c r="F45" s="4" t="n"/>
      <c r="G45" s="14">
        <f>IF(F45="",E45,F45)</f>
        <v/>
      </c>
      <c r="H45" s="14" t="n">
        <v>0.9756304231883685</v>
      </c>
      <c r="I45" s="4" t="n"/>
      <c r="J45" s="14">
        <f>IF(I45="",H45,I45)</f>
        <v/>
      </c>
    </row>
    <row r="46">
      <c r="A46" t="n">
        <v>9</v>
      </c>
      <c r="B46" s="14" t="n">
        <v>1.005223655564361</v>
      </c>
      <c r="C46" s="4" t="n"/>
      <c r="D46" s="14">
        <f>IF(C46="",B46,C46)</f>
        <v/>
      </c>
      <c r="E46" s="14" t="n">
        <v>1.026666540860382</v>
      </c>
      <c r="F46" s="4" t="n"/>
      <c r="G46" s="14">
        <f>IF(F46="",E46,F46)</f>
        <v/>
      </c>
      <c r="H46" s="14" t="n">
        <v>1.021830590464795</v>
      </c>
      <c r="I46" s="4" t="n"/>
      <c r="J46" s="14">
        <f>IF(I46="",H46,I46)</f>
        <v/>
      </c>
    </row>
    <row r="47">
      <c r="A47" t="n">
        <v>10</v>
      </c>
      <c r="B47" s="14" t="n">
        <v>1.032832943750235</v>
      </c>
      <c r="C47" s="4" t="n"/>
      <c r="D47" s="14">
        <f>IF(C47="",B47,C47)</f>
        <v/>
      </c>
      <c r="E47" s="14" t="n">
        <v>1.054958583904461</v>
      </c>
      <c r="F47" s="4" t="n"/>
      <c r="G47" s="14">
        <f>IF(F47="",E47,F47)</f>
        <v/>
      </c>
      <c r="H47" s="14" t="n">
        <v>1.049931471116309</v>
      </c>
      <c r="I47" s="4" t="n"/>
      <c r="J47" s="14">
        <f>IF(I47="",H47,I47)</f>
        <v/>
      </c>
    </row>
    <row r="48">
      <c r="A48" t="n">
        <v>11</v>
      </c>
      <c r="B48" s="14" t="n">
        <v>1.061405019546822</v>
      </c>
      <c r="C48" s="4" t="n"/>
      <c r="D48" s="14">
        <f>IF(C48="",B48,C48)</f>
        <v/>
      </c>
      <c r="E48" s="14" t="n">
        <v>1.066656219746088</v>
      </c>
      <c r="F48" s="4" t="n"/>
      <c r="G48" s="14">
        <f>IF(F48="",E48,F48)</f>
        <v/>
      </c>
      <c r="H48" s="14" t="n">
        <v>1.072364821117435</v>
      </c>
      <c r="I48" s="4" t="n"/>
      <c r="J48" s="14">
        <f>IF(I48="",H48,I48)</f>
        <v/>
      </c>
    </row>
    <row r="49">
      <c r="A49" t="n">
        <v>12</v>
      </c>
      <c r="B49" s="14" t="n">
        <v>1.044887546080973</v>
      </c>
      <c r="C49" s="4" t="n"/>
      <c r="D49" s="14">
        <f>IF(C49="",B49,C49)</f>
        <v/>
      </c>
      <c r="E49" s="14" t="n">
        <v>1.056123452624353</v>
      </c>
      <c r="F49" s="4" t="n"/>
      <c r="G49" s="14">
        <f>IF(F49="",E49,F49)</f>
        <v/>
      </c>
      <c r="H49" s="14" t="n">
        <v>1.05797053646095</v>
      </c>
      <c r="I49" s="4" t="n"/>
      <c r="J49" s="14">
        <f>IF(I49="",H49,I49)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01"/>
  <sheetViews>
    <sheetView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</cols>
  <sheetData>
    <row r="1">
      <c r="A1" s="3" t="inlineStr">
        <is>
          <t>Texas gas demand incl. LNG, to Dec 2028, Bcf/d - LNG columns are live formulas driven by 'Assump - LNG'</t>
        </is>
      </c>
    </row>
    <row r="2">
      <c r="A2" t="inlineStr">
        <is>
          <t>Actual months are EIA (values); forecast months: LNG = formulas, consumption sectors and Mexico = script values (seasonal-trend base: last 3 years' monthly profile x last-12-month level x damped trend).</t>
        </is>
      </c>
    </row>
    <row r="5" ht="62" customHeight="1">
      <c r="A5" s="7" t="inlineStr">
        <is>
          <t>Month</t>
        </is>
      </c>
      <c r="B5" s="7" t="inlineStr">
        <is>
          <t>Actual / forecast</t>
        </is>
      </c>
      <c r="C5" s="7" t="inlineStr">
        <is>
          <t>LNG feedgas Corpus Christi - base</t>
        </is>
      </c>
      <c r="D5" s="7" t="inlineStr">
        <is>
          <t>LNG feedgas Freeport - base</t>
        </is>
      </c>
      <c r="E5" s="7" t="inlineStr">
        <is>
          <t>LNG feedgas Golden Pass - base</t>
        </is>
      </c>
      <c r="F5" s="7" t="inlineStr">
        <is>
          <t>LNG feedgas Rio Grande - base</t>
        </is>
      </c>
      <c r="G5" s="7" t="inlineStr">
        <is>
          <t>LNG feedgas Port Arthur - base</t>
        </is>
      </c>
      <c r="H5" s="7" t="inlineStr">
        <is>
          <t>LNG feedgas other new plants - base</t>
        </is>
      </c>
      <c r="I5" s="7" t="inlineStr">
        <is>
          <t>LNG feedgas total - base</t>
        </is>
      </c>
      <c r="J5" s="7" t="inlineStr">
        <is>
          <t>LNG feedgas Corpus Christi - delayed</t>
        </is>
      </c>
      <c r="K5" s="7" t="inlineStr">
        <is>
          <t>LNG feedgas Freeport - delayed</t>
        </is>
      </c>
      <c r="L5" s="7" t="inlineStr">
        <is>
          <t>LNG feedgas Golden Pass - delayed</t>
        </is>
      </c>
      <c r="M5" s="7" t="inlineStr">
        <is>
          <t>LNG feedgas Rio Grande - delayed</t>
        </is>
      </c>
      <c r="N5" s="7" t="inlineStr">
        <is>
          <t>LNG feedgas Port Arthur - delayed</t>
        </is>
      </c>
      <c r="O5" s="7" t="inlineStr">
        <is>
          <t>LNG feedgas other new plants - delayed</t>
        </is>
      </c>
      <c r="P5" s="7" t="inlineStr">
        <is>
          <t>LNG feedgas total - delayed</t>
        </is>
      </c>
      <c r="Q5" s="7" t="inlineStr">
        <is>
          <t>LNG exports (plain, = feedgas / ratio) - base</t>
        </is>
      </c>
      <c r="R5" s="7" t="inlineStr">
        <is>
          <t>LNG exports (plain) - delayed</t>
        </is>
      </c>
      <c r="S5" s="7" t="inlineStr">
        <is>
          <t>Electric power</t>
        </is>
      </c>
      <c r="T5" s="7" t="inlineStr">
        <is>
          <t>Industrial</t>
        </is>
      </c>
      <c r="U5" s="7" t="inlineStr">
        <is>
          <t>Residential</t>
        </is>
      </c>
      <c r="V5" s="7" t="inlineStr">
        <is>
          <t>Commercial</t>
        </is>
      </c>
      <c r="W5" s="7" t="inlineStr">
        <is>
          <t>Vehicle fuel</t>
        </is>
      </c>
      <c r="X5" s="7" t="inlineStr">
        <is>
          <t>Consumption, published sectors</t>
        </is>
      </c>
      <c r="Y5" s="7" t="inlineStr">
        <is>
          <t>Pipeline exports to Mexico</t>
        </is>
      </c>
      <c r="Z5" s="7" t="inlineStr">
        <is>
          <t>Total demand incl. LNG feedgas - base</t>
        </is>
      </c>
      <c r="AA5" s="7" t="inlineStr">
        <is>
          <t>Total demand incl. LNG feedgas - delayed</t>
        </is>
      </c>
      <c r="AB5" s="7" t="inlineStr">
        <is>
          <t>EIA LNG exports Corpus Christi</t>
        </is>
      </c>
      <c r="AC5" s="7" t="inlineStr">
        <is>
          <t>EIA LNG exports Freeport</t>
        </is>
      </c>
      <c r="AD5" s="7" t="inlineStr">
        <is>
          <t>EIA LNG exports Golden Pass</t>
        </is>
      </c>
    </row>
    <row r="6">
      <c r="A6" s="12" t="n">
        <v>44197</v>
      </c>
      <c r="B6" t="inlineStr">
        <is>
          <t>Actual</t>
        </is>
      </c>
      <c r="C6" s="10">
        <f>N(AB6)*'Assump - LNG'!$B$5</f>
        <v/>
      </c>
      <c r="D6" s="10">
        <f>N(AC6)*'Assump - LNG'!$B$5</f>
        <v/>
      </c>
      <c r="E6" s="10">
        <f>N(AD6)*'Assump - LNG'!$B$5</f>
        <v/>
      </c>
      <c r="F6" s="10" t="n">
        <v>0</v>
      </c>
      <c r="G6" s="10" t="n">
        <v>0</v>
      </c>
      <c r="H6" s="10" t="n">
        <v>0</v>
      </c>
      <c r="I6" s="10">
        <f>SUM(C6:H6)</f>
        <v/>
      </c>
      <c r="J6" s="10">
        <f>C6</f>
        <v/>
      </c>
      <c r="K6" s="10">
        <f>D6</f>
        <v/>
      </c>
      <c r="L6" s="10">
        <f>E6</f>
        <v/>
      </c>
      <c r="M6" s="10">
        <f>F6</f>
        <v/>
      </c>
      <c r="N6" s="10">
        <f>G6</f>
        <v/>
      </c>
      <c r="O6" s="10">
        <f>H6</f>
        <v/>
      </c>
      <c r="P6" s="10">
        <f>SUM(J6:O6)</f>
        <v/>
      </c>
      <c r="Q6" s="10">
        <f>I6/'Assump - LNG'!$B$5</f>
        <v/>
      </c>
      <c r="R6" s="10">
        <f>P6/'Assump - LNG'!$B$5</f>
        <v/>
      </c>
      <c r="S6" s="10" t="n">
        <v>3.671612903225806</v>
      </c>
      <c r="T6" s="10" t="n">
        <v>5.748096774193549</v>
      </c>
      <c r="U6" s="10" t="n">
        <v>1.457193548387097</v>
      </c>
      <c r="V6" s="10" t="n">
        <v>0.7947741935483871</v>
      </c>
      <c r="W6" s="10" t="n">
        <v>0.002580645161290323</v>
      </c>
      <c r="X6" s="10">
        <f>SUM(S6:W6)</f>
        <v/>
      </c>
      <c r="Y6" s="10" t="n">
        <v>2.552483870967742</v>
      </c>
      <c r="Z6" s="10">
        <f>X6+I6</f>
        <v/>
      </c>
      <c r="AA6" s="10">
        <f>X6+P6</f>
        <v/>
      </c>
      <c r="AB6" s="10" t="n">
        <v>1.845677419354839</v>
      </c>
      <c r="AC6" s="10" t="n">
        <v>1.971064516129032</v>
      </c>
    </row>
    <row r="7">
      <c r="A7" s="12" t="n">
        <v>44228</v>
      </c>
      <c r="B7" t="inlineStr">
        <is>
          <t>Actual</t>
        </is>
      </c>
      <c r="C7" s="10">
        <f>N(AB7)*'Assump - LNG'!$B$5</f>
        <v/>
      </c>
      <c r="D7" s="10">
        <f>N(AC7)*'Assump - LNG'!$B$5</f>
        <v/>
      </c>
      <c r="E7" s="10">
        <f>N(AD7)*'Assump - LNG'!$B$5</f>
        <v/>
      </c>
      <c r="F7" s="10" t="n">
        <v>0</v>
      </c>
      <c r="G7" s="10" t="n">
        <v>0</v>
      </c>
      <c r="H7" s="10" t="n">
        <v>0</v>
      </c>
      <c r="I7" s="10">
        <f>SUM(C7:H7)</f>
        <v/>
      </c>
      <c r="J7" s="10">
        <f>C7</f>
        <v/>
      </c>
      <c r="K7" s="10">
        <f>D7</f>
        <v/>
      </c>
      <c r="L7" s="10">
        <f>E7</f>
        <v/>
      </c>
      <c r="M7" s="10">
        <f>F7</f>
        <v/>
      </c>
      <c r="N7" s="10">
        <f>G7</f>
        <v/>
      </c>
      <c r="O7" s="10">
        <f>H7</f>
        <v/>
      </c>
      <c r="P7" s="10">
        <f>SUM(J7:O7)</f>
        <v/>
      </c>
      <c r="Q7" s="10">
        <f>I7/'Assump - LNG'!$B$5</f>
        <v/>
      </c>
      <c r="R7" s="10">
        <f>P7/'Assump - LNG'!$B$5</f>
        <v/>
      </c>
      <c r="S7" s="10" t="n">
        <v>4.4955</v>
      </c>
      <c r="T7" s="10" t="n">
        <v>4.749571428571429</v>
      </c>
      <c r="U7" s="10" t="n">
        <v>1.7995</v>
      </c>
      <c r="V7" s="10" t="n">
        <v>0.9247857142857143</v>
      </c>
      <c r="W7" s="10" t="n">
        <v>0.002571428571428572</v>
      </c>
      <c r="X7" s="10">
        <f>SUM(S7:W7)</f>
        <v/>
      </c>
      <c r="Y7" s="10" t="n">
        <v>2.252428571428571</v>
      </c>
      <c r="Z7" s="10">
        <f>X7+I7</f>
        <v/>
      </c>
      <c r="AA7" s="10">
        <f>X7+P7</f>
        <v/>
      </c>
      <c r="AB7" s="10" t="n">
        <v>1.190357142857143</v>
      </c>
      <c r="AC7" s="10" t="n">
        <v>1.08825</v>
      </c>
    </row>
    <row r="8">
      <c r="A8" s="12" t="n">
        <v>44256</v>
      </c>
      <c r="B8" t="inlineStr">
        <is>
          <t>Actual</t>
        </is>
      </c>
      <c r="C8" s="10">
        <f>N(AB8)*'Assump - LNG'!$B$5</f>
        <v/>
      </c>
      <c r="D8" s="10">
        <f>N(AC8)*'Assump - LNG'!$B$5</f>
        <v/>
      </c>
      <c r="E8" s="10">
        <f>N(AD8)*'Assump - LNG'!$B$5</f>
        <v/>
      </c>
      <c r="F8" s="10" t="n">
        <v>0</v>
      </c>
      <c r="G8" s="10" t="n">
        <v>0</v>
      </c>
      <c r="H8" s="10" t="n">
        <v>0</v>
      </c>
      <c r="I8" s="10">
        <f>SUM(C8:H8)</f>
        <v/>
      </c>
      <c r="J8" s="10">
        <f>C8</f>
        <v/>
      </c>
      <c r="K8" s="10">
        <f>D8</f>
        <v/>
      </c>
      <c r="L8" s="10">
        <f>E8</f>
        <v/>
      </c>
      <c r="M8" s="10">
        <f>F8</f>
        <v/>
      </c>
      <c r="N8" s="10">
        <f>G8</f>
        <v/>
      </c>
      <c r="O8" s="10">
        <f>H8</f>
        <v/>
      </c>
      <c r="P8" s="10">
        <f>SUM(J8:O8)</f>
        <v/>
      </c>
      <c r="Q8" s="10">
        <f>I8/'Assump - LNG'!$B$5</f>
        <v/>
      </c>
      <c r="R8" s="10">
        <f>P8/'Assump - LNG'!$B$5</f>
        <v/>
      </c>
      <c r="S8" s="10" t="n">
        <v>2.87358064516129</v>
      </c>
      <c r="T8" s="10" t="n">
        <v>4.849387096774193</v>
      </c>
      <c r="U8" s="10" t="n">
        <v>0.8512580645161291</v>
      </c>
      <c r="V8" s="10" t="n">
        <v>0.547741935483871</v>
      </c>
      <c r="W8" s="10" t="n">
        <v>0.002580645161290323</v>
      </c>
      <c r="X8" s="10">
        <f>SUM(S8:W8)</f>
        <v/>
      </c>
      <c r="Y8" s="10" t="n">
        <v>2.643935483870968</v>
      </c>
      <c r="Z8" s="10">
        <f>X8+I8</f>
        <v/>
      </c>
      <c r="AA8" s="10">
        <f>X8+P8</f>
        <v/>
      </c>
      <c r="AB8" s="10" t="n">
        <v>2.019064516129032</v>
      </c>
      <c r="AC8" s="10" t="n">
        <v>2.05241935483871</v>
      </c>
    </row>
    <row r="9">
      <c r="A9" s="12" t="n">
        <v>44287</v>
      </c>
      <c r="B9" t="inlineStr">
        <is>
          <t>Actual</t>
        </is>
      </c>
      <c r="C9" s="10">
        <f>N(AB9)*'Assump - LNG'!$B$5</f>
        <v/>
      </c>
      <c r="D9" s="10">
        <f>N(AC9)*'Assump - LNG'!$B$5</f>
        <v/>
      </c>
      <c r="E9" s="10">
        <f>N(AD9)*'Assump - LNG'!$B$5</f>
        <v/>
      </c>
      <c r="F9" s="10" t="n">
        <v>0</v>
      </c>
      <c r="G9" s="10" t="n">
        <v>0</v>
      </c>
      <c r="H9" s="10" t="n">
        <v>0</v>
      </c>
      <c r="I9" s="10">
        <f>SUM(C9:H9)</f>
        <v/>
      </c>
      <c r="J9" s="10">
        <f>C9</f>
        <v/>
      </c>
      <c r="K9" s="10">
        <f>D9</f>
        <v/>
      </c>
      <c r="L9" s="10">
        <f>E9</f>
        <v/>
      </c>
      <c r="M9" s="10">
        <f>F9</f>
        <v/>
      </c>
      <c r="N9" s="10">
        <f>G9</f>
        <v/>
      </c>
      <c r="O9" s="10">
        <f>H9</f>
        <v/>
      </c>
      <c r="P9" s="10">
        <f>SUM(J9:O9)</f>
        <v/>
      </c>
      <c r="Q9" s="10">
        <f>I9/'Assump - LNG'!$B$5</f>
        <v/>
      </c>
      <c r="R9" s="10">
        <f>P9/'Assump - LNG'!$B$5</f>
        <v/>
      </c>
      <c r="S9" s="10" t="n">
        <v>3.746233333333333</v>
      </c>
      <c r="T9" s="10" t="n">
        <v>5.287166666666667</v>
      </c>
      <c r="U9" s="10" t="n">
        <v>0.4110333333333334</v>
      </c>
      <c r="V9" s="10" t="n">
        <v>0.4744333333333333</v>
      </c>
      <c r="W9" s="10" t="n">
        <v>0.002566666666666667</v>
      </c>
      <c r="X9" s="10">
        <f>SUM(S9:W9)</f>
        <v/>
      </c>
      <c r="Y9" s="10" t="n">
        <v>2.670233333333333</v>
      </c>
      <c r="Z9" s="10">
        <f>X9+I9</f>
        <v/>
      </c>
      <c r="AA9" s="10">
        <f>X9+P9</f>
        <v/>
      </c>
      <c r="AB9" s="10" t="n">
        <v>1.995366666666667</v>
      </c>
      <c r="AC9" s="10" t="n">
        <v>2.020833333333333</v>
      </c>
    </row>
    <row r="10">
      <c r="A10" s="12" t="n">
        <v>44317</v>
      </c>
      <c r="B10" t="inlineStr">
        <is>
          <t>Actual</t>
        </is>
      </c>
      <c r="C10" s="10">
        <f>N(AB10)*'Assump - LNG'!$B$5</f>
        <v/>
      </c>
      <c r="D10" s="10">
        <f>N(AC10)*'Assump - LNG'!$B$5</f>
        <v/>
      </c>
      <c r="E10" s="10">
        <f>N(AD10)*'Assump - LNG'!$B$5</f>
        <v/>
      </c>
      <c r="F10" s="10" t="n">
        <v>0</v>
      </c>
      <c r="G10" s="10" t="n">
        <v>0</v>
      </c>
      <c r="H10" s="10" t="n">
        <v>0</v>
      </c>
      <c r="I10" s="10">
        <f>SUM(C10:H10)</f>
        <v/>
      </c>
      <c r="J10" s="10">
        <f>C10</f>
        <v/>
      </c>
      <c r="K10" s="10">
        <f>D10</f>
        <v/>
      </c>
      <c r="L10" s="10">
        <f>E10</f>
        <v/>
      </c>
      <c r="M10" s="10">
        <f>F10</f>
        <v/>
      </c>
      <c r="N10" s="10">
        <f>G10</f>
        <v/>
      </c>
      <c r="O10" s="10">
        <f>H10</f>
        <v/>
      </c>
      <c r="P10" s="10">
        <f>SUM(J10:O10)</f>
        <v/>
      </c>
      <c r="Q10" s="10">
        <f>I10/'Assump - LNG'!$B$5</f>
        <v/>
      </c>
      <c r="R10" s="10">
        <f>P10/'Assump - LNG'!$B$5</f>
        <v/>
      </c>
      <c r="S10" s="10" t="n">
        <v>3.843774193548387</v>
      </c>
      <c r="T10" s="10" t="n">
        <v>5.234774193548387</v>
      </c>
      <c r="U10" s="10" t="n">
        <v>0.2831612903225807</v>
      </c>
      <c r="V10" s="10" t="n">
        <v>0.3512903225806452</v>
      </c>
      <c r="W10" s="10" t="n">
        <v>0.002580645161290323</v>
      </c>
      <c r="X10" s="10">
        <f>SUM(S10:W10)</f>
        <v/>
      </c>
      <c r="Y10" s="10" t="n">
        <v>2.766322580645161</v>
      </c>
      <c r="Z10" s="10">
        <f>X10+I10</f>
        <v/>
      </c>
      <c r="AA10" s="10">
        <f>X10+P10</f>
        <v/>
      </c>
      <c r="AB10" s="10" t="n">
        <v>1.895741935483871</v>
      </c>
      <c r="AC10" s="10" t="n">
        <v>2.039161290322581</v>
      </c>
    </row>
    <row r="11">
      <c r="A11" s="12" t="n">
        <v>44348</v>
      </c>
      <c r="B11" t="inlineStr">
        <is>
          <t>Actual</t>
        </is>
      </c>
      <c r="C11" s="10">
        <f>N(AB11)*'Assump - LNG'!$B$5</f>
        <v/>
      </c>
      <c r="D11" s="10">
        <f>N(AC11)*'Assump - LNG'!$B$5</f>
        <v/>
      </c>
      <c r="E11" s="10">
        <f>N(AD11)*'Assump - LNG'!$B$5</f>
        <v/>
      </c>
      <c r="F11" s="10" t="n">
        <v>0</v>
      </c>
      <c r="G11" s="10" t="n">
        <v>0</v>
      </c>
      <c r="H11" s="10" t="n">
        <v>0</v>
      </c>
      <c r="I11" s="10">
        <f>SUM(C11:H11)</f>
        <v/>
      </c>
      <c r="J11" s="10">
        <f>C11</f>
        <v/>
      </c>
      <c r="K11" s="10">
        <f>D11</f>
        <v/>
      </c>
      <c r="L11" s="10">
        <f>E11</f>
        <v/>
      </c>
      <c r="M11" s="10">
        <f>F11</f>
        <v/>
      </c>
      <c r="N11" s="10">
        <f>G11</f>
        <v/>
      </c>
      <c r="O11" s="10">
        <f>H11</f>
        <v/>
      </c>
      <c r="P11" s="10">
        <f>SUM(J11:O11)</f>
        <v/>
      </c>
      <c r="Q11" s="10">
        <f>I11/'Assump - LNG'!$B$5</f>
        <v/>
      </c>
      <c r="R11" s="10">
        <f>P11/'Assump - LNG'!$B$5</f>
        <v/>
      </c>
      <c r="S11" s="10" t="n">
        <v>5.751166666666667</v>
      </c>
      <c r="T11" s="10" t="n">
        <v>5.296266666666666</v>
      </c>
      <c r="U11" s="10" t="n">
        <v>0.2299</v>
      </c>
      <c r="V11" s="10" t="n">
        <v>0.3627</v>
      </c>
      <c r="W11" s="10" t="n">
        <v>0.002566666666666667</v>
      </c>
      <c r="X11" s="10">
        <f>SUM(S11:W11)</f>
        <v/>
      </c>
      <c r="Y11" s="10" t="n">
        <v>2.929933333333334</v>
      </c>
      <c r="Z11" s="10">
        <f>X11+I11</f>
        <v/>
      </c>
      <c r="AA11" s="10">
        <f>X11+P11</f>
        <v/>
      </c>
      <c r="AB11" s="10" t="n">
        <v>2.0512</v>
      </c>
      <c r="AC11" s="10" t="n">
        <v>1.9513</v>
      </c>
    </row>
    <row r="12">
      <c r="A12" s="12" t="n">
        <v>44378</v>
      </c>
      <c r="B12" t="inlineStr">
        <is>
          <t>Actual</t>
        </is>
      </c>
      <c r="C12" s="10">
        <f>N(AB12)*'Assump - LNG'!$B$5</f>
        <v/>
      </c>
      <c r="D12" s="10">
        <f>N(AC12)*'Assump - LNG'!$B$5</f>
        <v/>
      </c>
      <c r="E12" s="10">
        <f>N(AD12)*'Assump - LNG'!$B$5</f>
        <v/>
      </c>
      <c r="F12" s="10" t="n">
        <v>0</v>
      </c>
      <c r="G12" s="10" t="n">
        <v>0</v>
      </c>
      <c r="H12" s="10" t="n">
        <v>0</v>
      </c>
      <c r="I12" s="10">
        <f>SUM(C12:H12)</f>
        <v/>
      </c>
      <c r="J12" s="10">
        <f>C12</f>
        <v/>
      </c>
      <c r="K12" s="10">
        <f>D12</f>
        <v/>
      </c>
      <c r="L12" s="10">
        <f>E12</f>
        <v/>
      </c>
      <c r="M12" s="10">
        <f>F12</f>
        <v/>
      </c>
      <c r="N12" s="10">
        <f>G12</f>
        <v/>
      </c>
      <c r="O12" s="10">
        <f>H12</f>
        <v/>
      </c>
      <c r="P12" s="10">
        <f>SUM(J12:O12)</f>
        <v/>
      </c>
      <c r="Q12" s="10">
        <f>I12/'Assump - LNG'!$B$5</f>
        <v/>
      </c>
      <c r="R12" s="10">
        <f>P12/'Assump - LNG'!$B$5</f>
        <v/>
      </c>
      <c r="S12" s="10" t="n">
        <v>6.234870967741935</v>
      </c>
      <c r="T12" s="10" t="n">
        <v>5.42283870967742</v>
      </c>
      <c r="U12" s="10" t="n">
        <v>0.215258064516129</v>
      </c>
      <c r="V12" s="10" t="n">
        <v>0.3711612903225807</v>
      </c>
      <c r="W12" s="10" t="n">
        <v>0.002580645161290323</v>
      </c>
      <c r="X12" s="10">
        <f>SUM(S12:W12)</f>
        <v/>
      </c>
      <c r="Y12" s="10" t="n">
        <v>2.876193548387096</v>
      </c>
      <c r="Z12" s="10">
        <f>X12+I12</f>
        <v/>
      </c>
      <c r="AA12" s="10">
        <f>X12+P12</f>
        <v/>
      </c>
      <c r="AB12" s="10" t="n">
        <v>1.950870967741935</v>
      </c>
      <c r="AC12" s="10" t="n">
        <v>1.964548387096774</v>
      </c>
    </row>
    <row r="13">
      <c r="A13" s="12" t="n">
        <v>44409</v>
      </c>
      <c r="B13" t="inlineStr">
        <is>
          <t>Actual</t>
        </is>
      </c>
      <c r="C13" s="10">
        <f>N(AB13)*'Assump - LNG'!$B$5</f>
        <v/>
      </c>
      <c r="D13" s="10">
        <f>N(AC13)*'Assump - LNG'!$B$5</f>
        <v/>
      </c>
      <c r="E13" s="10">
        <f>N(AD13)*'Assump - LNG'!$B$5</f>
        <v/>
      </c>
      <c r="F13" s="10" t="n">
        <v>0</v>
      </c>
      <c r="G13" s="10" t="n">
        <v>0</v>
      </c>
      <c r="H13" s="10" t="n">
        <v>0</v>
      </c>
      <c r="I13" s="10">
        <f>SUM(C13:H13)</f>
        <v/>
      </c>
      <c r="J13" s="10">
        <f>C13</f>
        <v/>
      </c>
      <c r="K13" s="10">
        <f>D13</f>
        <v/>
      </c>
      <c r="L13" s="10">
        <f>E13</f>
        <v/>
      </c>
      <c r="M13" s="10">
        <f>F13</f>
        <v/>
      </c>
      <c r="N13" s="10">
        <f>G13</f>
        <v/>
      </c>
      <c r="O13" s="10">
        <f>H13</f>
        <v/>
      </c>
      <c r="P13" s="10">
        <f>SUM(J13:O13)</f>
        <v/>
      </c>
      <c r="Q13" s="10">
        <f>I13/'Assump - LNG'!$B$5</f>
        <v/>
      </c>
      <c r="R13" s="10">
        <f>P13/'Assump - LNG'!$B$5</f>
        <v/>
      </c>
      <c r="S13" s="10" t="n">
        <v>6.327096774193548</v>
      </c>
      <c r="T13" s="10" t="n">
        <v>5.458516129032258</v>
      </c>
      <c r="U13" s="10" t="n">
        <v>0.1994193548387097</v>
      </c>
      <c r="V13" s="10" t="n">
        <v>0.3660322580645162</v>
      </c>
      <c r="W13" s="10" t="n">
        <v>0.002580645161290323</v>
      </c>
      <c r="X13" s="10">
        <f>SUM(S13:W13)</f>
        <v/>
      </c>
      <c r="Y13" s="10" t="n">
        <v>2.802806451612903</v>
      </c>
      <c r="Z13" s="10">
        <f>X13+I13</f>
        <v/>
      </c>
      <c r="AA13" s="10">
        <f>X13+P13</f>
        <v/>
      </c>
      <c r="AB13" s="10" t="n">
        <v>1.991903225806452</v>
      </c>
      <c r="AC13" s="10" t="n">
        <v>2.116967741935484</v>
      </c>
    </row>
    <row r="14">
      <c r="A14" s="12" t="n">
        <v>44440</v>
      </c>
      <c r="B14" t="inlineStr">
        <is>
          <t>Actual</t>
        </is>
      </c>
      <c r="C14" s="10">
        <f>N(AB14)*'Assump - LNG'!$B$5</f>
        <v/>
      </c>
      <c r="D14" s="10">
        <f>N(AC14)*'Assump - LNG'!$B$5</f>
        <v/>
      </c>
      <c r="E14" s="10">
        <f>N(AD14)*'Assump - LNG'!$B$5</f>
        <v/>
      </c>
      <c r="F14" s="10" t="n">
        <v>0</v>
      </c>
      <c r="G14" s="10" t="n">
        <v>0</v>
      </c>
      <c r="H14" s="10" t="n">
        <v>0</v>
      </c>
      <c r="I14" s="10">
        <f>SUM(C14:H14)</f>
        <v/>
      </c>
      <c r="J14" s="10">
        <f>C14</f>
        <v/>
      </c>
      <c r="K14" s="10">
        <f>D14</f>
        <v/>
      </c>
      <c r="L14" s="10">
        <f>E14</f>
        <v/>
      </c>
      <c r="M14" s="10">
        <f>F14</f>
        <v/>
      </c>
      <c r="N14" s="10">
        <f>G14</f>
        <v/>
      </c>
      <c r="O14" s="10">
        <f>H14</f>
        <v/>
      </c>
      <c r="P14" s="10">
        <f>SUM(J14:O14)</f>
        <v/>
      </c>
      <c r="Q14" s="10">
        <f>I14/'Assump - LNG'!$B$5</f>
        <v/>
      </c>
      <c r="R14" s="10">
        <f>P14/'Assump - LNG'!$B$5</f>
        <v/>
      </c>
      <c r="S14" s="10" t="n">
        <v>5.298666666666667</v>
      </c>
      <c r="T14" s="10" t="n">
        <v>5.518066666666667</v>
      </c>
      <c r="U14" s="10" t="n">
        <v>0.2002666666666667</v>
      </c>
      <c r="V14" s="10" t="n">
        <v>0.3705666666666667</v>
      </c>
      <c r="W14" s="10" t="n">
        <v>0.002566666666666667</v>
      </c>
      <c r="X14" s="10">
        <f>SUM(S14:W14)</f>
        <v/>
      </c>
      <c r="Y14" s="10" t="n">
        <v>2.6138</v>
      </c>
      <c r="Z14" s="10">
        <f>X14+I14</f>
        <v/>
      </c>
      <c r="AA14" s="10">
        <f>X14+P14</f>
        <v/>
      </c>
      <c r="AB14" s="10" t="n">
        <v>2.1464</v>
      </c>
      <c r="AC14" s="10" t="n">
        <v>1.6184</v>
      </c>
    </row>
    <row r="15">
      <c r="A15" s="12" t="n">
        <v>44470</v>
      </c>
      <c r="B15" t="inlineStr">
        <is>
          <t>Actual</t>
        </is>
      </c>
      <c r="C15" s="10">
        <f>N(AB15)*'Assump - LNG'!$B$5</f>
        <v/>
      </c>
      <c r="D15" s="10">
        <f>N(AC15)*'Assump - LNG'!$B$5</f>
        <v/>
      </c>
      <c r="E15" s="10">
        <f>N(AD15)*'Assump - LNG'!$B$5</f>
        <v/>
      </c>
      <c r="F15" s="10" t="n">
        <v>0</v>
      </c>
      <c r="G15" s="10" t="n">
        <v>0</v>
      </c>
      <c r="H15" s="10" t="n">
        <v>0</v>
      </c>
      <c r="I15" s="10">
        <f>SUM(C15:H15)</f>
        <v/>
      </c>
      <c r="J15" s="10">
        <f>C15</f>
        <v/>
      </c>
      <c r="K15" s="10">
        <f>D15</f>
        <v/>
      </c>
      <c r="L15" s="10">
        <f>E15</f>
        <v/>
      </c>
      <c r="M15" s="10">
        <f>F15</f>
        <v/>
      </c>
      <c r="N15" s="10">
        <f>G15</f>
        <v/>
      </c>
      <c r="O15" s="10">
        <f>H15</f>
        <v/>
      </c>
      <c r="P15" s="10">
        <f>SUM(J15:O15)</f>
        <v/>
      </c>
      <c r="Q15" s="10">
        <f>I15/'Assump - LNG'!$B$5</f>
        <v/>
      </c>
      <c r="R15" s="10">
        <f>P15/'Assump - LNG'!$B$5</f>
        <v/>
      </c>
      <c r="S15" s="10" t="n">
        <v>4.412612903225807</v>
      </c>
      <c r="T15" s="10" t="n">
        <v>5.262677419354839</v>
      </c>
      <c r="U15" s="10" t="n">
        <v>0.2569354838709678</v>
      </c>
      <c r="V15" s="10" t="n">
        <v>0.3873548387096775</v>
      </c>
      <c r="W15" s="10" t="n">
        <v>0.002580645161290323</v>
      </c>
      <c r="X15" s="10">
        <f>SUM(S15:W15)</f>
        <v/>
      </c>
      <c r="Y15" s="10" t="n">
        <v>2.767870967741935</v>
      </c>
      <c r="Z15" s="10">
        <f>X15+I15</f>
        <v/>
      </c>
      <c r="AA15" s="10">
        <f>X15+P15</f>
        <v/>
      </c>
      <c r="AB15" s="10" t="n">
        <v>2.091451612903226</v>
      </c>
      <c r="AC15" s="10" t="n">
        <v>1.936709677419355</v>
      </c>
    </row>
    <row r="16">
      <c r="A16" s="12" t="n">
        <v>44501</v>
      </c>
      <c r="B16" t="inlineStr">
        <is>
          <t>Actual</t>
        </is>
      </c>
      <c r="C16" s="10">
        <f>N(AB16)*'Assump - LNG'!$B$5</f>
        <v/>
      </c>
      <c r="D16" s="10">
        <f>N(AC16)*'Assump - LNG'!$B$5</f>
        <v/>
      </c>
      <c r="E16" s="10">
        <f>N(AD16)*'Assump - LNG'!$B$5</f>
        <v/>
      </c>
      <c r="F16" s="10" t="n">
        <v>0</v>
      </c>
      <c r="G16" s="10" t="n">
        <v>0</v>
      </c>
      <c r="H16" s="10" t="n">
        <v>0</v>
      </c>
      <c r="I16" s="10">
        <f>SUM(C16:H16)</f>
        <v/>
      </c>
      <c r="J16" s="10">
        <f>C16</f>
        <v/>
      </c>
      <c r="K16" s="10">
        <f>D16</f>
        <v/>
      </c>
      <c r="L16" s="10">
        <f>E16</f>
        <v/>
      </c>
      <c r="M16" s="10">
        <f>F16</f>
        <v/>
      </c>
      <c r="N16" s="10">
        <f>G16</f>
        <v/>
      </c>
      <c r="O16" s="10">
        <f>H16</f>
        <v/>
      </c>
      <c r="P16" s="10">
        <f>SUM(J16:O16)</f>
        <v/>
      </c>
      <c r="Q16" s="10">
        <f>I16/'Assump - LNG'!$B$5</f>
        <v/>
      </c>
      <c r="R16" s="10">
        <f>P16/'Assump - LNG'!$B$5</f>
        <v/>
      </c>
      <c r="S16" s="10" t="n">
        <v>3.4576</v>
      </c>
      <c r="T16" s="10" t="n">
        <v>5.6497</v>
      </c>
      <c r="U16" s="10" t="n">
        <v>0.5384333333333333</v>
      </c>
      <c r="V16" s="10" t="n">
        <v>0.5129333333333332</v>
      </c>
      <c r="W16" s="10" t="n">
        <v>0.002566666666666667</v>
      </c>
      <c r="X16" s="10">
        <f>SUM(S16:W16)</f>
        <v/>
      </c>
      <c r="Y16" s="10" t="n">
        <v>2.557566666666667</v>
      </c>
      <c r="Z16" s="10">
        <f>X16+I16</f>
        <v/>
      </c>
      <c r="AA16" s="10">
        <f>X16+P16</f>
        <v/>
      </c>
      <c r="AB16" s="10" t="n">
        <v>2.1165</v>
      </c>
      <c r="AC16" s="10" t="n">
        <v>1.4647</v>
      </c>
    </row>
    <row r="17">
      <c r="A17" s="12" t="n">
        <v>44531</v>
      </c>
      <c r="B17" t="inlineStr">
        <is>
          <t>Actual</t>
        </is>
      </c>
      <c r="C17" s="10">
        <f>N(AB17)*'Assump - LNG'!$B$5</f>
        <v/>
      </c>
      <c r="D17" s="10">
        <f>N(AC17)*'Assump - LNG'!$B$5</f>
        <v/>
      </c>
      <c r="E17" s="10">
        <f>N(AD17)*'Assump - LNG'!$B$5</f>
        <v/>
      </c>
      <c r="F17" s="10" t="n">
        <v>0</v>
      </c>
      <c r="G17" s="10" t="n">
        <v>0</v>
      </c>
      <c r="H17" s="10" t="n">
        <v>0</v>
      </c>
      <c r="I17" s="10">
        <f>SUM(C17:H17)</f>
        <v/>
      </c>
      <c r="J17" s="10">
        <f>C17</f>
        <v/>
      </c>
      <c r="K17" s="10">
        <f>D17</f>
        <v/>
      </c>
      <c r="L17" s="10">
        <f>E17</f>
        <v/>
      </c>
      <c r="M17" s="10">
        <f>F17</f>
        <v/>
      </c>
      <c r="N17" s="10">
        <f>G17</f>
        <v/>
      </c>
      <c r="O17" s="10">
        <f>H17</f>
        <v/>
      </c>
      <c r="P17" s="10">
        <f>SUM(J17:O17)</f>
        <v/>
      </c>
      <c r="Q17" s="10">
        <f>I17/'Assump - LNG'!$B$5</f>
        <v/>
      </c>
      <c r="R17" s="10">
        <f>P17/'Assump - LNG'!$B$5</f>
        <v/>
      </c>
      <c r="S17" s="10" t="n">
        <v>3.378290322580646</v>
      </c>
      <c r="T17" s="10" t="n">
        <v>5.783322580645161</v>
      </c>
      <c r="U17" s="10" t="n">
        <v>0.5891612903225806</v>
      </c>
      <c r="V17" s="10" t="n">
        <v>0.5320967741935484</v>
      </c>
      <c r="W17" s="10" t="n">
        <v>0.002580645161290323</v>
      </c>
      <c r="X17" s="10">
        <f>SUM(S17:W17)</f>
        <v/>
      </c>
      <c r="Y17" s="10" t="n">
        <v>2.405741935483871</v>
      </c>
      <c r="Z17" s="10">
        <f>X17+I17</f>
        <v/>
      </c>
      <c r="AA17" s="10">
        <f>X17+P17</f>
        <v/>
      </c>
      <c r="AB17" s="10" t="n">
        <v>2.063709677419355</v>
      </c>
      <c r="AC17" s="10" t="n">
        <v>2.169774193548387</v>
      </c>
    </row>
    <row r="18">
      <c r="A18" s="12" t="n">
        <v>44562</v>
      </c>
      <c r="B18" t="inlineStr">
        <is>
          <t>Actual</t>
        </is>
      </c>
      <c r="C18" s="10">
        <f>N(AB18)*'Assump - LNG'!$B$5</f>
        <v/>
      </c>
      <c r="D18" s="10">
        <f>N(AC18)*'Assump - LNG'!$B$5</f>
        <v/>
      </c>
      <c r="E18" s="10">
        <f>N(AD18)*'Assump - LNG'!$B$5</f>
        <v/>
      </c>
      <c r="F18" s="10" t="n">
        <v>0</v>
      </c>
      <c r="G18" s="10" t="n">
        <v>0</v>
      </c>
      <c r="H18" s="10" t="n">
        <v>0</v>
      </c>
      <c r="I18" s="10">
        <f>SUM(C18:H18)</f>
        <v/>
      </c>
      <c r="J18" s="10">
        <f>C18</f>
        <v/>
      </c>
      <c r="K18" s="10">
        <f>D18</f>
        <v/>
      </c>
      <c r="L18" s="10">
        <f>E18</f>
        <v/>
      </c>
      <c r="M18" s="10">
        <f>F18</f>
        <v/>
      </c>
      <c r="N18" s="10">
        <f>G18</f>
        <v/>
      </c>
      <c r="O18" s="10">
        <f>H18</f>
        <v/>
      </c>
      <c r="P18" s="10">
        <f>SUM(J18:O18)</f>
        <v/>
      </c>
      <c r="Q18" s="10">
        <f>I18/'Assump - LNG'!$B$5</f>
        <v/>
      </c>
      <c r="R18" s="10">
        <f>P18/'Assump - LNG'!$B$5</f>
        <v/>
      </c>
      <c r="S18" s="10" t="n">
        <v>4.094129032258064</v>
      </c>
      <c r="T18" s="10" t="n">
        <v>5.599161290322581</v>
      </c>
      <c r="U18" s="10" t="n">
        <v>1.307903225806452</v>
      </c>
      <c r="V18" s="10" t="n">
        <v>0.7509677419354839</v>
      </c>
      <c r="W18" s="10" t="n">
        <v>0.003483870967741936</v>
      </c>
      <c r="X18" s="10">
        <f>SUM(S18:W18)</f>
        <v/>
      </c>
      <c r="Y18" s="10" t="n">
        <v>2.562612903225807</v>
      </c>
      <c r="Z18" s="10">
        <f>X18+I18</f>
        <v/>
      </c>
      <c r="AA18" s="10">
        <f>X18+P18</f>
        <v/>
      </c>
      <c r="AB18" s="10" t="n">
        <v>2.153354838709677</v>
      </c>
      <c r="AC18" s="10" t="n">
        <v>2.06258064516129</v>
      </c>
    </row>
    <row r="19">
      <c r="A19" s="12" t="n">
        <v>44593</v>
      </c>
      <c r="B19" t="inlineStr">
        <is>
          <t>Actual</t>
        </is>
      </c>
      <c r="C19" s="10">
        <f>N(AB19)*'Assump - LNG'!$B$5</f>
        <v/>
      </c>
      <c r="D19" s="10">
        <f>N(AC19)*'Assump - LNG'!$B$5</f>
        <v/>
      </c>
      <c r="E19" s="10">
        <f>N(AD19)*'Assump - LNG'!$B$5</f>
        <v/>
      </c>
      <c r="F19" s="10" t="n">
        <v>0</v>
      </c>
      <c r="G19" s="10" t="n">
        <v>0</v>
      </c>
      <c r="H19" s="10" t="n">
        <v>0</v>
      </c>
      <c r="I19" s="10">
        <f>SUM(C19:H19)</f>
        <v/>
      </c>
      <c r="J19" s="10">
        <f>C19</f>
        <v/>
      </c>
      <c r="K19" s="10">
        <f>D19</f>
        <v/>
      </c>
      <c r="L19" s="10">
        <f>E19</f>
        <v/>
      </c>
      <c r="M19" s="10">
        <f>F19</f>
        <v/>
      </c>
      <c r="N19" s="10">
        <f>G19</f>
        <v/>
      </c>
      <c r="O19" s="10">
        <f>H19</f>
        <v/>
      </c>
      <c r="P19" s="10">
        <f>SUM(J19:O19)</f>
        <v/>
      </c>
      <c r="Q19" s="10">
        <f>I19/'Assump - LNG'!$B$5</f>
        <v/>
      </c>
      <c r="R19" s="10">
        <f>P19/'Assump - LNG'!$B$5</f>
        <v/>
      </c>
      <c r="S19" s="10" t="n">
        <v>4.156392857142857</v>
      </c>
      <c r="T19" s="10" t="n">
        <v>5.527285714285715</v>
      </c>
      <c r="U19" s="10" t="n">
        <v>1.646</v>
      </c>
      <c r="V19" s="10" t="n">
        <v>0.8936785714285714</v>
      </c>
      <c r="W19" s="10" t="n">
        <v>0.0035</v>
      </c>
      <c r="X19" s="10">
        <f>SUM(S19:W19)</f>
        <v/>
      </c>
      <c r="Y19" s="10" t="n">
        <v>2.727035714285714</v>
      </c>
      <c r="Z19" s="10">
        <f>X19+I19</f>
        <v/>
      </c>
      <c r="AA19" s="10">
        <f>X19+P19</f>
        <v/>
      </c>
      <c r="AB19" s="10" t="n">
        <v>2.434892857142857</v>
      </c>
      <c r="AC19" s="10" t="n">
        <v>1.874428571428571</v>
      </c>
    </row>
    <row r="20">
      <c r="A20" s="12" t="n">
        <v>44621</v>
      </c>
      <c r="B20" t="inlineStr">
        <is>
          <t>Actual</t>
        </is>
      </c>
      <c r="C20" s="10">
        <f>N(AB20)*'Assump - LNG'!$B$5</f>
        <v/>
      </c>
      <c r="D20" s="10">
        <f>N(AC20)*'Assump - LNG'!$B$5</f>
        <v/>
      </c>
      <c r="E20" s="10">
        <f>N(AD20)*'Assump - LNG'!$B$5</f>
        <v/>
      </c>
      <c r="F20" s="10" t="n">
        <v>0</v>
      </c>
      <c r="G20" s="10" t="n">
        <v>0</v>
      </c>
      <c r="H20" s="10" t="n">
        <v>0</v>
      </c>
      <c r="I20" s="10">
        <f>SUM(C20:H20)</f>
        <v/>
      </c>
      <c r="J20" s="10">
        <f>C20</f>
        <v/>
      </c>
      <c r="K20" s="10">
        <f>D20</f>
        <v/>
      </c>
      <c r="L20" s="10">
        <f>E20</f>
        <v/>
      </c>
      <c r="M20" s="10">
        <f>F20</f>
        <v/>
      </c>
      <c r="N20" s="10">
        <f>G20</f>
        <v/>
      </c>
      <c r="O20" s="10">
        <f>H20</f>
        <v/>
      </c>
      <c r="P20" s="10">
        <f>SUM(J20:O20)</f>
        <v/>
      </c>
      <c r="Q20" s="10">
        <f>I20/'Assump - LNG'!$B$5</f>
        <v/>
      </c>
      <c r="R20" s="10">
        <f>P20/'Assump - LNG'!$B$5</f>
        <v/>
      </c>
      <c r="S20" s="10" t="n">
        <v>2.959516129032258</v>
      </c>
      <c r="T20" s="10" t="n">
        <v>5.511225806451613</v>
      </c>
      <c r="U20" s="10" t="n">
        <v>0.9952903225806451</v>
      </c>
      <c r="V20" s="10" t="n">
        <v>0.6364838709677419</v>
      </c>
      <c r="W20" s="10" t="n">
        <v>0.003483870967741936</v>
      </c>
      <c r="X20" s="10">
        <f>SUM(S20:W20)</f>
        <v/>
      </c>
      <c r="Y20" s="10" t="n">
        <v>2.667935483870968</v>
      </c>
      <c r="Z20" s="10">
        <f>X20+I20</f>
        <v/>
      </c>
      <c r="AA20" s="10">
        <f>X20+P20</f>
        <v/>
      </c>
      <c r="AB20" s="10" t="n">
        <v>1.940225806451613</v>
      </c>
      <c r="AC20" s="10" t="n">
        <v>2.08041935483871</v>
      </c>
    </row>
    <row r="21">
      <c r="A21" s="12" t="n">
        <v>44652</v>
      </c>
      <c r="B21" t="inlineStr">
        <is>
          <t>Actual</t>
        </is>
      </c>
      <c r="C21" s="10">
        <f>N(AB21)*'Assump - LNG'!$B$5</f>
        <v/>
      </c>
      <c r="D21" s="10">
        <f>N(AC21)*'Assump - LNG'!$B$5</f>
        <v/>
      </c>
      <c r="E21" s="10">
        <f>N(AD21)*'Assump - LNG'!$B$5</f>
        <v/>
      </c>
      <c r="F21" s="10" t="n">
        <v>0</v>
      </c>
      <c r="G21" s="10" t="n">
        <v>0</v>
      </c>
      <c r="H21" s="10" t="n">
        <v>0</v>
      </c>
      <c r="I21" s="10">
        <f>SUM(C21:H21)</f>
        <v/>
      </c>
      <c r="J21" s="10">
        <f>C21</f>
        <v/>
      </c>
      <c r="K21" s="10">
        <f>D21</f>
        <v/>
      </c>
      <c r="L21" s="10">
        <f>E21</f>
        <v/>
      </c>
      <c r="M21" s="10">
        <f>F21</f>
        <v/>
      </c>
      <c r="N21" s="10">
        <f>G21</f>
        <v/>
      </c>
      <c r="O21" s="10">
        <f>H21</f>
        <v/>
      </c>
      <c r="P21" s="10">
        <f>SUM(J21:O21)</f>
        <v/>
      </c>
      <c r="Q21" s="10">
        <f>I21/'Assump - LNG'!$B$5</f>
        <v/>
      </c>
      <c r="R21" s="10">
        <f>P21/'Assump - LNG'!$B$5</f>
        <v/>
      </c>
      <c r="S21" s="10" t="n">
        <v>3.282933333333333</v>
      </c>
      <c r="T21" s="10" t="n">
        <v>5.453966666666666</v>
      </c>
      <c r="U21" s="10" t="n">
        <v>0.4558</v>
      </c>
      <c r="V21" s="10" t="n">
        <v>0.4546666666666667</v>
      </c>
      <c r="W21" s="10" t="n">
        <v>0.0035</v>
      </c>
      <c r="X21" s="10">
        <f>SUM(S21:W21)</f>
        <v/>
      </c>
      <c r="Y21" s="10" t="n">
        <v>2.7244</v>
      </c>
      <c r="Z21" s="10">
        <f>X21+I21</f>
        <v/>
      </c>
      <c r="AA21" s="10">
        <f>X21+P21</f>
        <v/>
      </c>
      <c r="AB21" s="10" t="n">
        <v>1.9423</v>
      </c>
      <c r="AC21" s="10" t="n">
        <v>1.3095</v>
      </c>
    </row>
    <row r="22">
      <c r="A22" s="12" t="n">
        <v>44682</v>
      </c>
      <c r="B22" t="inlineStr">
        <is>
          <t>Actual</t>
        </is>
      </c>
      <c r="C22" s="10">
        <f>N(AB22)*'Assump - LNG'!$B$5</f>
        <v/>
      </c>
      <c r="D22" s="10">
        <f>N(AC22)*'Assump - LNG'!$B$5</f>
        <v/>
      </c>
      <c r="E22" s="10">
        <f>N(AD22)*'Assump - LNG'!$B$5</f>
        <v/>
      </c>
      <c r="F22" s="10" t="n">
        <v>0</v>
      </c>
      <c r="G22" s="10" t="n">
        <v>0</v>
      </c>
      <c r="H22" s="10" t="n">
        <v>0</v>
      </c>
      <c r="I22" s="10">
        <f>SUM(C22:H22)</f>
        <v/>
      </c>
      <c r="J22" s="10">
        <f>C22</f>
        <v/>
      </c>
      <c r="K22" s="10">
        <f>D22</f>
        <v/>
      </c>
      <c r="L22" s="10">
        <f>E22</f>
        <v/>
      </c>
      <c r="M22" s="10">
        <f>F22</f>
        <v/>
      </c>
      <c r="N22" s="10">
        <f>G22</f>
        <v/>
      </c>
      <c r="O22" s="10">
        <f>H22</f>
        <v/>
      </c>
      <c r="P22" s="10">
        <f>SUM(J22:O22)</f>
        <v/>
      </c>
      <c r="Q22" s="10">
        <f>I22/'Assump - LNG'!$B$5</f>
        <v/>
      </c>
      <c r="R22" s="10">
        <f>P22/'Assump - LNG'!$B$5</f>
        <v/>
      </c>
      <c r="S22" s="10" t="n">
        <v>4.855322580645161</v>
      </c>
      <c r="T22" s="10" t="n">
        <v>5.277774193548387</v>
      </c>
      <c r="U22" s="10" t="n">
        <v>0.2358387096774194</v>
      </c>
      <c r="V22" s="10" t="n">
        <v>0.3918387096774194</v>
      </c>
      <c r="W22" s="10" t="n">
        <v>0.003483870967741936</v>
      </c>
      <c r="X22" s="10">
        <f>SUM(S22:W22)</f>
        <v/>
      </c>
      <c r="Y22" s="10" t="n">
        <v>2.805161290322581</v>
      </c>
      <c r="Z22" s="10">
        <f>X22+I22</f>
        <v/>
      </c>
      <c r="AA22" s="10">
        <f>X22+P22</f>
        <v/>
      </c>
      <c r="AB22" s="10" t="n">
        <v>1.999451612903226</v>
      </c>
      <c r="AC22" s="10" t="n">
        <v>2.047806451612903</v>
      </c>
    </row>
    <row r="23">
      <c r="A23" s="12" t="n">
        <v>44713</v>
      </c>
      <c r="B23" t="inlineStr">
        <is>
          <t>Actual</t>
        </is>
      </c>
      <c r="C23" s="10">
        <f>N(AB23)*'Assump - LNG'!$B$5</f>
        <v/>
      </c>
      <c r="D23" s="10">
        <f>N(AC23)*'Assump - LNG'!$B$5</f>
        <v/>
      </c>
      <c r="E23" s="10">
        <f>N(AD23)*'Assump - LNG'!$B$5</f>
        <v/>
      </c>
      <c r="F23" s="10" t="n">
        <v>0</v>
      </c>
      <c r="G23" s="10" t="n">
        <v>0</v>
      </c>
      <c r="H23" s="10" t="n">
        <v>0</v>
      </c>
      <c r="I23" s="10">
        <f>SUM(C23:H23)</f>
        <v/>
      </c>
      <c r="J23" s="10">
        <f>C23</f>
        <v/>
      </c>
      <c r="K23" s="10">
        <f>D23</f>
        <v/>
      </c>
      <c r="L23" s="10">
        <f>E23</f>
        <v/>
      </c>
      <c r="M23" s="10">
        <f>F23</f>
        <v/>
      </c>
      <c r="N23" s="10">
        <f>G23</f>
        <v/>
      </c>
      <c r="O23" s="10">
        <f>H23</f>
        <v/>
      </c>
      <c r="P23" s="10">
        <f>SUM(J23:O23)</f>
        <v/>
      </c>
      <c r="Q23" s="10">
        <f>I23/'Assump - LNG'!$B$5</f>
        <v/>
      </c>
      <c r="R23" s="10">
        <f>P23/'Assump - LNG'!$B$5</f>
        <v/>
      </c>
      <c r="S23" s="10" t="n">
        <v>6.1464</v>
      </c>
      <c r="T23" s="10" t="n">
        <v>5.399933333333333</v>
      </c>
      <c r="U23" s="10" t="n">
        <v>0.2081</v>
      </c>
      <c r="V23" s="10" t="n">
        <v>0.3769333333333333</v>
      </c>
      <c r="W23" s="10" t="n">
        <v>0.0035</v>
      </c>
      <c r="X23" s="10">
        <f>SUM(S23:W23)</f>
        <v/>
      </c>
      <c r="Y23" s="10" t="n">
        <v>2.674066666666667</v>
      </c>
      <c r="Z23" s="10">
        <f>X23+I23</f>
        <v/>
      </c>
      <c r="AA23" s="10">
        <f>X23+P23</f>
        <v/>
      </c>
      <c r="AB23" s="10" t="n">
        <v>2.124033333333333</v>
      </c>
      <c r="AC23" s="10" t="n">
        <v>0.5774333333333332</v>
      </c>
    </row>
    <row r="24">
      <c r="A24" s="12" t="n">
        <v>44743</v>
      </c>
      <c r="B24" t="inlineStr">
        <is>
          <t>Actual</t>
        </is>
      </c>
      <c r="C24" s="10">
        <f>N(AB24)*'Assump - LNG'!$B$5</f>
        <v/>
      </c>
      <c r="D24" s="10">
        <f>N(AC24)*'Assump - LNG'!$B$5</f>
        <v/>
      </c>
      <c r="E24" s="10">
        <f>N(AD24)*'Assump - LNG'!$B$5</f>
        <v/>
      </c>
      <c r="F24" s="10" t="n">
        <v>0</v>
      </c>
      <c r="G24" s="10" t="n">
        <v>0</v>
      </c>
      <c r="H24" s="10" t="n">
        <v>0</v>
      </c>
      <c r="I24" s="10">
        <f>SUM(C24:H24)</f>
        <v/>
      </c>
      <c r="J24" s="10">
        <f>C24</f>
        <v/>
      </c>
      <c r="K24" s="10">
        <f>D24</f>
        <v/>
      </c>
      <c r="L24" s="10">
        <f>E24</f>
        <v/>
      </c>
      <c r="M24" s="10">
        <f>F24</f>
        <v/>
      </c>
      <c r="N24" s="10">
        <f>G24</f>
        <v/>
      </c>
      <c r="O24" s="10">
        <f>H24</f>
        <v/>
      </c>
      <c r="P24" s="10">
        <f>SUM(J24:O24)</f>
        <v/>
      </c>
      <c r="Q24" s="10">
        <f>I24/'Assump - LNG'!$B$5</f>
        <v/>
      </c>
      <c r="R24" s="10">
        <f>P24/'Assump - LNG'!$B$5</f>
        <v/>
      </c>
      <c r="S24" s="10" t="n">
        <v>7.247</v>
      </c>
      <c r="T24" s="10" t="n">
        <v>5.349774193548387</v>
      </c>
      <c r="U24" s="10" t="n">
        <v>0.198</v>
      </c>
      <c r="V24" s="10" t="n">
        <v>0.3811935483870968</v>
      </c>
      <c r="W24" s="10" t="n">
        <v>0.003483870967741936</v>
      </c>
      <c r="X24" s="10">
        <f>SUM(S24:W24)</f>
        <v/>
      </c>
      <c r="Y24" s="10" t="n">
        <v>2.817677419354839</v>
      </c>
      <c r="Z24" s="10">
        <f>X24+I24</f>
        <v/>
      </c>
      <c r="AA24" s="10">
        <f>X24+P24</f>
        <v/>
      </c>
      <c r="AB24" s="10" t="n">
        <v>2.034870967741935</v>
      </c>
    </row>
    <row r="25">
      <c r="A25" s="12" t="n">
        <v>44774</v>
      </c>
      <c r="B25" t="inlineStr">
        <is>
          <t>Actual</t>
        </is>
      </c>
      <c r="C25" s="10">
        <f>N(AB25)*'Assump - LNG'!$B$5</f>
        <v/>
      </c>
      <c r="D25" s="10">
        <f>N(AC25)*'Assump - LNG'!$B$5</f>
        <v/>
      </c>
      <c r="E25" s="10">
        <f>N(AD25)*'Assump - LNG'!$B$5</f>
        <v/>
      </c>
      <c r="F25" s="10" t="n">
        <v>0</v>
      </c>
      <c r="G25" s="10" t="n">
        <v>0</v>
      </c>
      <c r="H25" s="10" t="n">
        <v>0</v>
      </c>
      <c r="I25" s="10">
        <f>SUM(C25:H25)</f>
        <v/>
      </c>
      <c r="J25" s="10">
        <f>C25</f>
        <v/>
      </c>
      <c r="K25" s="10">
        <f>D25</f>
        <v/>
      </c>
      <c r="L25" s="10">
        <f>E25</f>
        <v/>
      </c>
      <c r="M25" s="10">
        <f>F25</f>
        <v/>
      </c>
      <c r="N25" s="10">
        <f>G25</f>
        <v/>
      </c>
      <c r="O25" s="10">
        <f>H25</f>
        <v/>
      </c>
      <c r="P25" s="10">
        <f>SUM(J25:O25)</f>
        <v/>
      </c>
      <c r="Q25" s="10">
        <f>I25/'Assump - LNG'!$B$5</f>
        <v/>
      </c>
      <c r="R25" s="10">
        <f>P25/'Assump - LNG'!$B$5</f>
        <v/>
      </c>
      <c r="S25" s="10" t="n">
        <v>7.078322580645161</v>
      </c>
      <c r="T25" s="10" t="n">
        <v>5.306225806451613</v>
      </c>
      <c r="U25" s="10" t="n">
        <v>0.1731290322580645</v>
      </c>
      <c r="V25" s="10" t="n">
        <v>0.3629354838709677</v>
      </c>
      <c r="W25" s="10" t="n">
        <v>0.003483870967741936</v>
      </c>
      <c r="X25" s="10">
        <f>SUM(S25:W25)</f>
        <v/>
      </c>
      <c r="Y25" s="10" t="n">
        <v>2.790903225806451</v>
      </c>
      <c r="Z25" s="10">
        <f>X25+I25</f>
        <v/>
      </c>
      <c r="AA25" s="10">
        <f>X25+P25</f>
        <v/>
      </c>
      <c r="AB25" s="10" t="n">
        <v>2.04541935483871</v>
      </c>
    </row>
    <row r="26">
      <c r="A26" s="12" t="n">
        <v>44805</v>
      </c>
      <c r="B26" t="inlineStr">
        <is>
          <t>Actual</t>
        </is>
      </c>
      <c r="C26" s="10">
        <f>N(AB26)*'Assump - LNG'!$B$5</f>
        <v/>
      </c>
      <c r="D26" s="10">
        <f>N(AC26)*'Assump - LNG'!$B$5</f>
        <v/>
      </c>
      <c r="E26" s="10">
        <f>N(AD26)*'Assump - LNG'!$B$5</f>
        <v/>
      </c>
      <c r="F26" s="10" t="n">
        <v>0</v>
      </c>
      <c r="G26" s="10" t="n">
        <v>0</v>
      </c>
      <c r="H26" s="10" t="n">
        <v>0</v>
      </c>
      <c r="I26" s="10">
        <f>SUM(C26:H26)</f>
        <v/>
      </c>
      <c r="J26" s="10">
        <f>C26</f>
        <v/>
      </c>
      <c r="K26" s="10">
        <f>D26</f>
        <v/>
      </c>
      <c r="L26" s="10">
        <f>E26</f>
        <v/>
      </c>
      <c r="M26" s="10">
        <f>F26</f>
        <v/>
      </c>
      <c r="N26" s="10">
        <f>G26</f>
        <v/>
      </c>
      <c r="O26" s="10">
        <f>H26</f>
        <v/>
      </c>
      <c r="P26" s="10">
        <f>SUM(J26:O26)</f>
        <v/>
      </c>
      <c r="Q26" s="10">
        <f>I26/'Assump - LNG'!$B$5</f>
        <v/>
      </c>
      <c r="R26" s="10">
        <f>P26/'Assump - LNG'!$B$5</f>
        <v/>
      </c>
      <c r="S26" s="10" t="n">
        <v>6.03</v>
      </c>
      <c r="T26" s="10" t="n">
        <v>5.1567</v>
      </c>
      <c r="U26" s="10" t="n">
        <v>0.1889666666666667</v>
      </c>
      <c r="V26" s="10" t="n">
        <v>0.3755333333333334</v>
      </c>
      <c r="W26" s="10" t="n">
        <v>0.0035</v>
      </c>
      <c r="X26" s="10">
        <f>SUM(S26:W26)</f>
        <v/>
      </c>
      <c r="Y26" s="10" t="n">
        <v>2.759933333333333</v>
      </c>
      <c r="Z26" s="10">
        <f>X26+I26</f>
        <v/>
      </c>
      <c r="AA26" s="10">
        <f>X26+P26</f>
        <v/>
      </c>
      <c r="AB26" s="10" t="n">
        <v>1.9937</v>
      </c>
    </row>
    <row r="27">
      <c r="A27" s="12" t="n">
        <v>44835</v>
      </c>
      <c r="B27" t="inlineStr">
        <is>
          <t>Actual</t>
        </is>
      </c>
      <c r="C27" s="10">
        <f>N(AB27)*'Assump - LNG'!$B$5</f>
        <v/>
      </c>
      <c r="D27" s="10">
        <f>N(AC27)*'Assump - LNG'!$B$5</f>
        <v/>
      </c>
      <c r="E27" s="10">
        <f>N(AD27)*'Assump - LNG'!$B$5</f>
        <v/>
      </c>
      <c r="F27" s="10" t="n">
        <v>0</v>
      </c>
      <c r="G27" s="10" t="n">
        <v>0</v>
      </c>
      <c r="H27" s="10" t="n">
        <v>0</v>
      </c>
      <c r="I27" s="10">
        <f>SUM(C27:H27)</f>
        <v/>
      </c>
      <c r="J27" s="10">
        <f>C27</f>
        <v/>
      </c>
      <c r="K27" s="10">
        <f>D27</f>
        <v/>
      </c>
      <c r="L27" s="10">
        <f>E27</f>
        <v/>
      </c>
      <c r="M27" s="10">
        <f>F27</f>
        <v/>
      </c>
      <c r="N27" s="10">
        <f>G27</f>
        <v/>
      </c>
      <c r="O27" s="10">
        <f>H27</f>
        <v/>
      </c>
      <c r="P27" s="10">
        <f>SUM(J27:O27)</f>
        <v/>
      </c>
      <c r="Q27" s="10">
        <f>I27/'Assump - LNG'!$B$5</f>
        <v/>
      </c>
      <c r="R27" s="10">
        <f>P27/'Assump - LNG'!$B$5</f>
        <v/>
      </c>
      <c r="S27" s="10" t="n">
        <v>4.475677419354839</v>
      </c>
      <c r="T27" s="10" t="n">
        <v>5.268645161290323</v>
      </c>
      <c r="U27" s="10" t="n">
        <v>0.2959032258064516</v>
      </c>
      <c r="V27" s="10" t="n">
        <v>0.4337741935483871</v>
      </c>
      <c r="W27" s="10" t="n">
        <v>0.003483870967741936</v>
      </c>
      <c r="X27" s="10">
        <f>SUM(S27:W27)</f>
        <v/>
      </c>
      <c r="Y27" s="10" t="n">
        <v>2.740677419354839</v>
      </c>
      <c r="Z27" s="10">
        <f>X27+I27</f>
        <v/>
      </c>
      <c r="AA27" s="10">
        <f>X27+P27</f>
        <v/>
      </c>
      <c r="AB27" s="10" t="n">
        <v>2.154387096774194</v>
      </c>
    </row>
    <row r="28">
      <c r="A28" s="12" t="n">
        <v>44866</v>
      </c>
      <c r="B28" t="inlineStr">
        <is>
          <t>Actual</t>
        </is>
      </c>
      <c r="C28" s="10">
        <f>N(AB28)*'Assump - LNG'!$B$5</f>
        <v/>
      </c>
      <c r="D28" s="10">
        <f>N(AC28)*'Assump - LNG'!$B$5</f>
        <v/>
      </c>
      <c r="E28" s="10">
        <f>N(AD28)*'Assump - LNG'!$B$5</f>
        <v/>
      </c>
      <c r="F28" s="10" t="n">
        <v>0</v>
      </c>
      <c r="G28" s="10" t="n">
        <v>0</v>
      </c>
      <c r="H28" s="10" t="n">
        <v>0</v>
      </c>
      <c r="I28" s="10">
        <f>SUM(C28:H28)</f>
        <v/>
      </c>
      <c r="J28" s="10">
        <f>C28</f>
        <v/>
      </c>
      <c r="K28" s="10">
        <f>D28</f>
        <v/>
      </c>
      <c r="L28" s="10">
        <f>E28</f>
        <v/>
      </c>
      <c r="M28" s="10">
        <f>F28</f>
        <v/>
      </c>
      <c r="N28" s="10">
        <f>G28</f>
        <v/>
      </c>
      <c r="O28" s="10">
        <f>H28</f>
        <v/>
      </c>
      <c r="P28" s="10">
        <f>SUM(J28:O28)</f>
        <v/>
      </c>
      <c r="Q28" s="10">
        <f>I28/'Assump - LNG'!$B$5</f>
        <v/>
      </c>
      <c r="R28" s="10">
        <f>P28/'Assump - LNG'!$B$5</f>
        <v/>
      </c>
      <c r="S28" s="10" t="n">
        <v>4.325966666666666</v>
      </c>
      <c r="T28" s="10" t="n">
        <v>5.461066666666667</v>
      </c>
      <c r="U28" s="10" t="n">
        <v>0.8497333333333333</v>
      </c>
      <c r="V28" s="10" t="n">
        <v>0.7006</v>
      </c>
      <c r="W28" s="10" t="n">
        <v>0.0035</v>
      </c>
      <c r="X28" s="10">
        <f>SUM(S28:W28)</f>
        <v/>
      </c>
      <c r="Y28" s="10" t="n">
        <v>2.750966666666667</v>
      </c>
      <c r="Z28" s="10">
        <f>X28+I28</f>
        <v/>
      </c>
      <c r="AA28" s="10">
        <f>X28+P28</f>
        <v/>
      </c>
      <c r="AB28" s="10" t="n">
        <v>1.900933333333333</v>
      </c>
    </row>
    <row r="29">
      <c r="A29" s="12" t="n">
        <v>44896</v>
      </c>
      <c r="B29" t="inlineStr">
        <is>
          <t>Actual</t>
        </is>
      </c>
      <c r="C29" s="10">
        <f>N(AB29)*'Assump - LNG'!$B$5</f>
        <v/>
      </c>
      <c r="D29" s="10">
        <f>N(AC29)*'Assump - LNG'!$B$5</f>
        <v/>
      </c>
      <c r="E29" s="10">
        <f>N(AD29)*'Assump - LNG'!$B$5</f>
        <v/>
      </c>
      <c r="F29" s="10" t="n">
        <v>0</v>
      </c>
      <c r="G29" s="10" t="n">
        <v>0</v>
      </c>
      <c r="H29" s="10" t="n">
        <v>0</v>
      </c>
      <c r="I29" s="10">
        <f>SUM(C29:H29)</f>
        <v/>
      </c>
      <c r="J29" s="10">
        <f>C29</f>
        <v/>
      </c>
      <c r="K29" s="10">
        <f>D29</f>
        <v/>
      </c>
      <c r="L29" s="10">
        <f>E29</f>
        <v/>
      </c>
      <c r="M29" s="10">
        <f>F29</f>
        <v/>
      </c>
      <c r="N29" s="10">
        <f>G29</f>
        <v/>
      </c>
      <c r="O29" s="10">
        <f>H29</f>
        <v/>
      </c>
      <c r="P29" s="10">
        <f>SUM(J29:O29)</f>
        <v/>
      </c>
      <c r="Q29" s="10">
        <f>I29/'Assump - LNG'!$B$5</f>
        <v/>
      </c>
      <c r="R29" s="10">
        <f>P29/'Assump - LNG'!$B$5</f>
        <v/>
      </c>
      <c r="S29" s="10" t="n">
        <v>4.625387096774193</v>
      </c>
      <c r="T29" s="10" t="n">
        <v>5.226</v>
      </c>
      <c r="U29" s="10" t="n">
        <v>1.168129032258065</v>
      </c>
      <c r="V29" s="10" t="n">
        <v>0.7404838709677419</v>
      </c>
      <c r="W29" s="10" t="n">
        <v>0.003483870967741936</v>
      </c>
      <c r="X29" s="10">
        <f>SUM(S29:W29)</f>
        <v/>
      </c>
      <c r="Y29" s="10" t="n">
        <v>2.523516129032258</v>
      </c>
      <c r="Z29" s="10">
        <f>X29+I29</f>
        <v/>
      </c>
      <c r="AA29" s="10">
        <f>X29+P29</f>
        <v/>
      </c>
      <c r="AB29" s="10" t="n">
        <v>2.068354838709678</v>
      </c>
    </row>
    <row r="30">
      <c r="A30" s="12" t="n">
        <v>44927</v>
      </c>
      <c r="B30" t="inlineStr">
        <is>
          <t>Actual</t>
        </is>
      </c>
      <c r="C30" s="10">
        <f>N(AB30)*'Assump - LNG'!$B$5</f>
        <v/>
      </c>
      <c r="D30" s="10">
        <f>N(AC30)*'Assump - LNG'!$B$5</f>
        <v/>
      </c>
      <c r="E30" s="10">
        <f>N(AD30)*'Assump - LNG'!$B$5</f>
        <v/>
      </c>
      <c r="F30" s="10" t="n">
        <v>0</v>
      </c>
      <c r="G30" s="10" t="n">
        <v>0</v>
      </c>
      <c r="H30" s="10" t="n">
        <v>0</v>
      </c>
      <c r="I30" s="10">
        <f>SUM(C30:H30)</f>
        <v/>
      </c>
      <c r="J30" s="10">
        <f>C30</f>
        <v/>
      </c>
      <c r="K30" s="10">
        <f>D30</f>
        <v/>
      </c>
      <c r="L30" s="10">
        <f>E30</f>
        <v/>
      </c>
      <c r="M30" s="10">
        <f>F30</f>
        <v/>
      </c>
      <c r="N30" s="10">
        <f>G30</f>
        <v/>
      </c>
      <c r="O30" s="10">
        <f>H30</f>
        <v/>
      </c>
      <c r="P30" s="10">
        <f>SUM(J30:O30)</f>
        <v/>
      </c>
      <c r="Q30" s="10">
        <f>I30/'Assump - LNG'!$B$5</f>
        <v/>
      </c>
      <c r="R30" s="10">
        <f>P30/'Assump - LNG'!$B$5</f>
        <v/>
      </c>
      <c r="S30" s="10" t="n">
        <v>4.131806451612904</v>
      </c>
      <c r="T30" s="10" t="n">
        <v>5.51583870967742</v>
      </c>
      <c r="U30" s="10" t="n">
        <v>1.208774193548387</v>
      </c>
      <c r="V30" s="10" t="n">
        <v>0.7606774193548387</v>
      </c>
      <c r="W30" s="10" t="n">
        <v>0.002548387096774193</v>
      </c>
      <c r="X30" s="10">
        <f>SUM(S30:W30)</f>
        <v/>
      </c>
      <c r="Y30" s="10" t="n">
        <v>2.707741935483871</v>
      </c>
      <c r="Z30" s="10">
        <f>X30+I30</f>
        <v/>
      </c>
      <c r="AA30" s="10">
        <f>X30+P30</f>
        <v/>
      </c>
      <c r="AB30" s="10" t="n">
        <v>2.018322580645161</v>
      </c>
    </row>
    <row r="31">
      <c r="A31" s="12" t="n">
        <v>44958</v>
      </c>
      <c r="B31" t="inlineStr">
        <is>
          <t>Actual</t>
        </is>
      </c>
      <c r="C31" s="10">
        <f>N(AB31)*'Assump - LNG'!$B$5</f>
        <v/>
      </c>
      <c r="D31" s="10">
        <f>N(AC31)*'Assump - LNG'!$B$5</f>
        <v/>
      </c>
      <c r="E31" s="10">
        <f>N(AD31)*'Assump - LNG'!$B$5</f>
        <v/>
      </c>
      <c r="F31" s="10" t="n">
        <v>0</v>
      </c>
      <c r="G31" s="10" t="n">
        <v>0</v>
      </c>
      <c r="H31" s="10" t="n">
        <v>0</v>
      </c>
      <c r="I31" s="10">
        <f>SUM(C31:H31)</f>
        <v/>
      </c>
      <c r="J31" s="10">
        <f>C31</f>
        <v/>
      </c>
      <c r="K31" s="10">
        <f>D31</f>
        <v/>
      </c>
      <c r="L31" s="10">
        <f>E31</f>
        <v/>
      </c>
      <c r="M31" s="10">
        <f>F31</f>
        <v/>
      </c>
      <c r="N31" s="10">
        <f>G31</f>
        <v/>
      </c>
      <c r="O31" s="10">
        <f>H31</f>
        <v/>
      </c>
      <c r="P31" s="10">
        <f>SUM(J31:O31)</f>
        <v/>
      </c>
      <c r="Q31" s="10">
        <f>I31/'Assump - LNG'!$B$5</f>
        <v/>
      </c>
      <c r="R31" s="10">
        <f>P31/'Assump - LNG'!$B$5</f>
        <v/>
      </c>
      <c r="S31" s="10" t="n">
        <v>4.249357142857143</v>
      </c>
      <c r="T31" s="10" t="n">
        <v>5.526035714285714</v>
      </c>
      <c r="U31" s="10" t="n">
        <v>1.250571428571429</v>
      </c>
      <c r="V31" s="10" t="n">
        <v>0.8006071428571429</v>
      </c>
      <c r="W31" s="10" t="n">
        <v>0.002535714285714286</v>
      </c>
      <c r="X31" s="10">
        <f>SUM(S31:W31)</f>
        <v/>
      </c>
      <c r="Y31" s="10" t="n">
        <v>2.707571428571429</v>
      </c>
      <c r="Z31" s="10">
        <f>X31+I31</f>
        <v/>
      </c>
      <c r="AA31" s="10">
        <f>X31+P31</f>
        <v/>
      </c>
      <c r="AB31" s="10" t="n">
        <v>2.289785714285714</v>
      </c>
      <c r="AC31" s="10" t="n">
        <v>0.4127142857142857</v>
      </c>
    </row>
    <row r="32">
      <c r="A32" s="12" t="n">
        <v>44986</v>
      </c>
      <c r="B32" t="inlineStr">
        <is>
          <t>Actual</t>
        </is>
      </c>
      <c r="C32" s="10">
        <f>N(AB32)*'Assump - LNG'!$B$5</f>
        <v/>
      </c>
      <c r="D32" s="10">
        <f>N(AC32)*'Assump - LNG'!$B$5</f>
        <v/>
      </c>
      <c r="E32" s="10">
        <f>N(AD32)*'Assump - LNG'!$B$5</f>
        <v/>
      </c>
      <c r="F32" s="10" t="n">
        <v>0</v>
      </c>
      <c r="G32" s="10" t="n">
        <v>0</v>
      </c>
      <c r="H32" s="10" t="n">
        <v>0</v>
      </c>
      <c r="I32" s="10">
        <f>SUM(C32:H32)</f>
        <v/>
      </c>
      <c r="J32" s="10">
        <f>C32</f>
        <v/>
      </c>
      <c r="K32" s="10">
        <f>D32</f>
        <v/>
      </c>
      <c r="L32" s="10">
        <f>E32</f>
        <v/>
      </c>
      <c r="M32" s="10">
        <f>F32</f>
        <v/>
      </c>
      <c r="N32" s="10">
        <f>G32</f>
        <v/>
      </c>
      <c r="O32" s="10">
        <f>H32</f>
        <v/>
      </c>
      <c r="P32" s="10">
        <f>SUM(J32:O32)</f>
        <v/>
      </c>
      <c r="Q32" s="10">
        <f>I32/'Assump - LNG'!$B$5</f>
        <v/>
      </c>
      <c r="R32" s="10">
        <f>P32/'Assump - LNG'!$B$5</f>
        <v/>
      </c>
      <c r="S32" s="10" t="n">
        <v>3.893903225806452</v>
      </c>
      <c r="T32" s="10" t="n">
        <v>5.402161290322581</v>
      </c>
      <c r="U32" s="10" t="n">
        <v>0.694516129032258</v>
      </c>
      <c r="V32" s="10" t="n">
        <v>0.615225806451613</v>
      </c>
      <c r="W32" s="10" t="n">
        <v>0.002548387096774193</v>
      </c>
      <c r="X32" s="10">
        <f>SUM(S32:W32)</f>
        <v/>
      </c>
      <c r="Y32" s="10" t="n">
        <v>2.856064516129032</v>
      </c>
      <c r="Z32" s="10">
        <f>X32+I32</f>
        <v/>
      </c>
      <c r="AA32" s="10">
        <f>X32+P32</f>
        <v/>
      </c>
      <c r="AB32" s="10" t="n">
        <v>2.165870967741935</v>
      </c>
      <c r="AC32" s="10" t="n">
        <v>0.9348709677419355</v>
      </c>
    </row>
    <row r="33">
      <c r="A33" s="12" t="n">
        <v>45017</v>
      </c>
      <c r="B33" t="inlineStr">
        <is>
          <t>Actual</t>
        </is>
      </c>
      <c r="C33" s="10">
        <f>N(AB33)*'Assump - LNG'!$B$5</f>
        <v/>
      </c>
      <c r="D33" s="10">
        <f>N(AC33)*'Assump - LNG'!$B$5</f>
        <v/>
      </c>
      <c r="E33" s="10">
        <f>N(AD33)*'Assump - LNG'!$B$5</f>
        <v/>
      </c>
      <c r="F33" s="10" t="n">
        <v>0</v>
      </c>
      <c r="G33" s="10" t="n">
        <v>0</v>
      </c>
      <c r="H33" s="10" t="n">
        <v>0</v>
      </c>
      <c r="I33" s="10">
        <f>SUM(C33:H33)</f>
        <v/>
      </c>
      <c r="J33" s="10">
        <f>C33</f>
        <v/>
      </c>
      <c r="K33" s="10">
        <f>D33</f>
        <v/>
      </c>
      <c r="L33" s="10">
        <f>E33</f>
        <v/>
      </c>
      <c r="M33" s="10">
        <f>F33</f>
        <v/>
      </c>
      <c r="N33" s="10">
        <f>G33</f>
        <v/>
      </c>
      <c r="O33" s="10">
        <f>H33</f>
        <v/>
      </c>
      <c r="P33" s="10">
        <f>SUM(J33:O33)</f>
        <v/>
      </c>
      <c r="Q33" s="10">
        <f>I33/'Assump - LNG'!$B$5</f>
        <v/>
      </c>
      <c r="R33" s="10">
        <f>P33/'Assump - LNG'!$B$5</f>
        <v/>
      </c>
      <c r="S33" s="10" t="n">
        <v>3.9954</v>
      </c>
      <c r="T33" s="10" t="n">
        <v>5.470466666666666</v>
      </c>
      <c r="U33" s="10" t="n">
        <v>0.4013333333333333</v>
      </c>
      <c r="V33" s="10" t="n">
        <v>0.4463666666666667</v>
      </c>
      <c r="W33" s="10" t="n">
        <v>0.002533333333333333</v>
      </c>
      <c r="X33" s="10">
        <f>SUM(S33:W33)</f>
        <v/>
      </c>
      <c r="Y33" s="10" t="n">
        <v>2.752766666666667</v>
      </c>
      <c r="Z33" s="10">
        <f>X33+I33</f>
        <v/>
      </c>
      <c r="AA33" s="10">
        <f>X33+P33</f>
        <v/>
      </c>
      <c r="AB33" s="10" t="n">
        <v>1.8517</v>
      </c>
      <c r="AC33" s="10" t="n">
        <v>2.083933333333333</v>
      </c>
    </row>
    <row r="34">
      <c r="A34" s="12" t="n">
        <v>45047</v>
      </c>
      <c r="B34" t="inlineStr">
        <is>
          <t>Actual</t>
        </is>
      </c>
      <c r="C34" s="10">
        <f>N(AB34)*'Assump - LNG'!$B$5</f>
        <v/>
      </c>
      <c r="D34" s="10">
        <f>N(AC34)*'Assump - LNG'!$B$5</f>
        <v/>
      </c>
      <c r="E34" s="10">
        <f>N(AD34)*'Assump - LNG'!$B$5</f>
        <v/>
      </c>
      <c r="F34" s="10" t="n">
        <v>0</v>
      </c>
      <c r="G34" s="10" t="n">
        <v>0</v>
      </c>
      <c r="H34" s="10" t="n">
        <v>0</v>
      </c>
      <c r="I34" s="10">
        <f>SUM(C34:H34)</f>
        <v/>
      </c>
      <c r="J34" s="10">
        <f>C34</f>
        <v/>
      </c>
      <c r="K34" s="10">
        <f>D34</f>
        <v/>
      </c>
      <c r="L34" s="10">
        <f>E34</f>
        <v/>
      </c>
      <c r="M34" s="10">
        <f>F34</f>
        <v/>
      </c>
      <c r="N34" s="10">
        <f>G34</f>
        <v/>
      </c>
      <c r="O34" s="10">
        <f>H34</f>
        <v/>
      </c>
      <c r="P34" s="10">
        <f>SUM(J34:O34)</f>
        <v/>
      </c>
      <c r="Q34" s="10">
        <f>I34/'Assump - LNG'!$B$5</f>
        <v/>
      </c>
      <c r="R34" s="10">
        <f>P34/'Assump - LNG'!$B$5</f>
        <v/>
      </c>
      <c r="S34" s="10" t="n">
        <v>5.581419354838709</v>
      </c>
      <c r="T34" s="10" t="n">
        <v>5.328387096774193</v>
      </c>
      <c r="U34" s="10" t="n">
        <v>0.2346774193548387</v>
      </c>
      <c r="V34" s="10" t="n">
        <v>0.4124516129032258</v>
      </c>
      <c r="W34" s="10" t="n">
        <v>0.002548387096774193</v>
      </c>
      <c r="X34" s="10">
        <f>SUM(S34:W34)</f>
        <v/>
      </c>
      <c r="Y34" s="10" t="n">
        <v>2.939967741935484</v>
      </c>
      <c r="Z34" s="10">
        <f>X34+I34</f>
        <v/>
      </c>
      <c r="AA34" s="10">
        <f>X34+P34</f>
        <v/>
      </c>
      <c r="AB34" s="10" t="n">
        <v>1.86258064516129</v>
      </c>
      <c r="AC34" s="10" t="n">
        <v>2.206645161290322</v>
      </c>
    </row>
    <row r="35">
      <c r="A35" s="12" t="n">
        <v>45078</v>
      </c>
      <c r="B35" t="inlineStr">
        <is>
          <t>Actual</t>
        </is>
      </c>
      <c r="C35" s="10">
        <f>N(AB35)*'Assump - LNG'!$B$5</f>
        <v/>
      </c>
      <c r="D35" s="10">
        <f>N(AC35)*'Assump - LNG'!$B$5</f>
        <v/>
      </c>
      <c r="E35" s="10">
        <f>N(AD35)*'Assump - LNG'!$B$5</f>
        <v/>
      </c>
      <c r="F35" s="10" t="n">
        <v>0</v>
      </c>
      <c r="G35" s="10" t="n">
        <v>0</v>
      </c>
      <c r="H35" s="10" t="n">
        <v>0</v>
      </c>
      <c r="I35" s="10">
        <f>SUM(C35:H35)</f>
        <v/>
      </c>
      <c r="J35" s="10">
        <f>C35</f>
        <v/>
      </c>
      <c r="K35" s="10">
        <f>D35</f>
        <v/>
      </c>
      <c r="L35" s="10">
        <f>E35</f>
        <v/>
      </c>
      <c r="M35" s="10">
        <f>F35</f>
        <v/>
      </c>
      <c r="N35" s="10">
        <f>G35</f>
        <v/>
      </c>
      <c r="O35" s="10">
        <f>H35</f>
        <v/>
      </c>
      <c r="P35" s="10">
        <f>SUM(J35:O35)</f>
        <v/>
      </c>
      <c r="Q35" s="10">
        <f>I35/'Assump - LNG'!$B$5</f>
        <v/>
      </c>
      <c r="R35" s="10">
        <f>P35/'Assump - LNG'!$B$5</f>
        <v/>
      </c>
      <c r="S35" s="10" t="n">
        <v>7.014966666666666</v>
      </c>
      <c r="T35" s="10" t="n">
        <v>5.343</v>
      </c>
      <c r="U35" s="10" t="n">
        <v>0.2256666666666667</v>
      </c>
      <c r="V35" s="10" t="n">
        <v>0.4073333333333333</v>
      </c>
      <c r="W35" s="10" t="n">
        <v>0.002533333333333333</v>
      </c>
      <c r="X35" s="10">
        <f>SUM(S35:W35)</f>
        <v/>
      </c>
      <c r="Y35" s="10" t="n">
        <v>3.368</v>
      </c>
      <c r="Z35" s="10">
        <f>X35+I35</f>
        <v/>
      </c>
      <c r="AA35" s="10">
        <f>X35+P35</f>
        <v/>
      </c>
      <c r="AB35" s="10" t="n">
        <v>2.081666666666667</v>
      </c>
      <c r="AC35" s="10" t="n">
        <v>2.109566666666667</v>
      </c>
    </row>
    <row r="36">
      <c r="A36" s="12" t="n">
        <v>45108</v>
      </c>
      <c r="B36" t="inlineStr">
        <is>
          <t>Actual</t>
        </is>
      </c>
      <c r="C36" s="10">
        <f>N(AB36)*'Assump - LNG'!$B$5</f>
        <v/>
      </c>
      <c r="D36" s="10">
        <f>N(AC36)*'Assump - LNG'!$B$5</f>
        <v/>
      </c>
      <c r="E36" s="10">
        <f>N(AD36)*'Assump - LNG'!$B$5</f>
        <v/>
      </c>
      <c r="F36" s="10" t="n">
        <v>0</v>
      </c>
      <c r="G36" s="10" t="n">
        <v>0</v>
      </c>
      <c r="H36" s="10" t="n">
        <v>0</v>
      </c>
      <c r="I36" s="10">
        <f>SUM(C36:H36)</f>
        <v/>
      </c>
      <c r="J36" s="10">
        <f>C36</f>
        <v/>
      </c>
      <c r="K36" s="10">
        <f>D36</f>
        <v/>
      </c>
      <c r="L36" s="10">
        <f>E36</f>
        <v/>
      </c>
      <c r="M36" s="10">
        <f>F36</f>
        <v/>
      </c>
      <c r="N36" s="10">
        <f>G36</f>
        <v/>
      </c>
      <c r="O36" s="10">
        <f>H36</f>
        <v/>
      </c>
      <c r="P36" s="10">
        <f>SUM(J36:O36)</f>
        <v/>
      </c>
      <c r="Q36" s="10">
        <f>I36/'Assump - LNG'!$B$5</f>
        <v/>
      </c>
      <c r="R36" s="10">
        <f>P36/'Assump - LNG'!$B$5</f>
        <v/>
      </c>
      <c r="S36" s="10" t="n">
        <v>7.577548387096774</v>
      </c>
      <c r="T36" s="10" t="n">
        <v>5.342064516129033</v>
      </c>
      <c r="U36" s="10" t="n">
        <v>0.2085161290322581</v>
      </c>
      <c r="V36" s="10" t="n">
        <v>0.4069354838709677</v>
      </c>
      <c r="W36" s="10" t="n">
        <v>0.002548387096774193</v>
      </c>
      <c r="X36" s="10">
        <f>SUM(S36:W36)</f>
        <v/>
      </c>
      <c r="Y36" s="10" t="n">
        <v>3.123096774193549</v>
      </c>
      <c r="Z36" s="10">
        <f>X36+I36</f>
        <v/>
      </c>
      <c r="AA36" s="10">
        <f>X36+P36</f>
        <v/>
      </c>
      <c r="AB36" s="10" t="n">
        <v>1.89158064516129</v>
      </c>
      <c r="AC36" s="10" t="n">
        <v>1.920064516129032</v>
      </c>
    </row>
    <row r="37">
      <c r="A37" s="12" t="n">
        <v>45139</v>
      </c>
      <c r="B37" t="inlineStr">
        <is>
          <t>Actual</t>
        </is>
      </c>
      <c r="C37" s="10">
        <f>N(AB37)*'Assump - LNG'!$B$5</f>
        <v/>
      </c>
      <c r="D37" s="10">
        <f>N(AC37)*'Assump - LNG'!$B$5</f>
        <v/>
      </c>
      <c r="E37" s="10">
        <f>N(AD37)*'Assump - LNG'!$B$5</f>
        <v/>
      </c>
      <c r="F37" s="10" t="n">
        <v>0</v>
      </c>
      <c r="G37" s="10" t="n">
        <v>0</v>
      </c>
      <c r="H37" s="10" t="n">
        <v>0</v>
      </c>
      <c r="I37" s="10">
        <f>SUM(C37:H37)</f>
        <v/>
      </c>
      <c r="J37" s="10">
        <f>C37</f>
        <v/>
      </c>
      <c r="K37" s="10">
        <f>D37</f>
        <v/>
      </c>
      <c r="L37" s="10">
        <f>E37</f>
        <v/>
      </c>
      <c r="M37" s="10">
        <f>F37</f>
        <v/>
      </c>
      <c r="N37" s="10">
        <f>G37</f>
        <v/>
      </c>
      <c r="O37" s="10">
        <f>H37</f>
        <v/>
      </c>
      <c r="P37" s="10">
        <f>SUM(J37:O37)</f>
        <v/>
      </c>
      <c r="Q37" s="10">
        <f>I37/'Assump - LNG'!$B$5</f>
        <v/>
      </c>
      <c r="R37" s="10">
        <f>P37/'Assump - LNG'!$B$5</f>
        <v/>
      </c>
      <c r="S37" s="10" t="n">
        <v>8.656483870967742</v>
      </c>
      <c r="T37" s="10" t="n">
        <v>5.447580645161291</v>
      </c>
      <c r="U37" s="10" t="n">
        <v>0.1878064516129032</v>
      </c>
      <c r="V37" s="10" t="n">
        <v>0.3826774193548387</v>
      </c>
      <c r="W37" s="10" t="n">
        <v>0.002548387096774193</v>
      </c>
      <c r="X37" s="10">
        <f>SUM(S37:W37)</f>
        <v/>
      </c>
      <c r="Y37" s="10" t="n">
        <v>3.173225806451613</v>
      </c>
      <c r="Z37" s="10">
        <f>X37+I37</f>
        <v/>
      </c>
      <c r="AA37" s="10">
        <f>X37+P37</f>
        <v/>
      </c>
      <c r="AB37" s="10" t="n">
        <v>2.014</v>
      </c>
      <c r="AC37" s="10" t="n">
        <v>1.981806451612903</v>
      </c>
    </row>
    <row r="38">
      <c r="A38" s="12" t="n">
        <v>45170</v>
      </c>
      <c r="B38" t="inlineStr">
        <is>
          <t>Actual</t>
        </is>
      </c>
      <c r="C38" s="10">
        <f>N(AB38)*'Assump - LNG'!$B$5</f>
        <v/>
      </c>
      <c r="D38" s="10">
        <f>N(AC38)*'Assump - LNG'!$B$5</f>
        <v/>
      </c>
      <c r="E38" s="10">
        <f>N(AD38)*'Assump - LNG'!$B$5</f>
        <v/>
      </c>
      <c r="F38" s="10" t="n">
        <v>0</v>
      </c>
      <c r="G38" s="10" t="n">
        <v>0</v>
      </c>
      <c r="H38" s="10" t="n">
        <v>0</v>
      </c>
      <c r="I38" s="10">
        <f>SUM(C38:H38)</f>
        <v/>
      </c>
      <c r="J38" s="10">
        <f>C38</f>
        <v/>
      </c>
      <c r="K38" s="10">
        <f>D38</f>
        <v/>
      </c>
      <c r="L38" s="10">
        <f>E38</f>
        <v/>
      </c>
      <c r="M38" s="10">
        <f>F38</f>
        <v/>
      </c>
      <c r="N38" s="10">
        <f>G38</f>
        <v/>
      </c>
      <c r="O38" s="10">
        <f>H38</f>
        <v/>
      </c>
      <c r="P38" s="10">
        <f>SUM(J38:O38)</f>
        <v/>
      </c>
      <c r="Q38" s="10">
        <f>I38/'Assump - LNG'!$B$5</f>
        <v/>
      </c>
      <c r="R38" s="10">
        <f>P38/'Assump - LNG'!$B$5</f>
        <v/>
      </c>
      <c r="S38" s="10" t="n">
        <v>7.155399999999999</v>
      </c>
      <c r="T38" s="10" t="n">
        <v>5.445399999999999</v>
      </c>
      <c r="U38" s="10" t="n">
        <v>0.1764</v>
      </c>
      <c r="V38" s="10" t="n">
        <v>0.3765</v>
      </c>
      <c r="W38" s="10" t="n">
        <v>0.002533333333333333</v>
      </c>
      <c r="X38" s="10">
        <f>SUM(S38:W38)</f>
        <v/>
      </c>
      <c r="Y38" s="10" t="n">
        <v>3.124733333333333</v>
      </c>
      <c r="Z38" s="10">
        <f>X38+I38</f>
        <v/>
      </c>
      <c r="AA38" s="10">
        <f>X38+P38</f>
        <v/>
      </c>
      <c r="AB38" s="10" t="n">
        <v>1.978633333333333</v>
      </c>
      <c r="AC38" s="10" t="n">
        <v>1.8007</v>
      </c>
    </row>
    <row r="39">
      <c r="A39" s="12" t="n">
        <v>45200</v>
      </c>
      <c r="B39" t="inlineStr">
        <is>
          <t>Actual</t>
        </is>
      </c>
      <c r="C39" s="10">
        <f>N(AB39)*'Assump - LNG'!$B$5</f>
        <v/>
      </c>
      <c r="D39" s="10">
        <f>N(AC39)*'Assump - LNG'!$B$5</f>
        <v/>
      </c>
      <c r="E39" s="10">
        <f>N(AD39)*'Assump - LNG'!$B$5</f>
        <v/>
      </c>
      <c r="F39" s="10" t="n">
        <v>0</v>
      </c>
      <c r="G39" s="10" t="n">
        <v>0</v>
      </c>
      <c r="H39" s="10" t="n">
        <v>0</v>
      </c>
      <c r="I39" s="10">
        <f>SUM(C39:H39)</f>
        <v/>
      </c>
      <c r="J39" s="10">
        <f>C39</f>
        <v/>
      </c>
      <c r="K39" s="10">
        <f>D39</f>
        <v/>
      </c>
      <c r="L39" s="10">
        <f>E39</f>
        <v/>
      </c>
      <c r="M39" s="10">
        <f>F39</f>
        <v/>
      </c>
      <c r="N39" s="10">
        <f>G39</f>
        <v/>
      </c>
      <c r="O39" s="10">
        <f>H39</f>
        <v/>
      </c>
      <c r="P39" s="10">
        <f>SUM(J39:O39)</f>
        <v/>
      </c>
      <c r="Q39" s="10">
        <f>I39/'Assump - LNG'!$B$5</f>
        <v/>
      </c>
      <c r="R39" s="10">
        <f>P39/'Assump - LNG'!$B$5</f>
        <v/>
      </c>
      <c r="S39" s="10" t="n">
        <v>4.932032258064516</v>
      </c>
      <c r="T39" s="10" t="n">
        <v>5.434838709677419</v>
      </c>
      <c r="U39" s="10" t="n">
        <v>0.3194516129032258</v>
      </c>
      <c r="V39" s="10" t="n">
        <v>0.4662903225806452</v>
      </c>
      <c r="W39" s="10" t="n">
        <v>0.002548387096774193</v>
      </c>
      <c r="X39" s="10">
        <f>SUM(S39:W39)</f>
        <v/>
      </c>
      <c r="Y39" s="10" t="n">
        <v>3.054387096774194</v>
      </c>
      <c r="Z39" s="10">
        <f>X39+I39</f>
        <v/>
      </c>
      <c r="AA39" s="10">
        <f>X39+P39</f>
        <v/>
      </c>
      <c r="AB39" s="10" t="n">
        <v>2.044677419354839</v>
      </c>
      <c r="AC39" s="10" t="n">
        <v>2.062967741935484</v>
      </c>
    </row>
    <row r="40">
      <c r="A40" s="12" t="n">
        <v>45231</v>
      </c>
      <c r="B40" t="inlineStr">
        <is>
          <t>Actual</t>
        </is>
      </c>
      <c r="C40" s="10">
        <f>N(AB40)*'Assump - LNG'!$B$5</f>
        <v/>
      </c>
      <c r="D40" s="10">
        <f>N(AC40)*'Assump - LNG'!$B$5</f>
        <v/>
      </c>
      <c r="E40" s="10">
        <f>N(AD40)*'Assump - LNG'!$B$5</f>
        <v/>
      </c>
      <c r="F40" s="10" t="n">
        <v>0</v>
      </c>
      <c r="G40" s="10" t="n">
        <v>0</v>
      </c>
      <c r="H40" s="10" t="n">
        <v>0</v>
      </c>
      <c r="I40" s="10">
        <f>SUM(C40:H40)</f>
        <v/>
      </c>
      <c r="J40" s="10">
        <f>C40</f>
        <v/>
      </c>
      <c r="K40" s="10">
        <f>D40</f>
        <v/>
      </c>
      <c r="L40" s="10">
        <f>E40</f>
        <v/>
      </c>
      <c r="M40" s="10">
        <f>F40</f>
        <v/>
      </c>
      <c r="N40" s="10">
        <f>G40</f>
        <v/>
      </c>
      <c r="O40" s="10">
        <f>H40</f>
        <v/>
      </c>
      <c r="P40" s="10">
        <f>SUM(J40:O40)</f>
        <v/>
      </c>
      <c r="Q40" s="10">
        <f>I40/'Assump - LNG'!$B$5</f>
        <v/>
      </c>
      <c r="R40" s="10">
        <f>P40/'Assump - LNG'!$B$5</f>
        <v/>
      </c>
      <c r="S40" s="10" t="n">
        <v>4.633666666666667</v>
      </c>
      <c r="T40" s="10" t="n">
        <v>5.712766666666666</v>
      </c>
      <c r="U40" s="10" t="n">
        <v>0.6995</v>
      </c>
      <c r="V40" s="10" t="n">
        <v>0.6163</v>
      </c>
      <c r="W40" s="10" t="n">
        <v>0.002533333333333333</v>
      </c>
      <c r="X40" s="10">
        <f>SUM(S40:W40)</f>
        <v/>
      </c>
      <c r="Y40" s="10" t="n">
        <v>2.908766666666667</v>
      </c>
      <c r="Z40" s="10">
        <f>X40+I40</f>
        <v/>
      </c>
      <c r="AA40" s="10">
        <f>X40+P40</f>
        <v/>
      </c>
      <c r="AB40" s="10" t="n">
        <v>2.148433333333333</v>
      </c>
      <c r="AC40" s="10" t="n">
        <v>2.003366666666667</v>
      </c>
    </row>
    <row r="41">
      <c r="A41" s="12" t="n">
        <v>45261</v>
      </c>
      <c r="B41" t="inlineStr">
        <is>
          <t>Actual</t>
        </is>
      </c>
      <c r="C41" s="10">
        <f>N(AB41)*'Assump - LNG'!$B$5</f>
        <v/>
      </c>
      <c r="D41" s="10">
        <f>N(AC41)*'Assump - LNG'!$B$5</f>
        <v/>
      </c>
      <c r="E41" s="10">
        <f>N(AD41)*'Assump - LNG'!$B$5</f>
        <v/>
      </c>
      <c r="F41" s="10" t="n">
        <v>0</v>
      </c>
      <c r="G41" s="10" t="n">
        <v>0</v>
      </c>
      <c r="H41" s="10" t="n">
        <v>0</v>
      </c>
      <c r="I41" s="10">
        <f>SUM(C41:H41)</f>
        <v/>
      </c>
      <c r="J41" s="10">
        <f>C41</f>
        <v/>
      </c>
      <c r="K41" s="10">
        <f>D41</f>
        <v/>
      </c>
      <c r="L41" s="10">
        <f>E41</f>
        <v/>
      </c>
      <c r="M41" s="10">
        <f>F41</f>
        <v/>
      </c>
      <c r="N41" s="10">
        <f>G41</f>
        <v/>
      </c>
      <c r="O41" s="10">
        <f>H41</f>
        <v/>
      </c>
      <c r="P41" s="10">
        <f>SUM(J41:O41)</f>
        <v/>
      </c>
      <c r="Q41" s="10">
        <f>I41/'Assump - LNG'!$B$5</f>
        <v/>
      </c>
      <c r="R41" s="10">
        <f>P41/'Assump - LNG'!$B$5</f>
        <v/>
      </c>
      <c r="S41" s="10" t="n">
        <v>4.421</v>
      </c>
      <c r="T41" s="10" t="n">
        <v>5.817548387096775</v>
      </c>
      <c r="U41" s="10" t="n">
        <v>1.020774193548387</v>
      </c>
      <c r="V41" s="10" t="n">
        <v>0.7173548387096774</v>
      </c>
      <c r="W41" s="10" t="n">
        <v>0.002548387096774193</v>
      </c>
      <c r="X41" s="10">
        <f>SUM(S41:W41)</f>
        <v/>
      </c>
      <c r="Y41" s="10" t="n">
        <v>2.73416129032258</v>
      </c>
      <c r="Z41" s="10">
        <f>X41+I41</f>
        <v/>
      </c>
      <c r="AA41" s="10">
        <f>X41+P41</f>
        <v/>
      </c>
      <c r="AB41" s="10" t="n">
        <v>2.070612903225806</v>
      </c>
      <c r="AC41" s="10" t="n">
        <v>2.297548387096774</v>
      </c>
    </row>
    <row r="42">
      <c r="A42" s="12" t="n">
        <v>45292</v>
      </c>
      <c r="B42" t="inlineStr">
        <is>
          <t>Actual</t>
        </is>
      </c>
      <c r="C42" s="10">
        <f>N(AB42)*'Assump - LNG'!$B$5</f>
        <v/>
      </c>
      <c r="D42" s="10">
        <f>N(AC42)*'Assump - LNG'!$B$5</f>
        <v/>
      </c>
      <c r="E42" s="10">
        <f>N(AD42)*'Assump - LNG'!$B$5</f>
        <v/>
      </c>
      <c r="F42" s="10" t="n">
        <v>0</v>
      </c>
      <c r="G42" s="10" t="n">
        <v>0</v>
      </c>
      <c r="H42" s="10" t="n">
        <v>0</v>
      </c>
      <c r="I42" s="10">
        <f>SUM(C42:H42)</f>
        <v/>
      </c>
      <c r="J42" s="10">
        <f>C42</f>
        <v/>
      </c>
      <c r="K42" s="10">
        <f>D42</f>
        <v/>
      </c>
      <c r="L42" s="10">
        <f>E42</f>
        <v/>
      </c>
      <c r="M42" s="10">
        <f>F42</f>
        <v/>
      </c>
      <c r="N42" s="10">
        <f>G42</f>
        <v/>
      </c>
      <c r="O42" s="10">
        <f>H42</f>
        <v/>
      </c>
      <c r="P42" s="10">
        <f>SUM(J42:O42)</f>
        <v/>
      </c>
      <c r="Q42" s="10">
        <f>I42/'Assump - LNG'!$B$5</f>
        <v/>
      </c>
      <c r="R42" s="10">
        <f>P42/'Assump - LNG'!$B$5</f>
        <v/>
      </c>
      <c r="S42" s="10" t="n">
        <v>5.561419354838709</v>
      </c>
      <c r="T42" s="10" t="n">
        <v>5.737903225806452</v>
      </c>
      <c r="U42" s="10" t="n">
        <v>1.718290322580645</v>
      </c>
      <c r="V42" s="10" t="n">
        <v>0.9129677419354839</v>
      </c>
      <c r="W42" s="10" t="n">
        <v>0.007419354838709677</v>
      </c>
      <c r="X42" s="10">
        <f>SUM(S42:W42)</f>
        <v/>
      </c>
      <c r="Y42" s="10" t="n">
        <v>3.045290322580645</v>
      </c>
      <c r="Z42" s="10">
        <f>X42+I42</f>
        <v/>
      </c>
      <c r="AA42" s="10">
        <f>X42+P42</f>
        <v/>
      </c>
      <c r="AB42" s="10" t="n">
        <v>1.970258064516129</v>
      </c>
      <c r="AC42" s="10" t="n">
        <v>1.702129032258065</v>
      </c>
    </row>
    <row r="43">
      <c r="A43" s="12" t="n">
        <v>45323</v>
      </c>
      <c r="B43" t="inlineStr">
        <is>
          <t>Actual</t>
        </is>
      </c>
      <c r="C43" s="10">
        <f>N(AB43)*'Assump - LNG'!$B$5</f>
        <v/>
      </c>
      <c r="D43" s="10">
        <f>N(AC43)*'Assump - LNG'!$B$5</f>
        <v/>
      </c>
      <c r="E43" s="10">
        <f>N(AD43)*'Assump - LNG'!$B$5</f>
        <v/>
      </c>
      <c r="F43" s="10" t="n">
        <v>0</v>
      </c>
      <c r="G43" s="10" t="n">
        <v>0</v>
      </c>
      <c r="H43" s="10" t="n">
        <v>0</v>
      </c>
      <c r="I43" s="10">
        <f>SUM(C43:H43)</f>
        <v/>
      </c>
      <c r="J43" s="10">
        <f>C43</f>
        <v/>
      </c>
      <c r="K43" s="10">
        <f>D43</f>
        <v/>
      </c>
      <c r="L43" s="10">
        <f>E43</f>
        <v/>
      </c>
      <c r="M43" s="10">
        <f>F43</f>
        <v/>
      </c>
      <c r="N43" s="10">
        <f>G43</f>
        <v/>
      </c>
      <c r="O43" s="10">
        <f>H43</f>
        <v/>
      </c>
      <c r="P43" s="10">
        <f>SUM(J43:O43)</f>
        <v/>
      </c>
      <c r="Q43" s="10">
        <f>I43/'Assump - LNG'!$B$5</f>
        <v/>
      </c>
      <c r="R43" s="10">
        <f>P43/'Assump - LNG'!$B$5</f>
        <v/>
      </c>
      <c r="S43" s="10" t="n">
        <v>4.008068965517241</v>
      </c>
      <c r="T43" s="10" t="n">
        <v>5.536586206896551</v>
      </c>
      <c r="U43" s="10" t="n">
        <v>1.097586206896552</v>
      </c>
      <c r="V43" s="10" t="n">
        <v>0.764551724137931</v>
      </c>
      <c r="W43" s="10" t="n">
        <v>0.007413793103448276</v>
      </c>
      <c r="X43" s="10">
        <f>SUM(S43:W43)</f>
        <v/>
      </c>
      <c r="Y43" s="10" t="n">
        <v>2.881137931034483</v>
      </c>
      <c r="Z43" s="10">
        <f>X43+I43</f>
        <v/>
      </c>
      <c r="AA43" s="10">
        <f>X43+P43</f>
        <v/>
      </c>
      <c r="AB43" s="10" t="n">
        <v>1.92248275862069</v>
      </c>
      <c r="AC43" s="10" t="n">
        <v>1.430206896551724</v>
      </c>
    </row>
    <row r="44">
      <c r="A44" s="12" t="n">
        <v>45352</v>
      </c>
      <c r="B44" t="inlineStr">
        <is>
          <t>Actual</t>
        </is>
      </c>
      <c r="C44" s="10">
        <f>N(AB44)*'Assump - LNG'!$B$5</f>
        <v/>
      </c>
      <c r="D44" s="10">
        <f>N(AC44)*'Assump - LNG'!$B$5</f>
        <v/>
      </c>
      <c r="E44" s="10">
        <f>N(AD44)*'Assump - LNG'!$B$5</f>
        <v/>
      </c>
      <c r="F44" s="10" t="n">
        <v>0</v>
      </c>
      <c r="G44" s="10" t="n">
        <v>0</v>
      </c>
      <c r="H44" s="10" t="n">
        <v>0</v>
      </c>
      <c r="I44" s="10">
        <f>SUM(C44:H44)</f>
        <v/>
      </c>
      <c r="J44" s="10">
        <f>C44</f>
        <v/>
      </c>
      <c r="K44" s="10">
        <f>D44</f>
        <v/>
      </c>
      <c r="L44" s="10">
        <f>E44</f>
        <v/>
      </c>
      <c r="M44" s="10">
        <f>F44</f>
        <v/>
      </c>
      <c r="N44" s="10">
        <f>G44</f>
        <v/>
      </c>
      <c r="O44" s="10">
        <f>H44</f>
        <v/>
      </c>
      <c r="P44" s="10">
        <f>SUM(J44:O44)</f>
        <v/>
      </c>
      <c r="Q44" s="10">
        <f>I44/'Assump - LNG'!$B$5</f>
        <v/>
      </c>
      <c r="R44" s="10">
        <f>P44/'Assump - LNG'!$B$5</f>
        <v/>
      </c>
      <c r="S44" s="10" t="n">
        <v>4.475806451612903</v>
      </c>
      <c r="T44" s="10" t="n">
        <v>5.56</v>
      </c>
      <c r="U44" s="10" t="n">
        <v>0.5969677419354839</v>
      </c>
      <c r="V44" s="10" t="n">
        <v>0.5730645161290323</v>
      </c>
      <c r="W44" s="10" t="n">
        <v>0.007419354838709677</v>
      </c>
      <c r="X44" s="10">
        <f>SUM(S44:W44)</f>
        <v/>
      </c>
      <c r="Y44" s="10" t="n">
        <v>2.966548387096774</v>
      </c>
      <c r="Z44" s="10">
        <f>X44+I44</f>
        <v/>
      </c>
      <c r="AA44" s="10">
        <f>X44+P44</f>
        <v/>
      </c>
      <c r="AB44" s="10" t="n">
        <v>1.97658064516129</v>
      </c>
      <c r="AC44" s="10" t="n">
        <v>0.8467741935483871</v>
      </c>
    </row>
    <row r="45">
      <c r="A45" s="12" t="n">
        <v>45383</v>
      </c>
      <c r="B45" t="inlineStr">
        <is>
          <t>Actual</t>
        </is>
      </c>
      <c r="C45" s="10">
        <f>N(AB45)*'Assump - LNG'!$B$5</f>
        <v/>
      </c>
      <c r="D45" s="10">
        <f>N(AC45)*'Assump - LNG'!$B$5</f>
        <v/>
      </c>
      <c r="E45" s="10">
        <f>N(AD45)*'Assump - LNG'!$B$5</f>
        <v/>
      </c>
      <c r="F45" s="10" t="n">
        <v>0</v>
      </c>
      <c r="G45" s="10" t="n">
        <v>0</v>
      </c>
      <c r="H45" s="10" t="n">
        <v>0</v>
      </c>
      <c r="I45" s="10">
        <f>SUM(C45:H45)</f>
        <v/>
      </c>
      <c r="J45" s="10">
        <f>C45</f>
        <v/>
      </c>
      <c r="K45" s="10">
        <f>D45</f>
        <v/>
      </c>
      <c r="L45" s="10">
        <f>E45</f>
        <v/>
      </c>
      <c r="M45" s="10">
        <f>F45</f>
        <v/>
      </c>
      <c r="N45" s="10">
        <f>G45</f>
        <v/>
      </c>
      <c r="O45" s="10">
        <f>H45</f>
        <v/>
      </c>
      <c r="P45" s="10">
        <f>SUM(J45:O45)</f>
        <v/>
      </c>
      <c r="Q45" s="10">
        <f>I45/'Assump - LNG'!$B$5</f>
        <v/>
      </c>
      <c r="R45" s="10">
        <f>P45/'Assump - LNG'!$B$5</f>
        <v/>
      </c>
      <c r="S45" s="10" t="n">
        <v>4.507533333333334</v>
      </c>
      <c r="T45" s="10" t="n">
        <v>5.455</v>
      </c>
      <c r="U45" s="10" t="n">
        <v>0.3352</v>
      </c>
      <c r="V45" s="10" t="n">
        <v>0.4414666666666666</v>
      </c>
      <c r="W45" s="10" t="n">
        <v>0.0074</v>
      </c>
      <c r="X45" s="10">
        <f>SUM(S45:W45)</f>
        <v/>
      </c>
      <c r="Y45" s="10" t="n">
        <v>3.1878</v>
      </c>
      <c r="Z45" s="10">
        <f>X45+I45</f>
        <v/>
      </c>
      <c r="AA45" s="10">
        <f>X45+P45</f>
        <v/>
      </c>
      <c r="AB45" s="10" t="n">
        <v>1.670966666666667</v>
      </c>
      <c r="AC45" s="10" t="n">
        <v>0.3578666666666667</v>
      </c>
    </row>
    <row r="46">
      <c r="A46" s="12" t="n">
        <v>45413</v>
      </c>
      <c r="B46" t="inlineStr">
        <is>
          <t>Actual</t>
        </is>
      </c>
      <c r="C46" s="10">
        <f>N(AB46)*'Assump - LNG'!$B$5</f>
        <v/>
      </c>
      <c r="D46" s="10">
        <f>N(AC46)*'Assump - LNG'!$B$5</f>
        <v/>
      </c>
      <c r="E46" s="10">
        <f>N(AD46)*'Assump - LNG'!$B$5</f>
        <v/>
      </c>
      <c r="F46" s="10" t="n">
        <v>0</v>
      </c>
      <c r="G46" s="10" t="n">
        <v>0</v>
      </c>
      <c r="H46" s="10" t="n">
        <v>0</v>
      </c>
      <c r="I46" s="10">
        <f>SUM(C46:H46)</f>
        <v/>
      </c>
      <c r="J46" s="10">
        <f>C46</f>
        <v/>
      </c>
      <c r="K46" s="10">
        <f>D46</f>
        <v/>
      </c>
      <c r="L46" s="10">
        <f>E46</f>
        <v/>
      </c>
      <c r="M46" s="10">
        <f>F46</f>
        <v/>
      </c>
      <c r="N46" s="10">
        <f>G46</f>
        <v/>
      </c>
      <c r="O46" s="10">
        <f>H46</f>
        <v/>
      </c>
      <c r="P46" s="10">
        <f>SUM(J46:O46)</f>
        <v/>
      </c>
      <c r="Q46" s="10">
        <f>I46/'Assump - LNG'!$B$5</f>
        <v/>
      </c>
      <c r="R46" s="10">
        <f>P46/'Assump - LNG'!$B$5</f>
        <v/>
      </c>
      <c r="S46" s="10" t="n">
        <v>6.010064516129032</v>
      </c>
      <c r="T46" s="10" t="n">
        <v>5.232161290322581</v>
      </c>
      <c r="U46" s="10" t="n">
        <v>0.2444516129032258</v>
      </c>
      <c r="V46" s="10" t="n">
        <v>0.4193225806451613</v>
      </c>
      <c r="W46" s="10" t="n">
        <v>0.007419354838709677</v>
      </c>
      <c r="X46" s="10">
        <f>SUM(S46:W46)</f>
        <v/>
      </c>
      <c r="Y46" s="10" t="n">
        <v>3.257677419354839</v>
      </c>
      <c r="Z46" s="10">
        <f>X46+I46</f>
        <v/>
      </c>
      <c r="AA46" s="10">
        <f>X46+P46</f>
        <v/>
      </c>
      <c r="AB46" s="10" t="n">
        <v>1.984129032258065</v>
      </c>
      <c r="AC46" s="10" t="n">
        <v>1.781870967741935</v>
      </c>
    </row>
    <row r="47">
      <c r="A47" s="12" t="n">
        <v>45444</v>
      </c>
      <c r="B47" t="inlineStr">
        <is>
          <t>Actual</t>
        </is>
      </c>
      <c r="C47" s="10">
        <f>N(AB47)*'Assump - LNG'!$B$5</f>
        <v/>
      </c>
      <c r="D47" s="10">
        <f>N(AC47)*'Assump - LNG'!$B$5</f>
        <v/>
      </c>
      <c r="E47" s="10">
        <f>N(AD47)*'Assump - LNG'!$B$5</f>
        <v/>
      </c>
      <c r="F47" s="10" t="n">
        <v>0</v>
      </c>
      <c r="G47" s="10" t="n">
        <v>0</v>
      </c>
      <c r="H47" s="10" t="n">
        <v>0</v>
      </c>
      <c r="I47" s="10">
        <f>SUM(C47:H47)</f>
        <v/>
      </c>
      <c r="J47" s="10">
        <f>C47</f>
        <v/>
      </c>
      <c r="K47" s="10">
        <f>D47</f>
        <v/>
      </c>
      <c r="L47" s="10">
        <f>E47</f>
        <v/>
      </c>
      <c r="M47" s="10">
        <f>F47</f>
        <v/>
      </c>
      <c r="N47" s="10">
        <f>G47</f>
        <v/>
      </c>
      <c r="O47" s="10">
        <f>H47</f>
        <v/>
      </c>
      <c r="P47" s="10">
        <f>SUM(J47:O47)</f>
        <v/>
      </c>
      <c r="Q47" s="10">
        <f>I47/'Assump - LNG'!$B$5</f>
        <v/>
      </c>
      <c r="R47" s="10">
        <f>P47/'Assump - LNG'!$B$5</f>
        <v/>
      </c>
      <c r="S47" s="10" t="n">
        <v>6.976733333333334</v>
      </c>
      <c r="T47" s="10" t="n">
        <v>5.412633333333333</v>
      </c>
      <c r="U47" s="10" t="n">
        <v>0.2411666666666667</v>
      </c>
      <c r="V47" s="10" t="n">
        <v>0.4122</v>
      </c>
      <c r="W47" s="10" t="n">
        <v>0.0074</v>
      </c>
      <c r="X47" s="10">
        <f>SUM(S47:W47)</f>
        <v/>
      </c>
      <c r="Y47" s="10" t="n">
        <v>3.117133333333333</v>
      </c>
      <c r="Z47" s="10">
        <f>X47+I47</f>
        <v/>
      </c>
      <c r="AA47" s="10">
        <f>X47+P47</f>
        <v/>
      </c>
      <c r="AB47" s="10" t="n">
        <v>2.1527</v>
      </c>
      <c r="AC47" s="10" t="n">
        <v>2.1648</v>
      </c>
    </row>
    <row r="48">
      <c r="A48" s="12" t="n">
        <v>45474</v>
      </c>
      <c r="B48" t="inlineStr">
        <is>
          <t>Actual</t>
        </is>
      </c>
      <c r="C48" s="10">
        <f>N(AB48)*'Assump - LNG'!$B$5</f>
        <v/>
      </c>
      <c r="D48" s="10">
        <f>N(AC48)*'Assump - LNG'!$B$5</f>
        <v/>
      </c>
      <c r="E48" s="10">
        <f>N(AD48)*'Assump - LNG'!$B$5</f>
        <v/>
      </c>
      <c r="F48" s="10" t="n">
        <v>0</v>
      </c>
      <c r="G48" s="10" t="n">
        <v>0</v>
      </c>
      <c r="H48" s="10" t="n">
        <v>0</v>
      </c>
      <c r="I48" s="10">
        <f>SUM(C48:H48)</f>
        <v/>
      </c>
      <c r="J48" s="10">
        <f>C48</f>
        <v/>
      </c>
      <c r="K48" s="10">
        <f>D48</f>
        <v/>
      </c>
      <c r="L48" s="10">
        <f>E48</f>
        <v/>
      </c>
      <c r="M48" s="10">
        <f>F48</f>
        <v/>
      </c>
      <c r="N48" s="10">
        <f>G48</f>
        <v/>
      </c>
      <c r="O48" s="10">
        <f>H48</f>
        <v/>
      </c>
      <c r="P48" s="10">
        <f>SUM(J48:O48)</f>
        <v/>
      </c>
      <c r="Q48" s="10">
        <f>I48/'Assump - LNG'!$B$5</f>
        <v/>
      </c>
      <c r="R48" s="10">
        <f>P48/'Assump - LNG'!$B$5</f>
        <v/>
      </c>
      <c r="S48" s="10" t="n">
        <v>7.261322580645161</v>
      </c>
      <c r="T48" s="10" t="n">
        <v>5.511741935483871</v>
      </c>
      <c r="U48" s="10" t="n">
        <v>0.2387096774193548</v>
      </c>
      <c r="V48" s="10" t="n">
        <v>0.4077096774193548</v>
      </c>
      <c r="W48" s="10" t="n">
        <v>0.007419354838709677</v>
      </c>
      <c r="X48" s="10">
        <f>SUM(S48:W48)</f>
        <v/>
      </c>
      <c r="Y48" s="10" t="n">
        <v>3.147096774193549</v>
      </c>
      <c r="Z48" s="10">
        <f>X48+I48</f>
        <v/>
      </c>
      <c r="AA48" s="10">
        <f>X48+P48</f>
        <v/>
      </c>
      <c r="AB48" s="10" t="n">
        <v>1.851096774193548</v>
      </c>
      <c r="AC48" s="10" t="n">
        <v>0.7989354838709677</v>
      </c>
    </row>
    <row r="49">
      <c r="A49" s="12" t="n">
        <v>45505</v>
      </c>
      <c r="B49" t="inlineStr">
        <is>
          <t>Actual</t>
        </is>
      </c>
      <c r="C49" s="10">
        <f>N(AB49)*'Assump - LNG'!$B$5</f>
        <v/>
      </c>
      <c r="D49" s="10">
        <f>N(AC49)*'Assump - LNG'!$B$5</f>
        <v/>
      </c>
      <c r="E49" s="10">
        <f>N(AD49)*'Assump - LNG'!$B$5</f>
        <v/>
      </c>
      <c r="F49" s="10" t="n">
        <v>0</v>
      </c>
      <c r="G49" s="10" t="n">
        <v>0</v>
      </c>
      <c r="H49" s="10" t="n">
        <v>0</v>
      </c>
      <c r="I49" s="10">
        <f>SUM(C49:H49)</f>
        <v/>
      </c>
      <c r="J49" s="10">
        <f>C49</f>
        <v/>
      </c>
      <c r="K49" s="10">
        <f>D49</f>
        <v/>
      </c>
      <c r="L49" s="10">
        <f>E49</f>
        <v/>
      </c>
      <c r="M49" s="10">
        <f>F49</f>
        <v/>
      </c>
      <c r="N49" s="10">
        <f>G49</f>
        <v/>
      </c>
      <c r="O49" s="10">
        <f>H49</f>
        <v/>
      </c>
      <c r="P49" s="10">
        <f>SUM(J49:O49)</f>
        <v/>
      </c>
      <c r="Q49" s="10">
        <f>I49/'Assump - LNG'!$B$5</f>
        <v/>
      </c>
      <c r="R49" s="10">
        <f>P49/'Assump - LNG'!$B$5</f>
        <v/>
      </c>
      <c r="S49" s="10" t="n">
        <v>8.358483870967742</v>
      </c>
      <c r="T49" s="10" t="n">
        <v>5.637741935483871</v>
      </c>
      <c r="U49" s="10" t="n">
        <v>0.2118709677419355</v>
      </c>
      <c r="V49" s="10" t="n">
        <v>0.3919677419354838</v>
      </c>
      <c r="W49" s="10" t="n">
        <v>0.007419354838709677</v>
      </c>
      <c r="X49" s="10">
        <f>SUM(S49:W49)</f>
        <v/>
      </c>
      <c r="Y49" s="10" t="n">
        <v>3.193548387096774</v>
      </c>
      <c r="Z49" s="10">
        <f>X49+I49</f>
        <v/>
      </c>
      <c r="AA49" s="10">
        <f>X49+P49</f>
        <v/>
      </c>
      <c r="AB49" s="10" t="n">
        <v>2.049645161290322</v>
      </c>
      <c r="AC49" s="10" t="n">
        <v>2.029064516129032</v>
      </c>
    </row>
    <row r="50">
      <c r="A50" s="12" t="n">
        <v>45536</v>
      </c>
      <c r="B50" t="inlineStr">
        <is>
          <t>Actual</t>
        </is>
      </c>
      <c r="C50" s="10">
        <f>N(AB50)*'Assump - LNG'!$B$5</f>
        <v/>
      </c>
      <c r="D50" s="10">
        <f>N(AC50)*'Assump - LNG'!$B$5</f>
        <v/>
      </c>
      <c r="E50" s="10">
        <f>N(AD50)*'Assump - LNG'!$B$5</f>
        <v/>
      </c>
      <c r="F50" s="10" t="n">
        <v>0</v>
      </c>
      <c r="G50" s="10" t="n">
        <v>0</v>
      </c>
      <c r="H50" s="10" t="n">
        <v>0</v>
      </c>
      <c r="I50" s="10">
        <f>SUM(C50:H50)</f>
        <v/>
      </c>
      <c r="J50" s="10">
        <f>C50</f>
        <v/>
      </c>
      <c r="K50" s="10">
        <f>D50</f>
        <v/>
      </c>
      <c r="L50" s="10">
        <f>E50</f>
        <v/>
      </c>
      <c r="M50" s="10">
        <f>F50</f>
        <v/>
      </c>
      <c r="N50" s="10">
        <f>G50</f>
        <v/>
      </c>
      <c r="O50" s="10">
        <f>H50</f>
        <v/>
      </c>
      <c r="P50" s="10">
        <f>SUM(J50:O50)</f>
        <v/>
      </c>
      <c r="Q50" s="10">
        <f>I50/'Assump - LNG'!$B$5</f>
        <v/>
      </c>
      <c r="R50" s="10">
        <f>P50/'Assump - LNG'!$B$5</f>
        <v/>
      </c>
      <c r="S50" s="10" t="n">
        <v>6.897866666666666</v>
      </c>
      <c r="T50" s="10" t="n">
        <v>5.5316</v>
      </c>
      <c r="U50" s="10" t="n">
        <v>0.2098333333333333</v>
      </c>
      <c r="V50" s="10" t="n">
        <v>0.4142666666666667</v>
      </c>
      <c r="W50" s="10" t="n">
        <v>0.0074</v>
      </c>
      <c r="X50" s="10">
        <f>SUM(S50:W50)</f>
        <v/>
      </c>
      <c r="Y50" s="10" t="n">
        <v>3.0912</v>
      </c>
      <c r="Z50" s="10">
        <f>X50+I50</f>
        <v/>
      </c>
      <c r="AA50" s="10">
        <f>X50+P50</f>
        <v/>
      </c>
      <c r="AB50" s="10" t="n">
        <v>2.1548</v>
      </c>
      <c r="AC50" s="10" t="n">
        <v>2.099266666666667</v>
      </c>
    </row>
    <row r="51">
      <c r="A51" s="12" t="n">
        <v>45566</v>
      </c>
      <c r="B51" t="inlineStr">
        <is>
          <t>Actual</t>
        </is>
      </c>
      <c r="C51" s="10">
        <f>N(AB51)*'Assump - LNG'!$B$5</f>
        <v/>
      </c>
      <c r="D51" s="10">
        <f>N(AC51)*'Assump - LNG'!$B$5</f>
        <v/>
      </c>
      <c r="E51" s="10">
        <f>N(AD51)*'Assump - LNG'!$B$5</f>
        <v/>
      </c>
      <c r="F51" s="10" t="n">
        <v>0</v>
      </c>
      <c r="G51" s="10" t="n">
        <v>0</v>
      </c>
      <c r="H51" s="10" t="n">
        <v>0</v>
      </c>
      <c r="I51" s="10">
        <f>SUM(C51:H51)</f>
        <v/>
      </c>
      <c r="J51" s="10">
        <f>C51</f>
        <v/>
      </c>
      <c r="K51" s="10">
        <f>D51</f>
        <v/>
      </c>
      <c r="L51" s="10">
        <f>E51</f>
        <v/>
      </c>
      <c r="M51" s="10">
        <f>F51</f>
        <v/>
      </c>
      <c r="N51" s="10">
        <f>G51</f>
        <v/>
      </c>
      <c r="O51" s="10">
        <f>H51</f>
        <v/>
      </c>
      <c r="P51" s="10">
        <f>SUM(J51:O51)</f>
        <v/>
      </c>
      <c r="Q51" s="10">
        <f>I51/'Assump - LNG'!$B$5</f>
        <v/>
      </c>
      <c r="R51" s="10">
        <f>P51/'Assump - LNG'!$B$5</f>
        <v/>
      </c>
      <c r="S51" s="10" t="n">
        <v>5.92516129032258</v>
      </c>
      <c r="T51" s="10" t="n">
        <v>5.303709677419355</v>
      </c>
      <c r="U51" s="10" t="n">
        <v>0.2420322580645161</v>
      </c>
      <c r="V51" s="10" t="n">
        <v>0.4293548387096774</v>
      </c>
      <c r="W51" s="10" t="n">
        <v>0.007419354838709677</v>
      </c>
      <c r="X51" s="10">
        <f>SUM(S51:W51)</f>
        <v/>
      </c>
      <c r="Y51" s="10" t="n">
        <v>2.869387096774194</v>
      </c>
      <c r="Z51" s="10">
        <f>X51+I51</f>
        <v/>
      </c>
      <c r="AA51" s="10">
        <f>X51+P51</f>
        <v/>
      </c>
      <c r="AB51" s="10" t="n">
        <v>2.154193548387096</v>
      </c>
      <c r="AC51" s="10" t="n">
        <v>2.226806451612903</v>
      </c>
    </row>
    <row r="52">
      <c r="A52" s="12" t="n">
        <v>45597</v>
      </c>
      <c r="B52" t="inlineStr">
        <is>
          <t>Actual</t>
        </is>
      </c>
      <c r="C52" s="10">
        <f>N(AB52)*'Assump - LNG'!$B$5</f>
        <v/>
      </c>
      <c r="D52" s="10">
        <f>N(AC52)*'Assump - LNG'!$B$5</f>
        <v/>
      </c>
      <c r="E52" s="10">
        <f>N(AD52)*'Assump - LNG'!$B$5</f>
        <v/>
      </c>
      <c r="F52" s="10" t="n">
        <v>0</v>
      </c>
      <c r="G52" s="10" t="n">
        <v>0</v>
      </c>
      <c r="H52" s="10" t="n">
        <v>0</v>
      </c>
      <c r="I52" s="10">
        <f>SUM(C52:H52)</f>
        <v/>
      </c>
      <c r="J52" s="10">
        <f>C52</f>
        <v/>
      </c>
      <c r="K52" s="10">
        <f>D52</f>
        <v/>
      </c>
      <c r="L52" s="10">
        <f>E52</f>
        <v/>
      </c>
      <c r="M52" s="10">
        <f>F52</f>
        <v/>
      </c>
      <c r="N52" s="10">
        <f>G52</f>
        <v/>
      </c>
      <c r="O52" s="10">
        <f>H52</f>
        <v/>
      </c>
      <c r="P52" s="10">
        <f>SUM(J52:O52)</f>
        <v/>
      </c>
      <c r="Q52" s="10">
        <f>I52/'Assump - LNG'!$B$5</f>
        <v/>
      </c>
      <c r="R52" s="10">
        <f>P52/'Assump - LNG'!$B$5</f>
        <v/>
      </c>
      <c r="S52" s="10" t="n">
        <v>4.806333333333333</v>
      </c>
      <c r="T52" s="10" t="n">
        <v>5.701866666666667</v>
      </c>
      <c r="U52" s="10" t="n">
        <v>0.4328666666666667</v>
      </c>
      <c r="V52" s="10" t="n">
        <v>0.5004</v>
      </c>
      <c r="W52" s="10" t="n">
        <v>0.0074</v>
      </c>
      <c r="X52" s="10">
        <f>SUM(S52:W52)</f>
        <v/>
      </c>
      <c r="Y52" s="10" t="n">
        <v>2.7428</v>
      </c>
      <c r="Z52" s="10">
        <f>X52+I52</f>
        <v/>
      </c>
      <c r="AA52" s="10">
        <f>X52+P52</f>
        <v/>
      </c>
      <c r="AB52" s="10" t="n">
        <v>2.183166666666667</v>
      </c>
      <c r="AC52" s="10" t="n">
        <v>1.853833333333333</v>
      </c>
    </row>
    <row r="53">
      <c r="A53" s="12" t="n">
        <v>45627</v>
      </c>
      <c r="B53" t="inlineStr">
        <is>
          <t>Actual</t>
        </is>
      </c>
      <c r="C53" s="10">
        <f>N(AB53)*'Assump - LNG'!$B$5</f>
        <v/>
      </c>
      <c r="D53" s="10">
        <f>N(AC53)*'Assump - LNG'!$B$5</f>
        <v/>
      </c>
      <c r="E53" s="10">
        <f>N(AD53)*'Assump - LNG'!$B$5</f>
        <v/>
      </c>
      <c r="F53" s="10" t="n">
        <v>0</v>
      </c>
      <c r="G53" s="10" t="n">
        <v>0</v>
      </c>
      <c r="H53" s="10" t="n">
        <v>0</v>
      </c>
      <c r="I53" s="10">
        <f>SUM(C53:H53)</f>
        <v/>
      </c>
      <c r="J53" s="10">
        <f>C53</f>
        <v/>
      </c>
      <c r="K53" s="10">
        <f>D53</f>
        <v/>
      </c>
      <c r="L53" s="10">
        <f>E53</f>
        <v/>
      </c>
      <c r="M53" s="10">
        <f>F53</f>
        <v/>
      </c>
      <c r="N53" s="10">
        <f>G53</f>
        <v/>
      </c>
      <c r="O53" s="10">
        <f>H53</f>
        <v/>
      </c>
      <c r="P53" s="10">
        <f>SUM(J53:O53)</f>
        <v/>
      </c>
      <c r="Q53" s="10">
        <f>I53/'Assump - LNG'!$B$5</f>
        <v/>
      </c>
      <c r="R53" s="10">
        <f>P53/'Assump - LNG'!$B$5</f>
        <v/>
      </c>
      <c r="S53" s="10" t="n">
        <v>4.653419354838709</v>
      </c>
      <c r="T53" s="10" t="n">
        <v>6.043483870967742</v>
      </c>
      <c r="U53" s="10" t="n">
        <v>0.8987419354838709</v>
      </c>
      <c r="V53" s="10" t="n">
        <v>0.681483870967742</v>
      </c>
      <c r="W53" s="10" t="n">
        <v>0.007419354838709677</v>
      </c>
      <c r="X53" s="10">
        <f>SUM(S53:W53)</f>
        <v/>
      </c>
      <c r="Y53" s="10" t="n">
        <v>2.697645161290323</v>
      </c>
      <c r="Z53" s="10">
        <f>X53+I53</f>
        <v/>
      </c>
      <c r="AA53" s="10">
        <f>X53+P53</f>
        <v/>
      </c>
      <c r="AB53" s="10" t="n">
        <v>2.169774193548387</v>
      </c>
      <c r="AC53" s="10" t="n">
        <v>2.19683870967742</v>
      </c>
    </row>
    <row r="54">
      <c r="A54" s="12" t="n">
        <v>45658</v>
      </c>
      <c r="B54" t="inlineStr">
        <is>
          <t>Actual</t>
        </is>
      </c>
      <c r="C54" s="10">
        <f>N(AB54)*'Assump - LNG'!$B$5</f>
        <v/>
      </c>
      <c r="D54" s="10">
        <f>N(AC54)*'Assump - LNG'!$B$5</f>
        <v/>
      </c>
      <c r="E54" s="10">
        <f>N(AD54)*'Assump - LNG'!$B$5</f>
        <v/>
      </c>
      <c r="F54" s="10" t="n">
        <v>0</v>
      </c>
      <c r="G54" s="10" t="n">
        <v>0</v>
      </c>
      <c r="H54" s="10" t="n">
        <v>0</v>
      </c>
      <c r="I54" s="10">
        <f>SUM(C54:H54)</f>
        <v/>
      </c>
      <c r="J54" s="10">
        <f>C54</f>
        <v/>
      </c>
      <c r="K54" s="10">
        <f>D54</f>
        <v/>
      </c>
      <c r="L54" s="10">
        <f>E54</f>
        <v/>
      </c>
      <c r="M54" s="10">
        <f>F54</f>
        <v/>
      </c>
      <c r="N54" s="10">
        <f>G54</f>
        <v/>
      </c>
      <c r="O54" s="10">
        <f>H54</f>
        <v/>
      </c>
      <c r="P54" s="10">
        <f>SUM(J54:O54)</f>
        <v/>
      </c>
      <c r="Q54" s="10">
        <f>I54/'Assump - LNG'!$B$5</f>
        <v/>
      </c>
      <c r="R54" s="10">
        <f>P54/'Assump - LNG'!$B$5</f>
        <v/>
      </c>
      <c r="S54" s="10" t="n">
        <v>5.869</v>
      </c>
      <c r="T54" s="10" t="n">
        <v>5.845741935483871</v>
      </c>
      <c r="U54" s="10" t="n">
        <v>2.010354838709677</v>
      </c>
      <c r="V54" s="10" t="n">
        <v>1.101387096774194</v>
      </c>
      <c r="W54" s="10" t="n">
        <v>0.006193548387096774</v>
      </c>
      <c r="X54" s="10">
        <f>SUM(S54:W54)</f>
        <v/>
      </c>
      <c r="Y54" s="10" t="n">
        <v>3.12958064516129</v>
      </c>
      <c r="Z54" s="10">
        <f>X54+I54</f>
        <v/>
      </c>
      <c r="AA54" s="10">
        <f>X54+P54</f>
        <v/>
      </c>
      <c r="AB54" s="10" t="n">
        <v>2.004483870967742</v>
      </c>
      <c r="AC54" s="10" t="n">
        <v>1.806774193548387</v>
      </c>
    </row>
    <row r="55">
      <c r="A55" s="12" t="n">
        <v>45689</v>
      </c>
      <c r="B55" t="inlineStr">
        <is>
          <t>Actual</t>
        </is>
      </c>
      <c r="C55" s="10">
        <f>N(AB55)*'Assump - LNG'!$B$5</f>
        <v/>
      </c>
      <c r="D55" s="10">
        <f>N(AC55)*'Assump - LNG'!$B$5</f>
        <v/>
      </c>
      <c r="E55" s="10">
        <f>N(AD55)*'Assump - LNG'!$B$5</f>
        <v/>
      </c>
      <c r="F55" s="10" t="n">
        <v>0</v>
      </c>
      <c r="G55" s="10" t="n">
        <v>0</v>
      </c>
      <c r="H55" s="10" t="n">
        <v>0</v>
      </c>
      <c r="I55" s="10">
        <f>SUM(C55:H55)</f>
        <v/>
      </c>
      <c r="J55" s="10">
        <f>C55</f>
        <v/>
      </c>
      <c r="K55" s="10">
        <f>D55</f>
        <v/>
      </c>
      <c r="L55" s="10">
        <f>E55</f>
        <v/>
      </c>
      <c r="M55" s="10">
        <f>F55</f>
        <v/>
      </c>
      <c r="N55" s="10">
        <f>G55</f>
        <v/>
      </c>
      <c r="O55" s="10">
        <f>H55</f>
        <v/>
      </c>
      <c r="P55" s="10">
        <f>SUM(J55:O55)</f>
        <v/>
      </c>
      <c r="Q55" s="10">
        <f>I55/'Assump - LNG'!$B$5</f>
        <v/>
      </c>
      <c r="R55" s="10">
        <f>P55/'Assump - LNG'!$B$5</f>
        <v/>
      </c>
      <c r="S55" s="10" t="n">
        <v>5.272785714285715</v>
      </c>
      <c r="T55" s="10" t="n">
        <v>5.759535714285715</v>
      </c>
      <c r="U55" s="10" t="n">
        <v>1.569142857142857</v>
      </c>
      <c r="V55" s="10" t="n">
        <v>0.9613214285714285</v>
      </c>
      <c r="W55" s="10" t="n">
        <v>0.006214285714285715</v>
      </c>
      <c r="X55" s="10">
        <f>SUM(S55:W55)</f>
        <v/>
      </c>
      <c r="Y55" s="10" t="n">
        <v>3.037857142857143</v>
      </c>
      <c r="Z55" s="10">
        <f>X55+I55</f>
        <v/>
      </c>
      <c r="AA55" s="10">
        <f>X55+P55</f>
        <v/>
      </c>
      <c r="AB55" s="10" t="n">
        <v>2.368821428571429</v>
      </c>
      <c r="AC55" s="10" t="n">
        <v>2.205357142857143</v>
      </c>
    </row>
    <row r="56">
      <c r="A56" s="12" t="n">
        <v>45717</v>
      </c>
      <c r="B56" t="inlineStr">
        <is>
          <t>Actual</t>
        </is>
      </c>
      <c r="C56" s="10">
        <f>N(AB56)*'Assump - LNG'!$B$5</f>
        <v/>
      </c>
      <c r="D56" s="10">
        <f>N(AC56)*'Assump - LNG'!$B$5</f>
        <v/>
      </c>
      <c r="E56" s="10">
        <f>N(AD56)*'Assump - LNG'!$B$5</f>
        <v/>
      </c>
      <c r="F56" s="10" t="n">
        <v>0</v>
      </c>
      <c r="G56" s="10" t="n">
        <v>0</v>
      </c>
      <c r="H56" s="10" t="n">
        <v>0</v>
      </c>
      <c r="I56" s="10">
        <f>SUM(C56:H56)</f>
        <v/>
      </c>
      <c r="J56" s="10">
        <f>C56</f>
        <v/>
      </c>
      <c r="K56" s="10">
        <f>D56</f>
        <v/>
      </c>
      <c r="L56" s="10">
        <f>E56</f>
        <v/>
      </c>
      <c r="M56" s="10">
        <f>F56</f>
        <v/>
      </c>
      <c r="N56" s="10">
        <f>G56</f>
        <v/>
      </c>
      <c r="O56" s="10">
        <f>H56</f>
        <v/>
      </c>
      <c r="P56" s="10">
        <f>SUM(J56:O56)</f>
        <v/>
      </c>
      <c r="Q56" s="10">
        <f>I56/'Assump - LNG'!$B$5</f>
        <v/>
      </c>
      <c r="R56" s="10">
        <f>P56/'Assump - LNG'!$B$5</f>
        <v/>
      </c>
      <c r="S56" s="10" t="n">
        <v>3.69841935483871</v>
      </c>
      <c r="T56" s="10" t="n">
        <v>5.697580645161291</v>
      </c>
      <c r="U56" s="10" t="n">
        <v>0.5337741935483871</v>
      </c>
      <c r="V56" s="10" t="n">
        <v>0.4649354838709677</v>
      </c>
      <c r="W56" s="10" t="n">
        <v>0.006193548387096774</v>
      </c>
      <c r="X56" s="10">
        <f>SUM(S56:W56)</f>
        <v/>
      </c>
      <c r="Y56" s="10" t="n">
        <v>2.864387096774194</v>
      </c>
      <c r="Z56" s="10">
        <f>X56+I56</f>
        <v/>
      </c>
      <c r="AA56" s="10">
        <f>X56+P56</f>
        <v/>
      </c>
      <c r="AB56" s="10" t="n">
        <v>2.148096774193548</v>
      </c>
      <c r="AC56" s="10" t="n">
        <v>2.070677419354839</v>
      </c>
    </row>
    <row r="57">
      <c r="A57" s="12" t="n">
        <v>45748</v>
      </c>
      <c r="B57" t="inlineStr">
        <is>
          <t>Actual</t>
        </is>
      </c>
      <c r="C57" s="10">
        <f>N(AB57)*'Assump - LNG'!$B$5</f>
        <v/>
      </c>
      <c r="D57" s="10">
        <f>N(AC57)*'Assump - LNG'!$B$5</f>
        <v/>
      </c>
      <c r="E57" s="10">
        <f>N(AD57)*'Assump - LNG'!$B$5</f>
        <v/>
      </c>
      <c r="F57" s="10" t="n">
        <v>0</v>
      </c>
      <c r="G57" s="10" t="n">
        <v>0</v>
      </c>
      <c r="H57" s="10" t="n">
        <v>0</v>
      </c>
      <c r="I57" s="10">
        <f>SUM(C57:H57)</f>
        <v/>
      </c>
      <c r="J57" s="10">
        <f>C57</f>
        <v/>
      </c>
      <c r="K57" s="10">
        <f>D57</f>
        <v/>
      </c>
      <c r="L57" s="10">
        <f>E57</f>
        <v/>
      </c>
      <c r="M57" s="10">
        <f>F57</f>
        <v/>
      </c>
      <c r="N57" s="10">
        <f>G57</f>
        <v/>
      </c>
      <c r="O57" s="10">
        <f>H57</f>
        <v/>
      </c>
      <c r="P57" s="10">
        <f>SUM(J57:O57)</f>
        <v/>
      </c>
      <c r="Q57" s="10">
        <f>I57/'Assump - LNG'!$B$5</f>
        <v/>
      </c>
      <c r="R57" s="10">
        <f>P57/'Assump - LNG'!$B$5</f>
        <v/>
      </c>
      <c r="S57" s="10" t="n">
        <v>4.2876</v>
      </c>
      <c r="T57" s="10" t="n">
        <v>5.537833333333333</v>
      </c>
      <c r="U57" s="10" t="n">
        <v>0.4167</v>
      </c>
      <c r="V57" s="10" t="n">
        <v>0.5441666666666666</v>
      </c>
      <c r="W57" s="10" t="n">
        <v>0.0062</v>
      </c>
      <c r="X57" s="10">
        <f>SUM(S57:W57)</f>
        <v/>
      </c>
      <c r="Y57" s="10" t="n">
        <v>3.252</v>
      </c>
      <c r="Z57" s="10">
        <f>X57+I57</f>
        <v/>
      </c>
      <c r="AA57" s="10">
        <f>X57+P57</f>
        <v/>
      </c>
      <c r="AB57" s="10" t="n">
        <v>2.125466666666667</v>
      </c>
      <c r="AC57" s="10" t="n">
        <v>2.295533333333333</v>
      </c>
    </row>
    <row r="58">
      <c r="A58" s="12" t="n">
        <v>45778</v>
      </c>
      <c r="B58" t="inlineStr">
        <is>
          <t>Actual</t>
        </is>
      </c>
      <c r="C58" s="10">
        <f>N(AB58)*'Assump - LNG'!$B$5</f>
        <v/>
      </c>
      <c r="D58" s="10">
        <f>N(AC58)*'Assump - LNG'!$B$5</f>
        <v/>
      </c>
      <c r="E58" s="10">
        <f>N(AD58)*'Assump - LNG'!$B$5</f>
        <v/>
      </c>
      <c r="F58" s="10" t="n">
        <v>0</v>
      </c>
      <c r="G58" s="10" t="n">
        <v>0</v>
      </c>
      <c r="H58" s="10" t="n">
        <v>0</v>
      </c>
      <c r="I58" s="10">
        <f>SUM(C58:H58)</f>
        <v/>
      </c>
      <c r="J58" s="10">
        <f>C58</f>
        <v/>
      </c>
      <c r="K58" s="10">
        <f>D58</f>
        <v/>
      </c>
      <c r="L58" s="10">
        <f>E58</f>
        <v/>
      </c>
      <c r="M58" s="10">
        <f>F58</f>
        <v/>
      </c>
      <c r="N58" s="10">
        <f>G58</f>
        <v/>
      </c>
      <c r="O58" s="10">
        <f>H58</f>
        <v/>
      </c>
      <c r="P58" s="10">
        <f>SUM(J58:O58)</f>
        <v/>
      </c>
      <c r="Q58" s="10">
        <f>I58/'Assump - LNG'!$B$5</f>
        <v/>
      </c>
      <c r="R58" s="10">
        <f>P58/'Assump - LNG'!$B$5</f>
        <v/>
      </c>
      <c r="S58" s="10" t="n">
        <v>5.777741935483871</v>
      </c>
      <c r="T58" s="10" t="n">
        <v>5.462096774193548</v>
      </c>
      <c r="U58" s="10" t="n">
        <v>0.2829032258064516</v>
      </c>
      <c r="V58" s="10" t="n">
        <v>0.4228387096774193</v>
      </c>
      <c r="W58" s="10" t="n">
        <v>0.006193548387096774</v>
      </c>
      <c r="X58" s="10">
        <f>SUM(S58:W58)</f>
        <v/>
      </c>
      <c r="Y58" s="10" t="n">
        <v>3.523838709677419</v>
      </c>
      <c r="Z58" s="10">
        <f>X58+I58</f>
        <v/>
      </c>
      <c r="AA58" s="10">
        <f>X58+P58</f>
        <v/>
      </c>
      <c r="AB58" s="10" t="n">
        <v>2.01458064516129</v>
      </c>
      <c r="AC58" s="10" t="n">
        <v>2.109935483870968</v>
      </c>
    </row>
    <row r="59">
      <c r="A59" s="12" t="n">
        <v>45809</v>
      </c>
      <c r="B59" t="inlineStr">
        <is>
          <t>Actual</t>
        </is>
      </c>
      <c r="C59" s="10">
        <f>N(AB59)*'Assump - LNG'!$B$5</f>
        <v/>
      </c>
      <c r="D59" s="10">
        <f>N(AC59)*'Assump - LNG'!$B$5</f>
        <v/>
      </c>
      <c r="E59" s="10">
        <f>N(AD59)*'Assump - LNG'!$B$5</f>
        <v/>
      </c>
      <c r="F59" s="10" t="n">
        <v>0</v>
      </c>
      <c r="G59" s="10" t="n">
        <v>0</v>
      </c>
      <c r="H59" s="10" t="n">
        <v>0</v>
      </c>
      <c r="I59" s="10">
        <f>SUM(C59:H59)</f>
        <v/>
      </c>
      <c r="J59" s="10">
        <f>C59</f>
        <v/>
      </c>
      <c r="K59" s="10">
        <f>D59</f>
        <v/>
      </c>
      <c r="L59" s="10">
        <f>E59</f>
        <v/>
      </c>
      <c r="M59" s="10">
        <f>F59</f>
        <v/>
      </c>
      <c r="N59" s="10">
        <f>G59</f>
        <v/>
      </c>
      <c r="O59" s="10">
        <f>H59</f>
        <v/>
      </c>
      <c r="P59" s="10">
        <f>SUM(J59:O59)</f>
        <v/>
      </c>
      <c r="Q59" s="10">
        <f>I59/'Assump - LNG'!$B$5</f>
        <v/>
      </c>
      <c r="R59" s="10">
        <f>P59/'Assump - LNG'!$B$5</f>
        <v/>
      </c>
      <c r="S59" s="10" t="n">
        <v>6.4434</v>
      </c>
      <c r="T59" s="10" t="n">
        <v>5.411233333333334</v>
      </c>
      <c r="U59" s="10" t="n">
        <v>0.2359</v>
      </c>
      <c r="V59" s="10" t="n">
        <v>0.419</v>
      </c>
      <c r="W59" s="10" t="n">
        <v>0.0062</v>
      </c>
      <c r="X59" s="10">
        <f>SUM(S59:W59)</f>
        <v/>
      </c>
      <c r="Y59" s="10" t="n">
        <v>3.446133333333333</v>
      </c>
      <c r="Z59" s="10">
        <f>X59+I59</f>
        <v/>
      </c>
      <c r="AA59" s="10">
        <f>X59+P59</f>
        <v/>
      </c>
      <c r="AB59" s="10" t="n">
        <v>2.0722</v>
      </c>
      <c r="AC59" s="10" t="n">
        <v>2.239966666666667</v>
      </c>
    </row>
    <row r="60">
      <c r="A60" s="12" t="n">
        <v>45839</v>
      </c>
      <c r="B60" t="inlineStr">
        <is>
          <t>Actual</t>
        </is>
      </c>
      <c r="C60" s="10">
        <f>N(AB60)*'Assump - LNG'!$B$5</f>
        <v/>
      </c>
      <c r="D60" s="10">
        <f>N(AC60)*'Assump - LNG'!$B$5</f>
        <v/>
      </c>
      <c r="E60" s="10">
        <f>N(AD60)*'Assump - LNG'!$B$5</f>
        <v/>
      </c>
      <c r="F60" s="10" t="n">
        <v>0</v>
      </c>
      <c r="G60" s="10" t="n">
        <v>0</v>
      </c>
      <c r="H60" s="10" t="n">
        <v>0</v>
      </c>
      <c r="I60" s="10">
        <f>SUM(C60:H60)</f>
        <v/>
      </c>
      <c r="J60" s="10">
        <f>C60</f>
        <v/>
      </c>
      <c r="K60" s="10">
        <f>D60</f>
        <v/>
      </c>
      <c r="L60" s="10">
        <f>E60</f>
        <v/>
      </c>
      <c r="M60" s="10">
        <f>F60</f>
        <v/>
      </c>
      <c r="N60" s="10">
        <f>G60</f>
        <v/>
      </c>
      <c r="O60" s="10">
        <f>H60</f>
        <v/>
      </c>
      <c r="P60" s="10">
        <f>SUM(J60:O60)</f>
        <v/>
      </c>
      <c r="Q60" s="10">
        <f>I60/'Assump - LNG'!$B$5</f>
        <v/>
      </c>
      <c r="R60" s="10">
        <f>P60/'Assump - LNG'!$B$5</f>
        <v/>
      </c>
      <c r="S60" s="10" t="n">
        <v>7.139032258064516</v>
      </c>
      <c r="T60" s="10" t="n">
        <v>5.410709677419355</v>
      </c>
      <c r="U60" s="10" t="n">
        <v>0.2180645161290322</v>
      </c>
      <c r="V60" s="10" t="n">
        <v>0.4039032258064516</v>
      </c>
      <c r="W60" s="10" t="n">
        <v>0.006193548387096774</v>
      </c>
      <c r="X60" s="10">
        <f>SUM(S60:W60)</f>
        <v/>
      </c>
      <c r="Y60" s="10" t="n">
        <v>3.09458064516129</v>
      </c>
      <c r="Z60" s="10">
        <f>X60+I60</f>
        <v/>
      </c>
      <c r="AA60" s="10">
        <f>X60+P60</f>
        <v/>
      </c>
      <c r="AB60" s="10" t="n">
        <v>2.191032258064516</v>
      </c>
      <c r="AC60" s="10" t="n">
        <v>1.934838709677419</v>
      </c>
    </row>
    <row r="61">
      <c r="A61" s="12" t="n">
        <v>45870</v>
      </c>
      <c r="B61" t="inlineStr">
        <is>
          <t>Actual</t>
        </is>
      </c>
      <c r="C61" s="10">
        <f>N(AB61)*'Assump - LNG'!$B$5</f>
        <v/>
      </c>
      <c r="D61" s="10">
        <f>N(AC61)*'Assump - LNG'!$B$5</f>
        <v/>
      </c>
      <c r="E61" s="10">
        <f>N(AD61)*'Assump - LNG'!$B$5</f>
        <v/>
      </c>
      <c r="F61" s="10" t="n">
        <v>0</v>
      </c>
      <c r="G61" s="10" t="n">
        <v>0</v>
      </c>
      <c r="H61" s="10" t="n">
        <v>0</v>
      </c>
      <c r="I61" s="10">
        <f>SUM(C61:H61)</f>
        <v/>
      </c>
      <c r="J61" s="10">
        <f>C61</f>
        <v/>
      </c>
      <c r="K61" s="10">
        <f>D61</f>
        <v/>
      </c>
      <c r="L61" s="10">
        <f>E61</f>
        <v/>
      </c>
      <c r="M61" s="10">
        <f>F61</f>
        <v/>
      </c>
      <c r="N61" s="10">
        <f>G61</f>
        <v/>
      </c>
      <c r="O61" s="10">
        <f>H61</f>
        <v/>
      </c>
      <c r="P61" s="10">
        <f>SUM(J61:O61)</f>
        <v/>
      </c>
      <c r="Q61" s="10">
        <f>I61/'Assump - LNG'!$B$5</f>
        <v/>
      </c>
      <c r="R61" s="10">
        <f>P61/'Assump - LNG'!$B$5</f>
        <v/>
      </c>
      <c r="S61" s="10" t="n">
        <v>7.713354838709678</v>
      </c>
      <c r="T61" s="10" t="n">
        <v>5.538838709677419</v>
      </c>
      <c r="U61" s="10" t="n">
        <v>0.1949677419354839</v>
      </c>
      <c r="V61" s="10" t="n">
        <v>0.383</v>
      </c>
      <c r="W61" s="10" t="n">
        <v>0.006193548387096774</v>
      </c>
      <c r="X61" s="10">
        <f>SUM(S61:W61)</f>
        <v/>
      </c>
      <c r="Y61" s="10" t="n">
        <v>3.350290322580645</v>
      </c>
      <c r="Z61" s="10">
        <f>X61+I61</f>
        <v/>
      </c>
      <c r="AA61" s="10">
        <f>X61+P61</f>
        <v/>
      </c>
      <c r="AB61" s="10" t="n">
        <v>2.141709677419354</v>
      </c>
      <c r="AC61" s="10" t="n">
        <v>1.957516129032258</v>
      </c>
    </row>
    <row r="62">
      <c r="A62" s="12" t="n">
        <v>45901</v>
      </c>
      <c r="B62" t="inlineStr">
        <is>
          <t>Actual</t>
        </is>
      </c>
      <c r="C62" s="10">
        <f>N(AB62)*'Assump - LNG'!$B$5</f>
        <v/>
      </c>
      <c r="D62" s="10">
        <f>N(AC62)*'Assump - LNG'!$B$5</f>
        <v/>
      </c>
      <c r="E62" s="10">
        <f>N(AD62)*'Assump - LNG'!$B$5</f>
        <v/>
      </c>
      <c r="F62" s="10" t="n">
        <v>0</v>
      </c>
      <c r="G62" s="10" t="n">
        <v>0</v>
      </c>
      <c r="H62" s="10" t="n">
        <v>0</v>
      </c>
      <c r="I62" s="10">
        <f>SUM(C62:H62)</f>
        <v/>
      </c>
      <c r="J62" s="10">
        <f>C62</f>
        <v/>
      </c>
      <c r="K62" s="10">
        <f>D62</f>
        <v/>
      </c>
      <c r="L62" s="10">
        <f>E62</f>
        <v/>
      </c>
      <c r="M62" s="10">
        <f>F62</f>
        <v/>
      </c>
      <c r="N62" s="10">
        <f>G62</f>
        <v/>
      </c>
      <c r="O62" s="10">
        <f>H62</f>
        <v/>
      </c>
      <c r="P62" s="10">
        <f>SUM(J62:O62)</f>
        <v/>
      </c>
      <c r="Q62" s="10">
        <f>I62/'Assump - LNG'!$B$5</f>
        <v/>
      </c>
      <c r="R62" s="10">
        <f>P62/'Assump - LNG'!$B$5</f>
        <v/>
      </c>
      <c r="S62" s="10" t="n">
        <v>6.913966666666666</v>
      </c>
      <c r="T62" s="10" t="n">
        <v>5.562266666666666</v>
      </c>
      <c r="U62" s="10" t="n">
        <v>0.1994</v>
      </c>
      <c r="V62" s="10" t="n">
        <v>0.3982666666666667</v>
      </c>
      <c r="W62" s="10" t="n">
        <v>0.0062</v>
      </c>
      <c r="X62" s="10">
        <f>SUM(S62:W62)</f>
        <v/>
      </c>
      <c r="Y62" s="10" t="n">
        <v>2.949933333333334</v>
      </c>
      <c r="Z62" s="10">
        <f>X62+I62</f>
        <v/>
      </c>
      <c r="AA62" s="10">
        <f>X62+P62</f>
        <v/>
      </c>
      <c r="AB62" s="10" t="n">
        <v>2.335733333333333</v>
      </c>
      <c r="AC62" s="10" t="n">
        <v>1.9989</v>
      </c>
    </row>
    <row r="63">
      <c r="A63" s="12" t="n">
        <v>45931</v>
      </c>
      <c r="B63" t="inlineStr">
        <is>
          <t>Actual</t>
        </is>
      </c>
      <c r="C63" s="10">
        <f>N(AB63)*'Assump - LNG'!$B$5</f>
        <v/>
      </c>
      <c r="D63" s="10">
        <f>N(AC63)*'Assump - LNG'!$B$5</f>
        <v/>
      </c>
      <c r="E63" s="10">
        <f>N(AD63)*'Assump - LNG'!$B$5</f>
        <v/>
      </c>
      <c r="F63" s="10" t="n">
        <v>0</v>
      </c>
      <c r="G63" s="10" t="n">
        <v>0</v>
      </c>
      <c r="H63" s="10" t="n">
        <v>0</v>
      </c>
      <c r="I63" s="10">
        <f>SUM(C63:H63)</f>
        <v/>
      </c>
      <c r="J63" s="10">
        <f>C63</f>
        <v/>
      </c>
      <c r="K63" s="10">
        <f>D63</f>
        <v/>
      </c>
      <c r="L63" s="10">
        <f>E63</f>
        <v/>
      </c>
      <c r="M63" s="10">
        <f>F63</f>
        <v/>
      </c>
      <c r="N63" s="10">
        <f>G63</f>
        <v/>
      </c>
      <c r="O63" s="10">
        <f>H63</f>
        <v/>
      </c>
      <c r="P63" s="10">
        <f>SUM(J63:O63)</f>
        <v/>
      </c>
      <c r="Q63" s="10">
        <f>I63/'Assump - LNG'!$B$5</f>
        <v/>
      </c>
      <c r="R63" s="10">
        <f>P63/'Assump - LNG'!$B$5</f>
        <v/>
      </c>
      <c r="S63" s="10" t="n">
        <v>5.629225806451613</v>
      </c>
      <c r="T63" s="10" t="n">
        <v>5.351806451612903</v>
      </c>
      <c r="U63" s="10" t="n">
        <v>0.2535806451612903</v>
      </c>
      <c r="V63" s="10" t="n">
        <v>0.410258064516129</v>
      </c>
      <c r="W63" s="10" t="n">
        <v>0.006193548387096774</v>
      </c>
      <c r="X63" s="10">
        <f>SUM(S63:W63)</f>
        <v/>
      </c>
      <c r="Y63" s="10" t="n">
        <v>2.833483870967742</v>
      </c>
      <c r="Z63" s="10">
        <f>X63+I63</f>
        <v/>
      </c>
      <c r="AA63" s="10">
        <f>X63+P63</f>
        <v/>
      </c>
      <c r="AB63" s="10" t="n">
        <v>2.462806451612904</v>
      </c>
      <c r="AC63" s="10" t="n">
        <v>2.256322580645162</v>
      </c>
    </row>
    <row r="64">
      <c r="A64" s="12" t="n">
        <v>45962</v>
      </c>
      <c r="B64" t="inlineStr">
        <is>
          <t>Actual</t>
        </is>
      </c>
      <c r="C64" s="10">
        <f>N(AB64)*'Assump - LNG'!$B$5</f>
        <v/>
      </c>
      <c r="D64" s="10">
        <f>N(AC64)*'Assump - LNG'!$B$5</f>
        <v/>
      </c>
      <c r="E64" s="10">
        <f>N(AD64)*'Assump - LNG'!$B$5</f>
        <v/>
      </c>
      <c r="F64" s="10" t="n">
        <v>0</v>
      </c>
      <c r="G64" s="10" t="n">
        <v>0</v>
      </c>
      <c r="H64" s="10" t="n">
        <v>0</v>
      </c>
      <c r="I64" s="10">
        <f>SUM(C64:H64)</f>
        <v/>
      </c>
      <c r="J64" s="10">
        <f>C64</f>
        <v/>
      </c>
      <c r="K64" s="10">
        <f>D64</f>
        <v/>
      </c>
      <c r="L64" s="10">
        <f>E64</f>
        <v/>
      </c>
      <c r="M64" s="10">
        <f>F64</f>
        <v/>
      </c>
      <c r="N64" s="10">
        <f>G64</f>
        <v/>
      </c>
      <c r="O64" s="10">
        <f>H64</f>
        <v/>
      </c>
      <c r="P64" s="10">
        <f>SUM(J64:O64)</f>
        <v/>
      </c>
      <c r="Q64" s="10">
        <f>I64/'Assump - LNG'!$B$5</f>
        <v/>
      </c>
      <c r="R64" s="10">
        <f>P64/'Assump - LNG'!$B$5</f>
        <v/>
      </c>
      <c r="S64" s="10" t="n">
        <v>4.648733333333333</v>
      </c>
      <c r="T64" s="10" t="n">
        <v>5.8022</v>
      </c>
      <c r="U64" s="10" t="n">
        <v>0.4432</v>
      </c>
      <c r="V64" s="10" t="n">
        <v>0.5220333333333333</v>
      </c>
      <c r="W64" s="10" t="n">
        <v>0.0062</v>
      </c>
      <c r="X64" s="10">
        <f>SUM(S64:W64)</f>
        <v/>
      </c>
      <c r="Y64" s="10" t="n">
        <v>2.9201</v>
      </c>
      <c r="Z64" s="10">
        <f>X64+I64</f>
        <v/>
      </c>
      <c r="AA64" s="10">
        <f>X64+P64</f>
        <v/>
      </c>
      <c r="AB64" s="10" t="n">
        <v>2.839033333333334</v>
      </c>
      <c r="AC64" s="10" t="n">
        <v>2.133933333333333</v>
      </c>
    </row>
    <row r="65">
      <c r="A65" s="12" t="n">
        <v>45992</v>
      </c>
      <c r="B65" t="inlineStr">
        <is>
          <t>Actual</t>
        </is>
      </c>
      <c r="C65" s="10">
        <f>N(AB65)*'Assump - LNG'!$B$5</f>
        <v/>
      </c>
      <c r="D65" s="10">
        <f>N(AC65)*'Assump - LNG'!$B$5</f>
        <v/>
      </c>
      <c r="E65" s="10">
        <f>N(AD65)*'Assump - LNG'!$B$5</f>
        <v/>
      </c>
      <c r="F65" s="10" t="n">
        <v>0</v>
      </c>
      <c r="G65" s="10" t="n">
        <v>0</v>
      </c>
      <c r="H65" s="10" t="n">
        <v>0</v>
      </c>
      <c r="I65" s="10">
        <f>SUM(C65:H65)</f>
        <v/>
      </c>
      <c r="J65" s="10">
        <f>C65</f>
        <v/>
      </c>
      <c r="K65" s="10">
        <f>D65</f>
        <v/>
      </c>
      <c r="L65" s="10">
        <f>E65</f>
        <v/>
      </c>
      <c r="M65" s="10">
        <f>F65</f>
        <v/>
      </c>
      <c r="N65" s="10">
        <f>G65</f>
        <v/>
      </c>
      <c r="O65" s="10">
        <f>H65</f>
        <v/>
      </c>
      <c r="P65" s="10">
        <f>SUM(J65:O65)</f>
        <v/>
      </c>
      <c r="Q65" s="10">
        <f>I65/'Assump - LNG'!$B$5</f>
        <v/>
      </c>
      <c r="R65" s="10">
        <f>P65/'Assump - LNG'!$B$5</f>
        <v/>
      </c>
      <c r="S65" s="10" t="n">
        <v>4.848451612903226</v>
      </c>
      <c r="T65" s="10" t="n">
        <v>5.93</v>
      </c>
      <c r="U65" s="10" t="n">
        <v>0.9796451612903225</v>
      </c>
      <c r="V65" s="10" t="n">
        <v>0.6952903225806452</v>
      </c>
      <c r="W65" s="10" t="n">
        <v>0.006193548387096774</v>
      </c>
      <c r="X65" s="10">
        <f>SUM(S65:W65)</f>
        <v/>
      </c>
      <c r="Y65" s="10" t="n">
        <v>2.764451612903226</v>
      </c>
      <c r="Z65" s="10">
        <f>X65+I65</f>
        <v/>
      </c>
      <c r="AA65" s="10">
        <f>X65+P65</f>
        <v/>
      </c>
      <c r="AB65" s="10" t="n">
        <v>2.925548387096774</v>
      </c>
      <c r="AC65" s="10" t="n">
        <v>2.236451612903226</v>
      </c>
    </row>
    <row r="66">
      <c r="A66" s="12" t="n">
        <v>46023</v>
      </c>
      <c r="B66" t="inlineStr">
        <is>
          <t>Actual</t>
        </is>
      </c>
      <c r="C66" s="10">
        <f>N(AB66)*'Assump - LNG'!$B$5</f>
        <v/>
      </c>
      <c r="D66" s="10">
        <f>N(AC66)*'Assump - LNG'!$B$5</f>
        <v/>
      </c>
      <c r="E66" s="10">
        <f>N(AD66)*'Assump - LNG'!$B$5</f>
        <v/>
      </c>
      <c r="F66" s="10" t="n">
        <v>0</v>
      </c>
      <c r="G66" s="10" t="n">
        <v>0</v>
      </c>
      <c r="H66" s="10" t="n">
        <v>0</v>
      </c>
      <c r="I66" s="10">
        <f>SUM(C66:H66)</f>
        <v/>
      </c>
      <c r="J66" s="10">
        <f>C66</f>
        <v/>
      </c>
      <c r="K66" s="10">
        <f>D66</f>
        <v/>
      </c>
      <c r="L66" s="10">
        <f>E66</f>
        <v/>
      </c>
      <c r="M66" s="10">
        <f>F66</f>
        <v/>
      </c>
      <c r="N66" s="10">
        <f>G66</f>
        <v/>
      </c>
      <c r="O66" s="10">
        <f>H66</f>
        <v/>
      </c>
      <c r="P66" s="10">
        <f>SUM(J66:O66)</f>
        <v/>
      </c>
      <c r="Q66" s="10">
        <f>I66/'Assump - LNG'!$B$5</f>
        <v/>
      </c>
      <c r="R66" s="10">
        <f>P66/'Assump - LNG'!$B$5</f>
        <v/>
      </c>
      <c r="S66" s="10" t="n">
        <v>5.437354838709677</v>
      </c>
      <c r="T66" s="10" t="n">
        <v>5.787548387096774</v>
      </c>
      <c r="U66" s="10" t="n">
        <v>1.498</v>
      </c>
      <c r="V66" s="10" t="n">
        <v>0.921258064516129</v>
      </c>
      <c r="W66" s="10" t="n">
        <v>0.006193548387096774</v>
      </c>
      <c r="X66" s="10">
        <f>SUM(S66:W66)</f>
        <v/>
      </c>
      <c r="Y66" s="10" t="n">
        <v>2.873354838709677</v>
      </c>
      <c r="Z66" s="10">
        <f>X66+I66</f>
        <v/>
      </c>
      <c r="AA66" s="10">
        <f>X66+P66</f>
        <v/>
      </c>
      <c r="AB66" s="10" t="n">
        <v>2.701935483870968</v>
      </c>
      <c r="AC66" s="10" t="n">
        <v>2.048064516129032</v>
      </c>
    </row>
    <row r="67">
      <c r="A67" s="12" t="n">
        <v>46054</v>
      </c>
      <c r="B67" t="inlineStr">
        <is>
          <t>Actual</t>
        </is>
      </c>
      <c r="C67" s="10">
        <f>N(AB67)*'Assump - LNG'!$B$5</f>
        <v/>
      </c>
      <c r="D67" s="10">
        <f>N(AC67)*'Assump - LNG'!$B$5</f>
        <v/>
      </c>
      <c r="E67" s="10">
        <f>N(AD67)*'Assump - LNG'!$B$5</f>
        <v/>
      </c>
      <c r="F67" s="10" t="n">
        <v>0</v>
      </c>
      <c r="G67" s="10" t="n">
        <v>0</v>
      </c>
      <c r="H67" s="10" t="n">
        <v>0</v>
      </c>
      <c r="I67" s="10">
        <f>SUM(C67:H67)</f>
        <v/>
      </c>
      <c r="J67" s="10">
        <f>C67</f>
        <v/>
      </c>
      <c r="K67" s="10">
        <f>D67</f>
        <v/>
      </c>
      <c r="L67" s="10">
        <f>E67</f>
        <v/>
      </c>
      <c r="M67" s="10">
        <f>F67</f>
        <v/>
      </c>
      <c r="N67" s="10">
        <f>G67</f>
        <v/>
      </c>
      <c r="O67" s="10">
        <f>H67</f>
        <v/>
      </c>
      <c r="P67" s="10">
        <f>SUM(J67:O67)</f>
        <v/>
      </c>
      <c r="Q67" s="10">
        <f>I67/'Assump - LNG'!$B$5</f>
        <v/>
      </c>
      <c r="R67" s="10">
        <f>P67/'Assump - LNG'!$B$5</f>
        <v/>
      </c>
      <c r="S67" s="10" t="n">
        <v>4.554392857142857</v>
      </c>
      <c r="T67" s="10" t="n">
        <v>5.705857142857143</v>
      </c>
      <c r="U67" s="10" t="n">
        <v>1.006357142857143</v>
      </c>
      <c r="V67" s="10" t="n">
        <v>0.6013214285714286</v>
      </c>
      <c r="W67" s="10" t="n">
        <v>0.006214285714285715</v>
      </c>
      <c r="X67" s="10">
        <f>SUM(S67:W67)</f>
        <v/>
      </c>
      <c r="Y67" s="10" t="n">
        <v>2.989107142857143</v>
      </c>
      <c r="Z67" s="10">
        <f>X67+I67</f>
        <v/>
      </c>
      <c r="AA67" s="10">
        <f>X67+P67</f>
        <v/>
      </c>
      <c r="AB67" s="10" t="n">
        <v>3.042928571428571</v>
      </c>
      <c r="AC67" s="10" t="n">
        <v>2.239464285714286</v>
      </c>
    </row>
    <row r="68">
      <c r="A68" s="12" t="n">
        <v>46082</v>
      </c>
      <c r="B68" t="inlineStr">
        <is>
          <t>Actual</t>
        </is>
      </c>
      <c r="C68" s="10">
        <f>N(AB68)*'Assump - LNG'!$B$5</f>
        <v/>
      </c>
      <c r="D68" s="10">
        <f>N(AC68)*'Assump - LNG'!$B$5</f>
        <v/>
      </c>
      <c r="E68" s="10">
        <f>N(AD68)*'Assump - LNG'!$B$5</f>
        <v/>
      </c>
      <c r="F68" s="10" t="n">
        <v>0</v>
      </c>
      <c r="G68" s="10" t="n">
        <v>0</v>
      </c>
      <c r="H68" s="10" t="n">
        <v>0</v>
      </c>
      <c r="I68" s="10">
        <f>SUM(C68:H68)</f>
        <v/>
      </c>
      <c r="J68" s="10">
        <f>C68</f>
        <v/>
      </c>
      <c r="K68" s="10">
        <f>D68</f>
        <v/>
      </c>
      <c r="L68" s="10">
        <f>E68</f>
        <v/>
      </c>
      <c r="M68" s="10">
        <f>F68</f>
        <v/>
      </c>
      <c r="N68" s="10">
        <f>G68</f>
        <v/>
      </c>
      <c r="O68" s="10">
        <f>H68</f>
        <v/>
      </c>
      <c r="P68" s="10">
        <f>SUM(J68:O68)</f>
        <v/>
      </c>
      <c r="Q68" s="10">
        <f>I68/'Assump - LNG'!$B$5</f>
        <v/>
      </c>
      <c r="R68" s="10">
        <f>P68/'Assump - LNG'!$B$5</f>
        <v/>
      </c>
      <c r="S68" s="10" t="n">
        <v>4.129</v>
      </c>
      <c r="T68" s="10" t="n">
        <v>5.653225806451613</v>
      </c>
      <c r="U68" s="10" t="n">
        <v>0.5390967741935484</v>
      </c>
      <c r="V68" s="10" t="n">
        <v>0.5518387096774194</v>
      </c>
      <c r="W68" s="10" t="n">
        <v>0.006193548387096774</v>
      </c>
      <c r="X68" s="10">
        <f>SUM(S68:W68)</f>
        <v/>
      </c>
      <c r="Y68" s="10" t="n">
        <v>2.768580645161291</v>
      </c>
      <c r="Z68" s="10">
        <f>X68+I68</f>
        <v/>
      </c>
      <c r="AA68" s="10">
        <f>X68+P68</f>
        <v/>
      </c>
      <c r="AB68" s="10" t="n">
        <v>3.083451612903226</v>
      </c>
      <c r="AC68" s="10" t="n">
        <v>2.252</v>
      </c>
    </row>
    <row r="69">
      <c r="A69" s="12" t="n">
        <v>46113</v>
      </c>
      <c r="B69" t="inlineStr">
        <is>
          <t>Actual</t>
        </is>
      </c>
      <c r="C69" s="10">
        <f>N(AB69)*'Assump - LNG'!$B$5</f>
        <v/>
      </c>
      <c r="D69" s="10">
        <f>N(AC69)*'Assump - LNG'!$B$5</f>
        <v/>
      </c>
      <c r="E69" s="10">
        <f>N(AD69)*'Assump - LNG'!$B$5</f>
        <v/>
      </c>
      <c r="F69" s="10" t="n">
        <v>0</v>
      </c>
      <c r="G69" s="10" t="n">
        <v>0</v>
      </c>
      <c r="H69" s="10" t="n">
        <v>0</v>
      </c>
      <c r="I69" s="10">
        <f>SUM(C69:H69)</f>
        <v/>
      </c>
      <c r="J69" s="10">
        <f>C69</f>
        <v/>
      </c>
      <c r="K69" s="10">
        <f>D69</f>
        <v/>
      </c>
      <c r="L69" s="10">
        <f>E69</f>
        <v/>
      </c>
      <c r="M69" s="10">
        <f>F69</f>
        <v/>
      </c>
      <c r="N69" s="10">
        <f>G69</f>
        <v/>
      </c>
      <c r="O69" s="10">
        <f>H69</f>
        <v/>
      </c>
      <c r="P69" s="10">
        <f>SUM(J69:O69)</f>
        <v/>
      </c>
      <c r="Q69" s="10">
        <f>I69/'Assump - LNG'!$B$5</f>
        <v/>
      </c>
      <c r="R69" s="10">
        <f>P69/'Assump - LNG'!$B$5</f>
        <v/>
      </c>
      <c r="S69" s="10" t="n">
        <v>4.808033333333333</v>
      </c>
      <c r="T69" s="10" t="n">
        <v>5.719533333333334</v>
      </c>
      <c r="U69" s="10" t="n">
        <v>0.3398</v>
      </c>
      <c r="V69" s="10" t="n">
        <v>0.4702333333333333</v>
      </c>
      <c r="W69" s="10" t="n">
        <v>0.0062</v>
      </c>
      <c r="X69" s="10">
        <f>SUM(S69:W69)</f>
        <v/>
      </c>
      <c r="Y69" s="10" t="n">
        <v>2.837666666666667</v>
      </c>
      <c r="Z69" s="10">
        <f>X69+I69</f>
        <v/>
      </c>
      <c r="AA69" s="10">
        <f>X69+P69</f>
        <v/>
      </c>
      <c r="AB69" s="10" t="n">
        <v>2.893366666666667</v>
      </c>
      <c r="AC69" s="10" t="n">
        <v>2.303466666666667</v>
      </c>
      <c r="AD69" s="10" t="n">
        <v>0.1206333333333333</v>
      </c>
    </row>
    <row r="70">
      <c r="A70" s="12" t="n">
        <v>46143</v>
      </c>
      <c r="B70" t="inlineStr">
        <is>
          <t>Actual</t>
        </is>
      </c>
      <c r="C70" s="10">
        <f>N(AB70)*'Assump - LNG'!$B$5</f>
        <v/>
      </c>
      <c r="D70" s="10">
        <f>N(AC70)*'Assump - LNG'!$B$5</f>
        <v/>
      </c>
      <c r="E70" s="10">
        <f>N(AD70)*'Assump - LNG'!$B$5</f>
        <v/>
      </c>
      <c r="F70" s="10" t="n">
        <v>0</v>
      </c>
      <c r="G70" s="10" t="n">
        <v>0</v>
      </c>
      <c r="H70" s="10" t="n">
        <v>0</v>
      </c>
      <c r="I70" s="10">
        <f>SUM(C70:H70)</f>
        <v/>
      </c>
      <c r="J70" s="10">
        <f>C70</f>
        <v/>
      </c>
      <c r="K70" s="10">
        <f>D70</f>
        <v/>
      </c>
      <c r="L70" s="10">
        <f>E70</f>
        <v/>
      </c>
      <c r="M70" s="10">
        <f>F70</f>
        <v/>
      </c>
      <c r="N70" s="10">
        <f>G70</f>
        <v/>
      </c>
      <c r="O70" s="10">
        <f>H70</f>
        <v/>
      </c>
      <c r="P70" s="10">
        <f>SUM(J70:O70)</f>
        <v/>
      </c>
      <c r="Q70" s="10">
        <f>I70/'Assump - LNG'!$B$5</f>
        <v/>
      </c>
      <c r="R70" s="10">
        <f>P70/'Assump - LNG'!$B$5</f>
        <v/>
      </c>
      <c r="S70" s="10" t="n">
        <v>5.746419354838709</v>
      </c>
      <c r="T70" s="10" t="n">
        <v>5.633806451612903</v>
      </c>
      <c r="U70" s="10" t="n">
        <v>0.2309032258064516</v>
      </c>
      <c r="V70" s="10" t="n">
        <v>0.3834838709677419</v>
      </c>
      <c r="W70" s="10" t="n">
        <v>0.006193548387096774</v>
      </c>
      <c r="X70" s="10">
        <f>SUM(S70:W70)</f>
        <v/>
      </c>
      <c r="Y70" s="10" t="n">
        <v>3.316451612903226</v>
      </c>
      <c r="Z70" s="10">
        <f>X70+I70</f>
        <v/>
      </c>
      <c r="AA70" s="10">
        <f>X70+P70</f>
        <v/>
      </c>
      <c r="AB70" s="10" t="n">
        <v>2.864483870967742</v>
      </c>
      <c r="AC70" s="10" t="n">
        <v>1.828322580645161</v>
      </c>
      <c r="AD70" s="10" t="n">
        <v>0.111741935483871</v>
      </c>
    </row>
    <row r="71">
      <c r="A71" s="12" t="n">
        <v>46174</v>
      </c>
      <c r="B71" t="inlineStr">
        <is>
          <t>Actual</t>
        </is>
      </c>
      <c r="C71" s="10">
        <f>N(AB71)*'Assump - LNG'!$B$5</f>
        <v/>
      </c>
      <c r="D71" s="10">
        <f>N(AC71)*'Assump - LNG'!$B$5</f>
        <v/>
      </c>
      <c r="E71" s="10">
        <f>N(AD71)*'Assump - LNG'!$B$5</f>
        <v/>
      </c>
      <c r="F71" s="10" t="n">
        <v>0</v>
      </c>
      <c r="G71" s="10" t="n">
        <v>0</v>
      </c>
      <c r="H71" s="10" t="n">
        <v>0</v>
      </c>
      <c r="I71" s="10">
        <f>SUM(C71:H71)</f>
        <v/>
      </c>
      <c r="J71" s="10">
        <f>C71</f>
        <v/>
      </c>
      <c r="K71" s="10">
        <f>D71</f>
        <v/>
      </c>
      <c r="L71" s="10">
        <f>E71</f>
        <v/>
      </c>
      <c r="M71" s="10">
        <f>F71</f>
        <v/>
      </c>
      <c r="N71" s="10">
        <f>G71</f>
        <v/>
      </c>
      <c r="O71" s="10">
        <f>H71</f>
        <v/>
      </c>
      <c r="P71" s="10">
        <f>SUM(J71:O71)</f>
        <v/>
      </c>
      <c r="Q71" s="10">
        <f>I71/'Assump - LNG'!$B$5</f>
        <v/>
      </c>
      <c r="R71" s="10">
        <f>P71/'Assump - LNG'!$B$5</f>
        <v/>
      </c>
      <c r="S71" s="10" t="n">
        <v>6.806066666666666</v>
      </c>
      <c r="T71" s="10" t="n">
        <v>5.6723</v>
      </c>
      <c r="U71" s="10" t="n">
        <v>0.2417</v>
      </c>
      <c r="V71" s="10" t="n">
        <v>0.4054</v>
      </c>
      <c r="W71" s="10" t="n">
        <v>0.0062</v>
      </c>
      <c r="X71" s="10">
        <f>SUM(S71:W71)</f>
        <v/>
      </c>
      <c r="Y71" s="10" t="n">
        <v>3.3545</v>
      </c>
      <c r="Z71" s="10">
        <f>X71+I71</f>
        <v/>
      </c>
      <c r="AA71" s="10">
        <f>X71+P71</f>
        <v/>
      </c>
      <c r="AB71" s="10" t="n">
        <v>3.0009</v>
      </c>
      <c r="AC71" s="10" t="n">
        <v>1.981266666666667</v>
      </c>
      <c r="AD71" s="10" t="n">
        <v>0.1149666666666667</v>
      </c>
    </row>
    <row r="72">
      <c r="A72" s="12" t="n">
        <v>46204</v>
      </c>
      <c r="B72" t="inlineStr">
        <is>
          <t>Actual</t>
        </is>
      </c>
      <c r="C72" s="10">
        <f>N(AB72)*'Assump - LNG'!$B$5</f>
        <v/>
      </c>
      <c r="D72" s="10">
        <f>N(AC72)*'Assump - LNG'!$B$5</f>
        <v/>
      </c>
      <c r="E72" s="10">
        <f>N(AD72)*'Assump - LNG'!$B$5</f>
        <v/>
      </c>
      <c r="F72" s="10" t="n">
        <v>0</v>
      </c>
      <c r="G72" s="10" t="n">
        <v>0</v>
      </c>
      <c r="H72" s="10" t="n">
        <v>0</v>
      </c>
      <c r="I72" s="10">
        <f>SUM(C72:H72)</f>
        <v/>
      </c>
      <c r="J72" s="10">
        <f>C72</f>
        <v/>
      </c>
      <c r="K72" s="10">
        <f>D72</f>
        <v/>
      </c>
      <c r="L72" s="10">
        <f>E72</f>
        <v/>
      </c>
      <c r="M72" s="10">
        <f>F72</f>
        <v/>
      </c>
      <c r="N72" s="10">
        <f>G72</f>
        <v/>
      </c>
      <c r="O72" s="10">
        <f>H72</f>
        <v/>
      </c>
      <c r="P72" s="10">
        <f>SUM(J72:O72)</f>
        <v/>
      </c>
      <c r="Q72" s="10">
        <f>I72/'Assump - LNG'!$B$5</f>
        <v/>
      </c>
      <c r="R72" s="10">
        <f>P72/'Assump - LNG'!$B$5</f>
        <v/>
      </c>
      <c r="S72" s="10" t="n">
        <v>7.621806451612904</v>
      </c>
      <c r="T72" s="10" t="n">
        <v>5.519354838709677</v>
      </c>
      <c r="U72" s="10" t="n">
        <v>0.2176451612903226</v>
      </c>
      <c r="V72" s="10" t="n">
        <v>0.3741290322580645</v>
      </c>
      <c r="W72" s="10" t="n">
        <v>0.006193548387096774</v>
      </c>
      <c r="X72" s="10">
        <f>SUM(S72:W72)</f>
        <v/>
      </c>
      <c r="Y72" s="10" t="n">
        <v>3.236774193548387</v>
      </c>
      <c r="Z72" s="10">
        <f>X72+I72</f>
        <v/>
      </c>
      <c r="AA72" s="10">
        <f>X72+P72</f>
        <v/>
      </c>
      <c r="AB72" s="10" t="n">
        <v>3.133193548387097</v>
      </c>
      <c r="AC72" s="10" t="n">
        <v>1.678161290322581</v>
      </c>
      <c r="AD72" s="10" t="n">
        <v>0.2184516129032258</v>
      </c>
    </row>
    <row r="73">
      <c r="A73" s="12" t="n">
        <v>46235</v>
      </c>
      <c r="B73" t="inlineStr">
        <is>
          <t>Forecast</t>
        </is>
      </c>
      <c r="C73" s="10">
        <f>'Assump - LNG'!$B$35*INDEX('Assump - LNG'!$D$38:$D$49,MONTH($A73))+SUMIF('LNG trains calc'!$B$3:$U$3,"Corpus Christi",'LNG trains calc'!$B73:$U73)</f>
        <v/>
      </c>
      <c r="D73" s="10">
        <f>'Assump - LNG'!$C$35*INDEX('Assump - LNG'!$G$38:$G$49,MONTH($A73))+SUMIF('LNG trains calc'!$B$3:$U$3,"Freeport",'LNG trains calc'!$B73:$U73)</f>
        <v/>
      </c>
      <c r="E73" s="10">
        <f>SUMIF('LNG trains calc'!$B$3:$U$3,"Golden Pass",'LNG trains calc'!$B73:$U73)</f>
        <v/>
      </c>
      <c r="F73" s="10">
        <f>SUMIF('LNG trains calc'!$B$3:$U$3,"Rio Grande",'LNG trains calc'!$B73:$U73)</f>
        <v/>
      </c>
      <c r="G73" s="10">
        <f>SUMIF('LNG trains calc'!$B$3:$U$3,"Port Arthur",'LNG trains calc'!$B73:$U73)</f>
        <v/>
      </c>
      <c r="H73" s="10">
        <f>SUM('LNG trains calc'!$B73:$U73)-SUMIF('LNG trains calc'!$B$3:$U$3,"Corpus Christi",'LNG trains calc'!$B73:$U73)-SUMIF('LNG trains calc'!$B$3:$U$3,"Freeport",'LNG trains calc'!$B73:$U73)-E73-F73-G73</f>
        <v/>
      </c>
      <c r="I73" s="10">
        <f>SUM(C73:H73)</f>
        <v/>
      </c>
      <c r="J73" s="10">
        <f>'Assump - LNG'!$B$35*INDEX('Assump - LNG'!$D$38:$D$49,MONTH($A73))+SUMIF('LNG trains calc'!$V$3:$AO$3,"Corpus Christi",'LNG trains calc'!$V73:$AO73)</f>
        <v/>
      </c>
      <c r="K73" s="10">
        <f>'Assump - LNG'!$C$35*INDEX('Assump - LNG'!$G$38:$G$49,MONTH($A73))+SUMIF('LNG trains calc'!$V$3:$AO$3,"Freeport",'LNG trains calc'!$V73:$AO73)</f>
        <v/>
      </c>
      <c r="L73" s="10">
        <f>SUMIF('LNG trains calc'!$V$3:$AO$3,"Golden Pass",'LNG trains calc'!$V73:$AO73)</f>
        <v/>
      </c>
      <c r="M73" s="10">
        <f>SUMIF('LNG trains calc'!$V$3:$AO$3,"Rio Grande",'LNG trains calc'!$V73:$AO73)</f>
        <v/>
      </c>
      <c r="N73" s="10">
        <f>SUMIF('LNG trains calc'!$V$3:$AO$3,"Port Arthur",'LNG trains calc'!$V73:$AO73)</f>
        <v/>
      </c>
      <c r="O73" s="10">
        <f>SUM('LNG trains calc'!$V73:$AO73)-SUMIF('LNG trains calc'!$V$3:$AO$3,"Corpus Christi",'LNG trains calc'!$V73:$AO73)-SUMIF('LNG trains calc'!$V$3:$AO$3,"Freeport",'LNG trains calc'!$V73:$AO73)-L73-M73-N73</f>
        <v/>
      </c>
      <c r="P73" s="10">
        <f>SUM(J73:O73)</f>
        <v/>
      </c>
      <c r="Q73" s="10">
        <f>I73/'Assump - LNG'!$B$5</f>
        <v/>
      </c>
      <c r="R73" s="10">
        <f>P73/'Assump - LNG'!$B$5</f>
        <v/>
      </c>
      <c r="S73" s="10" t="n">
        <v>8.226357563120109</v>
      </c>
      <c r="T73" s="10" t="n">
        <v>5.621485403354847</v>
      </c>
      <c r="U73" s="10" t="n">
        <v>0.1779486860462226</v>
      </c>
      <c r="V73" s="10" t="n">
        <v>0.3609947179446857</v>
      </c>
      <c r="W73" s="10" t="n">
        <v>0.005248137433832125</v>
      </c>
      <c r="X73" s="10">
        <f>SUM(S73:W73)</f>
        <v/>
      </c>
      <c r="Y73" s="10" t="n">
        <v>3.173172980830325</v>
      </c>
      <c r="Z73" s="10">
        <f>X73+I73</f>
        <v/>
      </c>
      <c r="AA73" s="10">
        <f>X73+P73</f>
        <v/>
      </c>
    </row>
    <row r="74">
      <c r="A74" s="12" t="n">
        <v>46266</v>
      </c>
      <c r="B74" t="inlineStr">
        <is>
          <t>Forecast</t>
        </is>
      </c>
      <c r="C74" s="10">
        <f>'Assump - LNG'!$B$35*INDEX('Assump - LNG'!$D$38:$D$49,MONTH($A74))+SUMIF('LNG trains calc'!$B$3:$U$3,"Corpus Christi",'LNG trains calc'!$B74:$U74)</f>
        <v/>
      </c>
      <c r="D74" s="10">
        <f>'Assump - LNG'!$C$35*INDEX('Assump - LNG'!$G$38:$G$49,MONTH($A74))+SUMIF('LNG trains calc'!$B$3:$U$3,"Freeport",'LNG trains calc'!$B74:$U74)</f>
        <v/>
      </c>
      <c r="E74" s="10">
        <f>SUMIF('LNG trains calc'!$B$3:$U$3,"Golden Pass",'LNG trains calc'!$B74:$U74)</f>
        <v/>
      </c>
      <c r="F74" s="10">
        <f>SUMIF('LNG trains calc'!$B$3:$U$3,"Rio Grande",'LNG trains calc'!$B74:$U74)</f>
        <v/>
      </c>
      <c r="G74" s="10">
        <f>SUMIF('LNG trains calc'!$B$3:$U$3,"Port Arthur",'LNG trains calc'!$B74:$U74)</f>
        <v/>
      </c>
      <c r="H74" s="10">
        <f>SUM('LNG trains calc'!$B74:$U74)-SUMIF('LNG trains calc'!$B$3:$U$3,"Corpus Christi",'LNG trains calc'!$B74:$U74)-SUMIF('LNG trains calc'!$B$3:$U$3,"Freeport",'LNG trains calc'!$B74:$U74)-E74-F74-G74</f>
        <v/>
      </c>
      <c r="I74" s="10">
        <f>SUM(C74:H74)</f>
        <v/>
      </c>
      <c r="J74" s="10">
        <f>'Assump - LNG'!$B$35*INDEX('Assump - LNG'!$D$38:$D$49,MONTH($A74))+SUMIF('LNG trains calc'!$V$3:$AO$3,"Corpus Christi",'LNG trains calc'!$V74:$AO74)</f>
        <v/>
      </c>
      <c r="K74" s="10">
        <f>'Assump - LNG'!$C$35*INDEX('Assump - LNG'!$G$38:$G$49,MONTH($A74))+SUMIF('LNG trains calc'!$V$3:$AO$3,"Freeport",'LNG trains calc'!$V74:$AO74)</f>
        <v/>
      </c>
      <c r="L74" s="10">
        <f>SUMIF('LNG trains calc'!$V$3:$AO$3,"Golden Pass",'LNG trains calc'!$V74:$AO74)</f>
        <v/>
      </c>
      <c r="M74" s="10">
        <f>SUMIF('LNG trains calc'!$V$3:$AO$3,"Rio Grande",'LNG trains calc'!$V74:$AO74)</f>
        <v/>
      </c>
      <c r="N74" s="10">
        <f>SUMIF('LNG trains calc'!$V$3:$AO$3,"Port Arthur",'LNG trains calc'!$V74:$AO74)</f>
        <v/>
      </c>
      <c r="O74" s="10">
        <f>SUM('LNG trains calc'!$V74:$AO74)-SUMIF('LNG trains calc'!$V$3:$AO$3,"Corpus Christi",'LNG trains calc'!$V74:$AO74)-SUMIF('LNG trains calc'!$V$3:$AO$3,"Freeport",'LNG trains calc'!$V74:$AO74)-L74-M74-N74</f>
        <v/>
      </c>
      <c r="P74" s="10">
        <f>SUM(J74:O74)</f>
        <v/>
      </c>
      <c r="Q74" s="10">
        <f>I74/'Assump - LNG'!$B$5</f>
        <v/>
      </c>
      <c r="R74" s="10">
        <f>P74/'Assump - LNG'!$B$5</f>
        <v/>
      </c>
      <c r="S74" s="10" t="n">
        <v>6.972881215060556</v>
      </c>
      <c r="T74" s="10" t="n">
        <v>5.596456138285548</v>
      </c>
      <c r="U74" s="10" t="n">
        <v>0.175046874031219</v>
      </c>
      <c r="V74" s="10" t="n">
        <v>0.3698039882017338</v>
      </c>
      <c r="W74" s="10" t="n">
        <v>0.005225411877332316</v>
      </c>
      <c r="X74" s="10">
        <f>SUM(S74:W74)</f>
        <v/>
      </c>
      <c r="Y74" s="10" t="n">
        <v>2.987072935842459</v>
      </c>
      <c r="Z74" s="10">
        <f>X74+I74</f>
        <v/>
      </c>
      <c r="AA74" s="10">
        <f>X74+P74</f>
        <v/>
      </c>
    </row>
    <row r="75">
      <c r="A75" s="12" t="n">
        <v>46296</v>
      </c>
      <c r="B75" t="inlineStr">
        <is>
          <t>Forecast</t>
        </is>
      </c>
      <c r="C75" s="10">
        <f>'Assump - LNG'!$B$35*INDEX('Assump - LNG'!$D$38:$D$49,MONTH($A75))+SUMIF('LNG trains calc'!$B$3:$U$3,"Corpus Christi",'LNG trains calc'!$B75:$U75)</f>
        <v/>
      </c>
      <c r="D75" s="10">
        <f>'Assump - LNG'!$C$35*INDEX('Assump - LNG'!$G$38:$G$49,MONTH($A75))+SUMIF('LNG trains calc'!$B$3:$U$3,"Freeport",'LNG trains calc'!$B75:$U75)</f>
        <v/>
      </c>
      <c r="E75" s="10">
        <f>SUMIF('LNG trains calc'!$B$3:$U$3,"Golden Pass",'LNG trains calc'!$B75:$U75)</f>
        <v/>
      </c>
      <c r="F75" s="10">
        <f>SUMIF('LNG trains calc'!$B$3:$U$3,"Rio Grande",'LNG trains calc'!$B75:$U75)</f>
        <v/>
      </c>
      <c r="G75" s="10">
        <f>SUMIF('LNG trains calc'!$B$3:$U$3,"Port Arthur",'LNG trains calc'!$B75:$U75)</f>
        <v/>
      </c>
      <c r="H75" s="10">
        <f>SUM('LNG trains calc'!$B75:$U75)-SUMIF('LNG trains calc'!$B$3:$U$3,"Corpus Christi",'LNG trains calc'!$B75:$U75)-SUMIF('LNG trains calc'!$B$3:$U$3,"Freeport",'LNG trains calc'!$B75:$U75)-E75-F75-G75</f>
        <v/>
      </c>
      <c r="I75" s="10">
        <f>SUM(C75:H75)</f>
        <v/>
      </c>
      <c r="J75" s="10">
        <f>'Assump - LNG'!$B$35*INDEX('Assump - LNG'!$D$38:$D$49,MONTH($A75))+SUMIF('LNG trains calc'!$V$3:$AO$3,"Corpus Christi",'LNG trains calc'!$V75:$AO75)</f>
        <v/>
      </c>
      <c r="K75" s="10">
        <f>'Assump - LNG'!$C$35*INDEX('Assump - LNG'!$G$38:$G$49,MONTH($A75))+SUMIF('LNG trains calc'!$V$3:$AO$3,"Freeport",'LNG trains calc'!$V75:$AO75)</f>
        <v/>
      </c>
      <c r="L75" s="10">
        <f>SUMIF('LNG trains calc'!$V$3:$AO$3,"Golden Pass",'LNG trains calc'!$V75:$AO75)</f>
        <v/>
      </c>
      <c r="M75" s="10">
        <f>SUMIF('LNG trains calc'!$V$3:$AO$3,"Rio Grande",'LNG trains calc'!$V75:$AO75)</f>
        <v/>
      </c>
      <c r="N75" s="10">
        <f>SUMIF('LNG trains calc'!$V$3:$AO$3,"Port Arthur",'LNG trains calc'!$V75:$AO75)</f>
        <v/>
      </c>
      <c r="O75" s="10">
        <f>SUM('LNG trains calc'!$V75:$AO75)-SUMIF('LNG trains calc'!$V$3:$AO$3,"Corpus Christi",'LNG trains calc'!$V75:$AO75)-SUMIF('LNG trains calc'!$V$3:$AO$3,"Freeport",'LNG trains calc'!$V75:$AO75)-L75-M75-N75</f>
        <v/>
      </c>
      <c r="P75" s="10">
        <f>SUM(J75:O75)</f>
        <v/>
      </c>
      <c r="Q75" s="10">
        <f>I75/'Assump - LNG'!$B$5</f>
        <v/>
      </c>
      <c r="R75" s="10">
        <f>P75/'Assump - LNG'!$B$5</f>
        <v/>
      </c>
      <c r="S75" s="10" t="n">
        <v>5.479411440179787</v>
      </c>
      <c r="T75" s="10" t="n">
        <v>5.449022447701622</v>
      </c>
      <c r="U75" s="10" t="n">
        <v>0.2429498514645628</v>
      </c>
      <c r="V75" s="10" t="n">
        <v>0.4048979509691186</v>
      </c>
      <c r="W75" s="10" t="n">
        <v>0.005221562593783915</v>
      </c>
      <c r="X75" s="10">
        <f>SUM(S75:W75)</f>
        <v/>
      </c>
      <c r="Y75" s="10" t="n">
        <v>2.849358403364498</v>
      </c>
      <c r="Z75" s="10">
        <f>X75+I75</f>
        <v/>
      </c>
      <c r="AA75" s="10">
        <f>X75+P75</f>
        <v/>
      </c>
    </row>
    <row r="76">
      <c r="A76" s="12" t="n">
        <v>46327</v>
      </c>
      <c r="B76" t="inlineStr">
        <is>
          <t>Forecast</t>
        </is>
      </c>
      <c r="C76" s="10">
        <f>'Assump - LNG'!$B$35*INDEX('Assump - LNG'!$D$38:$D$49,MONTH($A76))+SUMIF('LNG trains calc'!$B$3:$U$3,"Corpus Christi",'LNG trains calc'!$B76:$U76)</f>
        <v/>
      </c>
      <c r="D76" s="10">
        <f>'Assump - LNG'!$C$35*INDEX('Assump - LNG'!$G$38:$G$49,MONTH($A76))+SUMIF('LNG trains calc'!$B$3:$U$3,"Freeport",'LNG trains calc'!$B76:$U76)</f>
        <v/>
      </c>
      <c r="E76" s="10">
        <f>SUMIF('LNG trains calc'!$B$3:$U$3,"Golden Pass",'LNG trains calc'!$B76:$U76)</f>
        <v/>
      </c>
      <c r="F76" s="10">
        <f>SUMIF('LNG trains calc'!$B$3:$U$3,"Rio Grande",'LNG trains calc'!$B76:$U76)</f>
        <v/>
      </c>
      <c r="G76" s="10">
        <f>SUMIF('LNG trains calc'!$B$3:$U$3,"Port Arthur",'LNG trains calc'!$B76:$U76)</f>
        <v/>
      </c>
      <c r="H76" s="10">
        <f>SUM('LNG trains calc'!$B76:$U76)-SUMIF('LNG trains calc'!$B$3:$U$3,"Corpus Christi",'LNG trains calc'!$B76:$U76)-SUMIF('LNG trains calc'!$B$3:$U$3,"Freeport",'LNG trains calc'!$B76:$U76)-E76-F76-G76</f>
        <v/>
      </c>
      <c r="I76" s="10">
        <f>SUM(C76:H76)</f>
        <v/>
      </c>
      <c r="J76" s="10">
        <f>'Assump - LNG'!$B$35*INDEX('Assump - LNG'!$D$38:$D$49,MONTH($A76))+SUMIF('LNG trains calc'!$V$3:$AO$3,"Corpus Christi",'LNG trains calc'!$V76:$AO76)</f>
        <v/>
      </c>
      <c r="K76" s="10">
        <f>'Assump - LNG'!$C$35*INDEX('Assump - LNG'!$G$38:$G$49,MONTH($A76))+SUMIF('LNG trains calc'!$V$3:$AO$3,"Freeport",'LNG trains calc'!$V76:$AO76)</f>
        <v/>
      </c>
      <c r="L76" s="10">
        <f>SUMIF('LNG trains calc'!$V$3:$AO$3,"Golden Pass",'LNG trains calc'!$V76:$AO76)</f>
        <v/>
      </c>
      <c r="M76" s="10">
        <f>SUMIF('LNG trains calc'!$V$3:$AO$3,"Rio Grande",'LNG trains calc'!$V76:$AO76)</f>
        <v/>
      </c>
      <c r="N76" s="10">
        <f>SUMIF('LNG trains calc'!$V$3:$AO$3,"Port Arthur",'LNG trains calc'!$V76:$AO76)</f>
        <v/>
      </c>
      <c r="O76" s="10">
        <f>SUM('LNG trains calc'!$V76:$AO76)-SUMIF('LNG trains calc'!$V$3:$AO$3,"Corpus Christi",'LNG trains calc'!$V76:$AO76)-SUMIF('LNG trains calc'!$V$3:$AO$3,"Freeport",'LNG trains calc'!$V76:$AO76)-L76-M76-N76</f>
        <v/>
      </c>
      <c r="P76" s="10">
        <f>SUM(J76:O76)</f>
        <v/>
      </c>
      <c r="Q76" s="10">
        <f>I76/'Assump - LNG'!$B$5</f>
        <v/>
      </c>
      <c r="R76" s="10">
        <f>P76/'Assump - LNG'!$B$5</f>
        <v/>
      </c>
      <c r="S76" s="10" t="n">
        <v>4.681836989623317</v>
      </c>
      <c r="T76" s="10" t="n">
        <v>5.833597724237229</v>
      </c>
      <c r="U76" s="10" t="n">
        <v>0.4673572310198874</v>
      </c>
      <c r="V76" s="10" t="n">
        <v>0.5073680038436067</v>
      </c>
      <c r="W76" s="10" t="n">
        <v>0.005198952112019974</v>
      </c>
      <c r="X76" s="10">
        <f>SUM(S76:W76)</f>
        <v/>
      </c>
      <c r="Y76" s="10" t="n">
        <v>2.784950506332339</v>
      </c>
      <c r="Z76" s="10">
        <f>X76+I76</f>
        <v/>
      </c>
      <c r="AA76" s="10">
        <f>X76+P76</f>
        <v/>
      </c>
    </row>
    <row r="77">
      <c r="A77" s="12" t="n">
        <v>46357</v>
      </c>
      <c r="B77" t="inlineStr">
        <is>
          <t>Forecast</t>
        </is>
      </c>
      <c r="C77" s="10">
        <f>'Assump - LNG'!$B$35*INDEX('Assump - LNG'!$D$38:$D$49,MONTH($A77))+SUMIF('LNG trains calc'!$B$3:$U$3,"Corpus Christi",'LNG trains calc'!$B77:$U77)</f>
        <v/>
      </c>
      <c r="D77" s="10">
        <f>'Assump - LNG'!$C$35*INDEX('Assump - LNG'!$G$38:$G$49,MONTH($A77))+SUMIF('LNG trains calc'!$B$3:$U$3,"Freeport",'LNG trains calc'!$B77:$U77)</f>
        <v/>
      </c>
      <c r="E77" s="10">
        <f>SUMIF('LNG trains calc'!$B$3:$U$3,"Golden Pass",'LNG trains calc'!$B77:$U77)</f>
        <v/>
      </c>
      <c r="F77" s="10">
        <f>SUMIF('LNG trains calc'!$B$3:$U$3,"Rio Grande",'LNG trains calc'!$B77:$U77)</f>
        <v/>
      </c>
      <c r="G77" s="10">
        <f>SUMIF('LNG trains calc'!$B$3:$U$3,"Port Arthur",'LNG trains calc'!$B77:$U77)</f>
        <v/>
      </c>
      <c r="H77" s="10">
        <f>SUM('LNG trains calc'!$B77:$U77)-SUMIF('LNG trains calc'!$B$3:$U$3,"Corpus Christi",'LNG trains calc'!$B77:$U77)-SUMIF('LNG trains calc'!$B$3:$U$3,"Freeport",'LNG trains calc'!$B77:$U77)-E77-F77-G77</f>
        <v/>
      </c>
      <c r="I77" s="10">
        <f>SUM(C77:H77)</f>
        <v/>
      </c>
      <c r="J77" s="10">
        <f>'Assump - LNG'!$B$35*INDEX('Assump - LNG'!$D$38:$D$49,MONTH($A77))+SUMIF('LNG trains calc'!$V$3:$AO$3,"Corpus Christi",'LNG trains calc'!$V77:$AO77)</f>
        <v/>
      </c>
      <c r="K77" s="10">
        <f>'Assump - LNG'!$C$35*INDEX('Assump - LNG'!$G$38:$G$49,MONTH($A77))+SUMIF('LNG trains calc'!$V$3:$AO$3,"Freeport",'LNG trains calc'!$V77:$AO77)</f>
        <v/>
      </c>
      <c r="L77" s="10">
        <f>SUMIF('LNG trains calc'!$V$3:$AO$3,"Golden Pass",'LNG trains calc'!$V77:$AO77)</f>
        <v/>
      </c>
      <c r="M77" s="10">
        <f>SUMIF('LNG trains calc'!$V$3:$AO$3,"Rio Grande",'LNG trains calc'!$V77:$AO77)</f>
        <v/>
      </c>
      <c r="N77" s="10">
        <f>SUMIF('LNG trains calc'!$V$3:$AO$3,"Port Arthur",'LNG trains calc'!$V77:$AO77)</f>
        <v/>
      </c>
      <c r="O77" s="10">
        <f>SUM('LNG trains calc'!$V77:$AO77)-SUMIF('LNG trains calc'!$V$3:$AO$3,"Corpus Christi",'LNG trains calc'!$V77:$AO77)-SUMIF('LNG trains calc'!$V$3:$AO$3,"Freeport",'LNG trains calc'!$V77:$AO77)-L77-M77-N77</f>
        <v/>
      </c>
      <c r="P77" s="10">
        <f>SUM(J77:O77)</f>
        <v/>
      </c>
      <c r="Q77" s="10">
        <f>I77/'Assump - LNG'!$B$5</f>
        <v/>
      </c>
      <c r="R77" s="10">
        <f>P77/'Assump - LNG'!$B$5</f>
        <v/>
      </c>
      <c r="S77" s="10" t="n">
        <v>4.625126022211296</v>
      </c>
      <c r="T77" s="10" t="n">
        <v>6.031840489538337</v>
      </c>
      <c r="U77" s="10" t="n">
        <v>0.8618928708285389</v>
      </c>
      <c r="V77" s="10" t="n">
        <v>0.6467795879765276</v>
      </c>
      <c r="W77" s="10" t="n">
        <v>0.00519512231997611</v>
      </c>
      <c r="X77" s="10">
        <f>SUM(S77:W77)</f>
        <v/>
      </c>
      <c r="Y77" s="10" t="n">
        <v>2.658115350636673</v>
      </c>
      <c r="Z77" s="10">
        <f>X77+I77</f>
        <v/>
      </c>
      <c r="AA77" s="10">
        <f>X77+P77</f>
        <v/>
      </c>
    </row>
    <row r="78">
      <c r="A78" s="12" t="n">
        <v>46388</v>
      </c>
      <c r="B78" t="inlineStr">
        <is>
          <t>Forecast</t>
        </is>
      </c>
      <c r="C78" s="10">
        <f>'Assump - LNG'!$B$35*INDEX('Assump - LNG'!$D$38:$D$49,MONTH($A78))+SUMIF('LNG trains calc'!$B$3:$U$3,"Corpus Christi",'LNG trains calc'!$B78:$U78)</f>
        <v/>
      </c>
      <c r="D78" s="10">
        <f>'Assump - LNG'!$C$35*INDEX('Assump - LNG'!$G$38:$G$49,MONTH($A78))+SUMIF('LNG trains calc'!$B$3:$U$3,"Freeport",'LNG trains calc'!$B78:$U78)</f>
        <v/>
      </c>
      <c r="E78" s="10">
        <f>SUMIF('LNG trains calc'!$B$3:$U$3,"Golden Pass",'LNG trains calc'!$B78:$U78)</f>
        <v/>
      </c>
      <c r="F78" s="10">
        <f>SUMIF('LNG trains calc'!$B$3:$U$3,"Rio Grande",'LNG trains calc'!$B78:$U78)</f>
        <v/>
      </c>
      <c r="G78" s="10">
        <f>SUMIF('LNG trains calc'!$B$3:$U$3,"Port Arthur",'LNG trains calc'!$B78:$U78)</f>
        <v/>
      </c>
      <c r="H78" s="10">
        <f>SUM('LNG trains calc'!$B78:$U78)-SUMIF('LNG trains calc'!$B$3:$U$3,"Corpus Christi",'LNG trains calc'!$B78:$U78)-SUMIF('LNG trains calc'!$B$3:$U$3,"Freeport",'LNG trains calc'!$B78:$U78)-E78-F78-G78</f>
        <v/>
      </c>
      <c r="I78" s="10">
        <f>SUM(C78:H78)</f>
        <v/>
      </c>
      <c r="J78" s="10">
        <f>'Assump - LNG'!$B$35*INDEX('Assump - LNG'!$D$38:$D$49,MONTH($A78))+SUMIF('LNG trains calc'!$V$3:$AO$3,"Corpus Christi",'LNG trains calc'!$V78:$AO78)</f>
        <v/>
      </c>
      <c r="K78" s="10">
        <f>'Assump - LNG'!$C$35*INDEX('Assump - LNG'!$G$38:$G$49,MONTH($A78))+SUMIF('LNG trains calc'!$V$3:$AO$3,"Freeport",'LNG trains calc'!$V78:$AO78)</f>
        <v/>
      </c>
      <c r="L78" s="10">
        <f>SUMIF('LNG trains calc'!$V$3:$AO$3,"Golden Pass",'LNG trains calc'!$V78:$AO78)</f>
        <v/>
      </c>
      <c r="M78" s="10">
        <f>SUMIF('LNG trains calc'!$V$3:$AO$3,"Rio Grande",'LNG trains calc'!$V78:$AO78)</f>
        <v/>
      </c>
      <c r="N78" s="10">
        <f>SUMIF('LNG trains calc'!$V$3:$AO$3,"Port Arthur",'LNG trains calc'!$V78:$AO78)</f>
        <v/>
      </c>
      <c r="O78" s="10">
        <f>SUM('LNG trains calc'!$V78:$AO78)-SUMIF('LNG trains calc'!$V$3:$AO$3,"Corpus Christi",'LNG trains calc'!$V78:$AO78)-SUMIF('LNG trains calc'!$V$3:$AO$3,"Freeport",'LNG trains calc'!$V78:$AO78)-L78-M78-N78</f>
        <v/>
      </c>
      <c r="P78" s="10">
        <f>SUM(J78:O78)</f>
        <v/>
      </c>
      <c r="Q78" s="10">
        <f>I78/'Assump - LNG'!$B$5</f>
        <v/>
      </c>
      <c r="R78" s="10">
        <f>P78/'Assump - LNG'!$B$5</f>
        <v/>
      </c>
      <c r="S78" s="10" t="n">
        <v>5.60152132066198</v>
      </c>
      <c r="T78" s="10" t="n">
        <v>5.893686262858893</v>
      </c>
      <c r="U78" s="10" t="n">
        <v>1.534636697680467</v>
      </c>
      <c r="V78" s="10" t="n">
        <v>0.9017584031775656</v>
      </c>
      <c r="W78" s="10" t="n">
        <v>0.006632259070454595</v>
      </c>
      <c r="X78" s="10">
        <f>SUM(S78:W78)</f>
        <v/>
      </c>
      <c r="Y78" s="10" t="n">
        <v>2.928315042689603</v>
      </c>
      <c r="Z78" s="10">
        <f>X78+I78</f>
        <v/>
      </c>
      <c r="AA78" s="10">
        <f>X78+P78</f>
        <v/>
      </c>
    </row>
    <row r="79">
      <c r="A79" s="12" t="n">
        <v>46419</v>
      </c>
      <c r="B79" t="inlineStr">
        <is>
          <t>Forecast</t>
        </is>
      </c>
      <c r="C79" s="10">
        <f>'Assump - LNG'!$B$35*INDEX('Assump - LNG'!$D$38:$D$49,MONTH($A79))+SUMIF('LNG trains calc'!$B$3:$U$3,"Corpus Christi",'LNG trains calc'!$B79:$U79)</f>
        <v/>
      </c>
      <c r="D79" s="10">
        <f>'Assump - LNG'!$C$35*INDEX('Assump - LNG'!$G$38:$G$49,MONTH($A79))+SUMIF('LNG trains calc'!$B$3:$U$3,"Freeport",'LNG trains calc'!$B79:$U79)</f>
        <v/>
      </c>
      <c r="E79" s="10">
        <f>SUMIF('LNG trains calc'!$B$3:$U$3,"Golden Pass",'LNG trains calc'!$B79:$U79)</f>
        <v/>
      </c>
      <c r="F79" s="10">
        <f>SUMIF('LNG trains calc'!$B$3:$U$3,"Rio Grande",'LNG trains calc'!$B79:$U79)</f>
        <v/>
      </c>
      <c r="G79" s="10">
        <f>SUMIF('LNG trains calc'!$B$3:$U$3,"Port Arthur",'LNG trains calc'!$B79:$U79)</f>
        <v/>
      </c>
      <c r="H79" s="10">
        <f>SUM('LNG trains calc'!$B79:$U79)-SUMIF('LNG trains calc'!$B$3:$U$3,"Corpus Christi",'LNG trains calc'!$B79:$U79)-SUMIF('LNG trains calc'!$B$3:$U$3,"Freeport",'LNG trains calc'!$B79:$U79)-E79-F79-G79</f>
        <v/>
      </c>
      <c r="I79" s="10">
        <f>SUM(C79:H79)</f>
        <v/>
      </c>
      <c r="J79" s="10">
        <f>'Assump - LNG'!$B$35*INDEX('Assump - LNG'!$D$38:$D$49,MONTH($A79))+SUMIF('LNG trains calc'!$V$3:$AO$3,"Corpus Christi",'LNG trains calc'!$V79:$AO79)</f>
        <v/>
      </c>
      <c r="K79" s="10">
        <f>'Assump - LNG'!$C$35*INDEX('Assump - LNG'!$G$38:$G$49,MONTH($A79))+SUMIF('LNG trains calc'!$V$3:$AO$3,"Freeport",'LNG trains calc'!$V79:$AO79)</f>
        <v/>
      </c>
      <c r="L79" s="10">
        <f>SUMIF('LNG trains calc'!$V$3:$AO$3,"Golden Pass",'LNG trains calc'!$V79:$AO79)</f>
        <v/>
      </c>
      <c r="M79" s="10">
        <f>SUMIF('LNG trains calc'!$V$3:$AO$3,"Rio Grande",'LNG trains calc'!$V79:$AO79)</f>
        <v/>
      </c>
      <c r="N79" s="10">
        <f>SUMIF('LNG trains calc'!$V$3:$AO$3,"Port Arthur",'LNG trains calc'!$V79:$AO79)</f>
        <v/>
      </c>
      <c r="O79" s="10">
        <f>SUM('LNG trains calc'!$V79:$AO79)-SUMIF('LNG trains calc'!$V$3:$AO$3,"Corpus Christi",'LNG trains calc'!$V79:$AO79)-SUMIF('LNG trains calc'!$V$3:$AO$3,"Freeport",'LNG trains calc'!$V79:$AO79)-L79-M79-N79</f>
        <v/>
      </c>
      <c r="P79" s="10">
        <f>SUM(J79:O79)</f>
        <v/>
      </c>
      <c r="Q79" s="10">
        <f>I79/'Assump - LNG'!$B$5</f>
        <v/>
      </c>
      <c r="R79" s="10">
        <f>P79/'Assump - LNG'!$B$5</f>
        <v/>
      </c>
      <c r="S79" s="10" t="n">
        <v>4.591665770626252</v>
      </c>
      <c r="T79" s="10" t="n">
        <v>5.771683468248021</v>
      </c>
      <c r="U79" s="10" t="n">
        <v>1.071753433222375</v>
      </c>
      <c r="V79" s="10" t="n">
        <v>0.7096739390246209</v>
      </c>
      <c r="W79" s="10" t="n">
        <v>0.006626279424245835</v>
      </c>
      <c r="X79" s="10">
        <f>SUM(S79:W79)</f>
        <v/>
      </c>
      <c r="Y79" s="10" t="n">
        <v>2.878761529187784</v>
      </c>
      <c r="Z79" s="10">
        <f>X79+I79</f>
        <v/>
      </c>
      <c r="AA79" s="10">
        <f>X79+P79</f>
        <v/>
      </c>
    </row>
    <row r="80">
      <c r="A80" s="12" t="n">
        <v>46447</v>
      </c>
      <c r="B80" t="inlineStr">
        <is>
          <t>Forecast</t>
        </is>
      </c>
      <c r="C80" s="10">
        <f>'Assump - LNG'!$B$35*INDEX('Assump - LNG'!$D$38:$D$49,MONTH($A80))+SUMIF('LNG trains calc'!$B$3:$U$3,"Corpus Christi",'LNG trains calc'!$B80:$U80)</f>
        <v/>
      </c>
      <c r="D80" s="10">
        <f>'Assump - LNG'!$C$35*INDEX('Assump - LNG'!$G$38:$G$49,MONTH($A80))+SUMIF('LNG trains calc'!$B$3:$U$3,"Freeport",'LNG trains calc'!$B80:$U80)</f>
        <v/>
      </c>
      <c r="E80" s="10">
        <f>SUMIF('LNG trains calc'!$B$3:$U$3,"Golden Pass",'LNG trains calc'!$B80:$U80)</f>
        <v/>
      </c>
      <c r="F80" s="10">
        <f>SUMIF('LNG trains calc'!$B$3:$U$3,"Rio Grande",'LNG trains calc'!$B80:$U80)</f>
        <v/>
      </c>
      <c r="G80" s="10">
        <f>SUMIF('LNG trains calc'!$B$3:$U$3,"Port Arthur",'LNG trains calc'!$B80:$U80)</f>
        <v/>
      </c>
      <c r="H80" s="10">
        <f>SUM('LNG trains calc'!$B80:$U80)-SUMIF('LNG trains calc'!$B$3:$U$3,"Corpus Christi",'LNG trains calc'!$B80:$U80)-SUMIF('LNG trains calc'!$B$3:$U$3,"Freeport",'LNG trains calc'!$B80:$U80)-E80-F80-G80</f>
        <v/>
      </c>
      <c r="I80" s="10">
        <f>SUM(C80:H80)</f>
        <v/>
      </c>
      <c r="J80" s="10">
        <f>'Assump - LNG'!$B$35*INDEX('Assump - LNG'!$D$38:$D$49,MONTH($A80))+SUMIF('LNG trains calc'!$V$3:$AO$3,"Corpus Christi",'LNG trains calc'!$V80:$AO80)</f>
        <v/>
      </c>
      <c r="K80" s="10">
        <f>'Assump - LNG'!$C$35*INDEX('Assump - LNG'!$G$38:$G$49,MONTH($A80))+SUMIF('LNG trains calc'!$V$3:$AO$3,"Freeport",'LNG trains calc'!$V80:$AO80)</f>
        <v/>
      </c>
      <c r="L80" s="10">
        <f>SUMIF('LNG trains calc'!$V$3:$AO$3,"Golden Pass",'LNG trains calc'!$V80:$AO80)</f>
        <v/>
      </c>
      <c r="M80" s="10">
        <f>SUMIF('LNG trains calc'!$V$3:$AO$3,"Rio Grande",'LNG trains calc'!$V80:$AO80)</f>
        <v/>
      </c>
      <c r="N80" s="10">
        <f>SUMIF('LNG trains calc'!$V$3:$AO$3,"Port Arthur",'LNG trains calc'!$V80:$AO80)</f>
        <v/>
      </c>
      <c r="O80" s="10">
        <f>SUM('LNG trains calc'!$V80:$AO80)-SUMIF('LNG trains calc'!$V$3:$AO$3,"Corpus Christi",'LNG trains calc'!$V80:$AO80)-SUMIF('LNG trains calc'!$V$3:$AO$3,"Freeport",'LNG trains calc'!$V80:$AO80)-L80-M80-N80</f>
        <v/>
      </c>
      <c r="P80" s="10">
        <f>SUM(J80:O80)</f>
        <v/>
      </c>
      <c r="Q80" s="10">
        <f>I80/'Assump - LNG'!$B$5</f>
        <v/>
      </c>
      <c r="R80" s="10">
        <f>P80/'Assump - LNG'!$B$5</f>
        <v/>
      </c>
      <c r="S80" s="10" t="n">
        <v>4.084302667522916</v>
      </c>
      <c r="T80" s="10" t="n">
        <v>5.744850592631705</v>
      </c>
      <c r="U80" s="10" t="n">
        <v>0.4915507700236296</v>
      </c>
      <c r="V80" s="10" t="n">
        <v>0.4883272060505006</v>
      </c>
      <c r="W80" s="10" t="n">
        <v>0.006598675494152</v>
      </c>
      <c r="X80" s="10">
        <f>SUM(S80:W80)</f>
        <v/>
      </c>
      <c r="Y80" s="10" t="n">
        <v>2.774088603050508</v>
      </c>
      <c r="Z80" s="10">
        <f>X80+I80</f>
        <v/>
      </c>
      <c r="AA80" s="10">
        <f>X80+P80</f>
        <v/>
      </c>
    </row>
    <row r="81">
      <c r="A81" s="12" t="n">
        <v>46478</v>
      </c>
      <c r="B81" t="inlineStr">
        <is>
          <t>Forecast</t>
        </is>
      </c>
      <c r="C81" s="10">
        <f>'Assump - LNG'!$B$35*INDEX('Assump - LNG'!$D$38:$D$49,MONTH($A81))+SUMIF('LNG trains calc'!$B$3:$U$3,"Corpus Christi",'LNG trains calc'!$B81:$U81)</f>
        <v/>
      </c>
      <c r="D81" s="10">
        <f>'Assump - LNG'!$C$35*INDEX('Assump - LNG'!$G$38:$G$49,MONTH($A81))+SUMIF('LNG trains calc'!$B$3:$U$3,"Freeport",'LNG trains calc'!$B81:$U81)</f>
        <v/>
      </c>
      <c r="E81" s="10">
        <f>SUMIF('LNG trains calc'!$B$3:$U$3,"Golden Pass",'LNG trains calc'!$B81:$U81)</f>
        <v/>
      </c>
      <c r="F81" s="10">
        <f>SUMIF('LNG trains calc'!$B$3:$U$3,"Rio Grande",'LNG trains calc'!$B81:$U81)</f>
        <v/>
      </c>
      <c r="G81" s="10">
        <f>SUMIF('LNG trains calc'!$B$3:$U$3,"Port Arthur",'LNG trains calc'!$B81:$U81)</f>
        <v/>
      </c>
      <c r="H81" s="10">
        <f>SUM('LNG trains calc'!$B81:$U81)-SUMIF('LNG trains calc'!$B$3:$U$3,"Corpus Christi",'LNG trains calc'!$B81:$U81)-SUMIF('LNG trains calc'!$B$3:$U$3,"Freeport",'LNG trains calc'!$B81:$U81)-E81-F81-G81</f>
        <v/>
      </c>
      <c r="I81" s="10">
        <f>SUM(C81:H81)</f>
        <v/>
      </c>
      <c r="J81" s="10">
        <f>'Assump - LNG'!$B$35*INDEX('Assump - LNG'!$D$38:$D$49,MONTH($A81))+SUMIF('LNG trains calc'!$V$3:$AO$3,"Corpus Christi",'LNG trains calc'!$V81:$AO81)</f>
        <v/>
      </c>
      <c r="K81" s="10">
        <f>'Assump - LNG'!$C$35*INDEX('Assump - LNG'!$G$38:$G$49,MONTH($A81))+SUMIF('LNG trains calc'!$V$3:$AO$3,"Freeport",'LNG trains calc'!$V81:$AO81)</f>
        <v/>
      </c>
      <c r="L81" s="10">
        <f>SUMIF('LNG trains calc'!$V$3:$AO$3,"Golden Pass",'LNG trains calc'!$V81:$AO81)</f>
        <v/>
      </c>
      <c r="M81" s="10">
        <f>SUMIF('LNG trains calc'!$V$3:$AO$3,"Rio Grande",'LNG trains calc'!$V81:$AO81)</f>
        <v/>
      </c>
      <c r="N81" s="10">
        <f>SUMIF('LNG trains calc'!$V$3:$AO$3,"Port Arthur",'LNG trains calc'!$V81:$AO81)</f>
        <v/>
      </c>
      <c r="O81" s="10">
        <f>SUM('LNG trains calc'!$V81:$AO81)-SUMIF('LNG trains calc'!$V$3:$AO$3,"Corpus Christi",'LNG trains calc'!$V81:$AO81)-SUMIF('LNG trains calc'!$V$3:$AO$3,"Freeport",'LNG trains calc'!$V81:$AO81)-L81-M81-N81</f>
        <v/>
      </c>
      <c r="P81" s="10">
        <f>SUM(J81:O81)</f>
        <v/>
      </c>
      <c r="Q81" s="10">
        <f>I81/'Assump - LNG'!$B$5</f>
        <v/>
      </c>
      <c r="R81" s="10">
        <f>P81/'Assump - LNG'!$B$5</f>
        <v/>
      </c>
      <c r="S81" s="10" t="n">
        <v>4.513549912598049</v>
      </c>
      <c r="T81" s="10" t="n">
        <v>5.680608138500108</v>
      </c>
      <c r="U81" s="10" t="n">
        <v>0.3190816123310472</v>
      </c>
      <c r="V81" s="10" t="n">
        <v>0.4440890247278849</v>
      </c>
      <c r="W81" s="10" t="n">
        <v>0.006578774034385803</v>
      </c>
      <c r="X81" s="10">
        <f>SUM(S81:W81)</f>
        <v/>
      </c>
      <c r="Y81" s="10" t="n">
        <v>2.986666029480982</v>
      </c>
      <c r="Z81" s="10">
        <f>X81+I81</f>
        <v/>
      </c>
      <c r="AA81" s="10">
        <f>X81+P81</f>
        <v/>
      </c>
    </row>
    <row r="82">
      <c r="A82" s="12" t="n">
        <v>46508</v>
      </c>
      <c r="B82" t="inlineStr">
        <is>
          <t>Forecast</t>
        </is>
      </c>
      <c r="C82" s="10">
        <f>'Assump - LNG'!$B$35*INDEX('Assump - LNG'!$D$38:$D$49,MONTH($A82))+SUMIF('LNG trains calc'!$B$3:$U$3,"Corpus Christi",'LNG trains calc'!$B82:$U82)</f>
        <v/>
      </c>
      <c r="D82" s="10">
        <f>'Assump - LNG'!$C$35*INDEX('Assump - LNG'!$G$38:$G$49,MONTH($A82))+SUMIF('LNG trains calc'!$B$3:$U$3,"Freeport",'LNG trains calc'!$B82:$U82)</f>
        <v/>
      </c>
      <c r="E82" s="10">
        <f>SUMIF('LNG trains calc'!$B$3:$U$3,"Golden Pass",'LNG trains calc'!$B82:$U82)</f>
        <v/>
      </c>
      <c r="F82" s="10">
        <f>SUMIF('LNG trains calc'!$B$3:$U$3,"Rio Grande",'LNG trains calc'!$B82:$U82)</f>
        <v/>
      </c>
      <c r="G82" s="10">
        <f>SUMIF('LNG trains calc'!$B$3:$U$3,"Port Arthur",'LNG trains calc'!$B82:$U82)</f>
        <v/>
      </c>
      <c r="H82" s="10">
        <f>SUM('LNG trains calc'!$B82:$U82)-SUMIF('LNG trains calc'!$B$3:$U$3,"Corpus Christi",'LNG trains calc'!$B82:$U82)-SUMIF('LNG trains calc'!$B$3:$U$3,"Freeport",'LNG trains calc'!$B82:$U82)-E82-F82-G82</f>
        <v/>
      </c>
      <c r="I82" s="10">
        <f>SUM(C82:H82)</f>
        <v/>
      </c>
      <c r="J82" s="10">
        <f>'Assump - LNG'!$B$35*INDEX('Assump - LNG'!$D$38:$D$49,MONTH($A82))+SUMIF('LNG trains calc'!$V$3:$AO$3,"Corpus Christi",'LNG trains calc'!$V82:$AO82)</f>
        <v/>
      </c>
      <c r="K82" s="10">
        <f>'Assump - LNG'!$C$35*INDEX('Assump - LNG'!$G$38:$G$49,MONTH($A82))+SUMIF('LNG trains calc'!$V$3:$AO$3,"Freeport",'LNG trains calc'!$V82:$AO82)</f>
        <v/>
      </c>
      <c r="L82" s="10">
        <f>SUMIF('LNG trains calc'!$V$3:$AO$3,"Golden Pass",'LNG trains calc'!$V82:$AO82)</f>
        <v/>
      </c>
      <c r="M82" s="10">
        <f>SUMIF('LNG trains calc'!$V$3:$AO$3,"Rio Grande",'LNG trains calc'!$V82:$AO82)</f>
        <v/>
      </c>
      <c r="N82" s="10">
        <f>SUMIF('LNG trains calc'!$V$3:$AO$3,"Port Arthur",'LNG trains calc'!$V82:$AO82)</f>
        <v/>
      </c>
      <c r="O82" s="10">
        <f>SUM('LNG trains calc'!$V82:$AO82)-SUMIF('LNG trains calc'!$V$3:$AO$3,"Corpus Christi",'LNG trains calc'!$V82:$AO82)-SUMIF('LNG trains calc'!$V$3:$AO$3,"Freeport",'LNG trains calc'!$V82:$AO82)-L82-M82-N82</f>
        <v/>
      </c>
      <c r="P82" s="10">
        <f>SUM(J82:O82)</f>
        <v/>
      </c>
      <c r="Q82" s="10">
        <f>I82/'Assump - LNG'!$B$5</f>
        <v/>
      </c>
      <c r="R82" s="10">
        <f>P82/'Assump - LNG'!$B$5</f>
        <v/>
      </c>
      <c r="S82" s="10" t="n">
        <v>5.815887213640852</v>
      </c>
      <c r="T82" s="10" t="n">
        <v>5.552993543365289</v>
      </c>
      <c r="U82" s="10" t="n">
        <v>0.2209863247505367</v>
      </c>
      <c r="V82" s="10" t="n">
        <v>0.3730742742049455</v>
      </c>
      <c r="W82" s="10" t="n">
        <v>0.006565261974022615</v>
      </c>
      <c r="X82" s="10">
        <f>SUM(S82:W82)</f>
        <v/>
      </c>
      <c r="Y82" s="10" t="n">
        <v>3.246131765669215</v>
      </c>
      <c r="Z82" s="10">
        <f>X82+I82</f>
        <v/>
      </c>
      <c r="AA82" s="10">
        <f>X82+P82</f>
        <v/>
      </c>
    </row>
    <row r="83">
      <c r="A83" s="12" t="n">
        <v>46539</v>
      </c>
      <c r="B83" t="inlineStr">
        <is>
          <t>Forecast</t>
        </is>
      </c>
      <c r="C83" s="10">
        <f>'Assump - LNG'!$B$35*INDEX('Assump - LNG'!$D$38:$D$49,MONTH($A83))+SUMIF('LNG trains calc'!$B$3:$U$3,"Corpus Christi",'LNG trains calc'!$B83:$U83)</f>
        <v/>
      </c>
      <c r="D83" s="10">
        <f>'Assump - LNG'!$C$35*INDEX('Assump - LNG'!$G$38:$G$49,MONTH($A83))+SUMIF('LNG trains calc'!$B$3:$U$3,"Freeport",'LNG trains calc'!$B83:$U83)</f>
        <v/>
      </c>
      <c r="E83" s="10">
        <f>SUMIF('LNG trains calc'!$B$3:$U$3,"Golden Pass",'LNG trains calc'!$B83:$U83)</f>
        <v/>
      </c>
      <c r="F83" s="10">
        <f>SUMIF('LNG trains calc'!$B$3:$U$3,"Rio Grande",'LNG trains calc'!$B83:$U83)</f>
        <v/>
      </c>
      <c r="G83" s="10">
        <f>SUMIF('LNG trains calc'!$B$3:$U$3,"Port Arthur",'LNG trains calc'!$B83:$U83)</f>
        <v/>
      </c>
      <c r="H83" s="10">
        <f>SUM('LNG trains calc'!$B83:$U83)-SUMIF('LNG trains calc'!$B$3:$U$3,"Corpus Christi",'LNG trains calc'!$B83:$U83)-SUMIF('LNG trains calc'!$B$3:$U$3,"Freeport",'LNG trains calc'!$B83:$U83)-E83-F83-G83</f>
        <v/>
      </c>
      <c r="I83" s="10">
        <f>SUM(C83:H83)</f>
        <v/>
      </c>
      <c r="J83" s="10">
        <f>'Assump - LNG'!$B$35*INDEX('Assump - LNG'!$D$38:$D$49,MONTH($A83))+SUMIF('LNG trains calc'!$V$3:$AO$3,"Corpus Christi",'LNG trains calc'!$V83:$AO83)</f>
        <v/>
      </c>
      <c r="K83" s="10">
        <f>'Assump - LNG'!$C$35*INDEX('Assump - LNG'!$G$38:$G$49,MONTH($A83))+SUMIF('LNG trains calc'!$V$3:$AO$3,"Freeport",'LNG trains calc'!$V83:$AO83)</f>
        <v/>
      </c>
      <c r="L83" s="10">
        <f>SUMIF('LNG trains calc'!$V$3:$AO$3,"Golden Pass",'LNG trains calc'!$V83:$AO83)</f>
        <v/>
      </c>
      <c r="M83" s="10">
        <f>SUMIF('LNG trains calc'!$V$3:$AO$3,"Rio Grande",'LNG trains calc'!$V83:$AO83)</f>
        <v/>
      </c>
      <c r="N83" s="10">
        <f>SUMIF('LNG trains calc'!$V$3:$AO$3,"Port Arthur",'LNG trains calc'!$V83:$AO83)</f>
        <v/>
      </c>
      <c r="O83" s="10">
        <f>SUM('LNG trains calc'!$V83:$AO83)-SUMIF('LNG trains calc'!$V$3:$AO$3,"Corpus Christi",'LNG trains calc'!$V83:$AO83)-SUMIF('LNG trains calc'!$V$3:$AO$3,"Freeport",'LNG trains calc'!$V83:$AO83)-L83-M83-N83</f>
        <v/>
      </c>
      <c r="P83" s="10">
        <f>SUM(J83:O83)</f>
        <v/>
      </c>
      <c r="Q83" s="10">
        <f>I83/'Assump - LNG'!$B$5</f>
        <v/>
      </c>
      <c r="R83" s="10">
        <f>P83/'Assump - LNG'!$B$5</f>
        <v/>
      </c>
      <c r="S83" s="10" t="n">
        <v>6.706918670559735</v>
      </c>
      <c r="T83" s="10" t="n">
        <v>5.614579908845148</v>
      </c>
      <c r="U83" s="10" t="n">
        <v>0.2102139365451465</v>
      </c>
      <c r="V83" s="10" t="n">
        <v>0.3758789561992053</v>
      </c>
      <c r="W83" s="10" t="n">
        <v>0.006545461288696243</v>
      </c>
      <c r="X83" s="10">
        <f>SUM(S83:W83)</f>
        <v/>
      </c>
      <c r="Y83" s="10" t="n">
        <v>3.183163621523247</v>
      </c>
      <c r="Z83" s="10">
        <f>X83+I83</f>
        <v/>
      </c>
      <c r="AA83" s="10">
        <f>X83+P83</f>
        <v/>
      </c>
    </row>
    <row r="84">
      <c r="A84" s="12" t="n">
        <v>46569</v>
      </c>
      <c r="B84" t="inlineStr">
        <is>
          <t>Forecast</t>
        </is>
      </c>
      <c r="C84" s="10">
        <f>'Assump - LNG'!$B$35*INDEX('Assump - LNG'!$D$38:$D$49,MONTH($A84))+SUMIF('LNG trains calc'!$B$3:$U$3,"Corpus Christi",'LNG trains calc'!$B84:$U84)</f>
        <v/>
      </c>
      <c r="D84" s="10">
        <f>'Assump - LNG'!$C$35*INDEX('Assump - LNG'!$G$38:$G$49,MONTH($A84))+SUMIF('LNG trains calc'!$B$3:$U$3,"Freeport",'LNG trains calc'!$B84:$U84)</f>
        <v/>
      </c>
      <c r="E84" s="10">
        <f>SUMIF('LNG trains calc'!$B$3:$U$3,"Golden Pass",'LNG trains calc'!$B84:$U84)</f>
        <v/>
      </c>
      <c r="F84" s="10">
        <f>SUMIF('LNG trains calc'!$B$3:$U$3,"Rio Grande",'LNG trains calc'!$B84:$U84)</f>
        <v/>
      </c>
      <c r="G84" s="10">
        <f>SUMIF('LNG trains calc'!$B$3:$U$3,"Port Arthur",'LNG trains calc'!$B84:$U84)</f>
        <v/>
      </c>
      <c r="H84" s="10">
        <f>SUM('LNG trains calc'!$B84:$U84)-SUMIF('LNG trains calc'!$B$3:$U$3,"Corpus Christi",'LNG trains calc'!$B84:$U84)-SUMIF('LNG trains calc'!$B$3:$U$3,"Freeport",'LNG trains calc'!$B84:$U84)-E84-F84-G84</f>
        <v/>
      </c>
      <c r="I84" s="10">
        <f>SUM(C84:H84)</f>
        <v/>
      </c>
      <c r="J84" s="10">
        <f>'Assump - LNG'!$B$35*INDEX('Assump - LNG'!$D$38:$D$49,MONTH($A84))+SUMIF('LNG trains calc'!$V$3:$AO$3,"Corpus Christi",'LNG trains calc'!$V84:$AO84)</f>
        <v/>
      </c>
      <c r="K84" s="10">
        <f>'Assump - LNG'!$C$35*INDEX('Assump - LNG'!$G$38:$G$49,MONTH($A84))+SUMIF('LNG trains calc'!$V$3:$AO$3,"Freeport",'LNG trains calc'!$V84:$AO84)</f>
        <v/>
      </c>
      <c r="L84" s="10">
        <f>SUMIF('LNG trains calc'!$V$3:$AO$3,"Golden Pass",'LNG trains calc'!$V84:$AO84)</f>
        <v/>
      </c>
      <c r="M84" s="10">
        <f>SUMIF('LNG trains calc'!$V$3:$AO$3,"Rio Grande",'LNG trains calc'!$V84:$AO84)</f>
        <v/>
      </c>
      <c r="N84" s="10">
        <f>SUMIF('LNG trains calc'!$V$3:$AO$3,"Port Arthur",'LNG trains calc'!$V84:$AO84)</f>
        <v/>
      </c>
      <c r="O84" s="10">
        <f>SUM('LNG trains calc'!$V84:$AO84)-SUMIF('LNG trains calc'!$V$3:$AO$3,"Corpus Christi",'LNG trains calc'!$V84:$AO84)-SUMIF('LNG trains calc'!$V$3:$AO$3,"Freeport",'LNG trains calc'!$V84:$AO84)-L84-M84-N84</f>
        <v/>
      </c>
      <c r="P84" s="10">
        <f>SUM(J84:O84)</f>
        <v/>
      </c>
      <c r="Q84" s="10">
        <f>I84/'Assump - LNG'!$B$5</f>
        <v/>
      </c>
      <c r="R84" s="10">
        <f>P84/'Assump - LNG'!$B$5</f>
        <v/>
      </c>
      <c r="S84" s="10" t="n">
        <v>7.299471258702761</v>
      </c>
      <c r="T84" s="10" t="n">
        <v>5.600740992260573</v>
      </c>
      <c r="U84" s="10" t="n">
        <v>0.1964829098663687</v>
      </c>
      <c r="V84" s="10" t="n">
        <v>0.3592145606960728</v>
      </c>
      <c r="W84" s="10" t="n">
        <v>0.006532017648957973</v>
      </c>
      <c r="X84" s="10">
        <f>SUM(S84:W84)</f>
        <v/>
      </c>
      <c r="Y84" s="10" t="n">
        <v>3.037684824395354</v>
      </c>
      <c r="Z84" s="10">
        <f>X84+I84</f>
        <v/>
      </c>
      <c r="AA84" s="10">
        <f>X84+P84</f>
        <v/>
      </c>
    </row>
    <row r="85">
      <c r="A85" s="12" t="n">
        <v>46600</v>
      </c>
      <c r="B85" t="inlineStr">
        <is>
          <t>Forecast</t>
        </is>
      </c>
      <c r="C85" s="10">
        <f>'Assump - LNG'!$B$35*INDEX('Assump - LNG'!$D$38:$D$49,MONTH($A85))+SUMIF('LNG trains calc'!$B$3:$U$3,"Corpus Christi",'LNG trains calc'!$B85:$U85)</f>
        <v/>
      </c>
      <c r="D85" s="10">
        <f>'Assump - LNG'!$C$35*INDEX('Assump - LNG'!$G$38:$G$49,MONTH($A85))+SUMIF('LNG trains calc'!$B$3:$U$3,"Freeport",'LNG trains calc'!$B85:$U85)</f>
        <v/>
      </c>
      <c r="E85" s="10">
        <f>SUMIF('LNG trains calc'!$B$3:$U$3,"Golden Pass",'LNG trains calc'!$B85:$U85)</f>
        <v/>
      </c>
      <c r="F85" s="10">
        <f>SUMIF('LNG trains calc'!$B$3:$U$3,"Rio Grande",'LNG trains calc'!$B85:$U85)</f>
        <v/>
      </c>
      <c r="G85" s="10">
        <f>SUMIF('LNG trains calc'!$B$3:$U$3,"Port Arthur",'LNG trains calc'!$B85:$U85)</f>
        <v/>
      </c>
      <c r="H85" s="10">
        <f>SUM('LNG trains calc'!$B85:$U85)-SUMIF('LNG trains calc'!$B$3:$U$3,"Corpus Christi",'LNG trains calc'!$B85:$U85)-SUMIF('LNG trains calc'!$B$3:$U$3,"Freeport",'LNG trains calc'!$B85:$U85)-E85-F85-G85</f>
        <v/>
      </c>
      <c r="I85" s="10">
        <f>SUM(C85:H85)</f>
        <v/>
      </c>
      <c r="J85" s="10">
        <f>'Assump - LNG'!$B$35*INDEX('Assump - LNG'!$D$38:$D$49,MONTH($A85))+SUMIF('LNG trains calc'!$V$3:$AO$3,"Corpus Christi",'LNG trains calc'!$V85:$AO85)</f>
        <v/>
      </c>
      <c r="K85" s="10">
        <f>'Assump - LNG'!$C$35*INDEX('Assump - LNG'!$G$38:$G$49,MONTH($A85))+SUMIF('LNG trains calc'!$V$3:$AO$3,"Freeport",'LNG trains calc'!$V85:$AO85)</f>
        <v/>
      </c>
      <c r="L85" s="10">
        <f>SUMIF('LNG trains calc'!$V$3:$AO$3,"Golden Pass",'LNG trains calc'!$V85:$AO85)</f>
        <v/>
      </c>
      <c r="M85" s="10">
        <f>SUMIF('LNG trains calc'!$V$3:$AO$3,"Rio Grande",'LNG trains calc'!$V85:$AO85)</f>
        <v/>
      </c>
      <c r="N85" s="10">
        <f>SUMIF('LNG trains calc'!$V$3:$AO$3,"Port Arthur",'LNG trains calc'!$V85:$AO85)</f>
        <v/>
      </c>
      <c r="O85" s="10">
        <f>SUM('LNG trains calc'!$V85:$AO85)-SUMIF('LNG trains calc'!$V$3:$AO$3,"Corpus Christi",'LNG trains calc'!$V85:$AO85)-SUMIF('LNG trains calc'!$V$3:$AO$3,"Freeport",'LNG trains calc'!$V85:$AO85)-L85-M85-N85</f>
        <v/>
      </c>
      <c r="P85" s="10">
        <f>SUM(J85:O85)</f>
        <v/>
      </c>
      <c r="Q85" s="10">
        <f>I85/'Assump - LNG'!$B$5</f>
        <v/>
      </c>
      <c r="R85" s="10">
        <f>P85/'Assump - LNG'!$B$5</f>
        <v/>
      </c>
      <c r="S85" s="10" t="n">
        <v>8.193937527388337</v>
      </c>
      <c r="T85" s="10" t="n">
        <v>5.666028153285912</v>
      </c>
      <c r="U85" s="10" t="n">
        <v>0.1726102254648359</v>
      </c>
      <c r="V85" s="10" t="n">
        <v>0.3501648764063452</v>
      </c>
      <c r="W85" s="10" t="n">
        <v>0.005090693310817161</v>
      </c>
      <c r="X85" s="10">
        <f>SUM(S85:W85)</f>
        <v/>
      </c>
      <c r="Y85" s="10" t="n">
        <v>3.108901705501789</v>
      </c>
      <c r="Z85" s="10">
        <f>X85+I85</f>
        <v/>
      </c>
      <c r="AA85" s="10">
        <f>X85+P85</f>
        <v/>
      </c>
    </row>
    <row r="86">
      <c r="A86" s="12" t="n">
        <v>46631</v>
      </c>
      <c r="B86" t="inlineStr">
        <is>
          <t>Forecast</t>
        </is>
      </c>
      <c r="C86" s="10">
        <f>'Assump - LNG'!$B$35*INDEX('Assump - LNG'!$D$38:$D$49,MONTH($A86))+SUMIF('LNG trains calc'!$B$3:$U$3,"Corpus Christi",'LNG trains calc'!$B86:$U86)</f>
        <v/>
      </c>
      <c r="D86" s="10">
        <f>'Assump - LNG'!$C$35*INDEX('Assump - LNG'!$G$38:$G$49,MONTH($A86))+SUMIF('LNG trains calc'!$B$3:$U$3,"Freeport",'LNG trains calc'!$B86:$U86)</f>
        <v/>
      </c>
      <c r="E86" s="10">
        <f>SUMIF('LNG trains calc'!$B$3:$U$3,"Golden Pass",'LNG trains calc'!$B86:$U86)</f>
        <v/>
      </c>
      <c r="F86" s="10">
        <f>SUMIF('LNG trains calc'!$B$3:$U$3,"Rio Grande",'LNG trains calc'!$B86:$U86)</f>
        <v/>
      </c>
      <c r="G86" s="10">
        <f>SUMIF('LNG trains calc'!$B$3:$U$3,"Port Arthur",'LNG trains calc'!$B86:$U86)</f>
        <v/>
      </c>
      <c r="H86" s="10">
        <f>SUM('LNG trains calc'!$B86:$U86)-SUMIF('LNG trains calc'!$B$3:$U$3,"Corpus Christi",'LNG trains calc'!$B86:$U86)-SUMIF('LNG trains calc'!$B$3:$U$3,"Freeport",'LNG trains calc'!$B86:$U86)-E86-F86-G86</f>
        <v/>
      </c>
      <c r="I86" s="10">
        <f>SUM(C86:H86)</f>
        <v/>
      </c>
      <c r="J86" s="10">
        <f>'Assump - LNG'!$B$35*INDEX('Assump - LNG'!$D$38:$D$49,MONTH($A86))+SUMIF('LNG trains calc'!$V$3:$AO$3,"Corpus Christi",'LNG trains calc'!$V86:$AO86)</f>
        <v/>
      </c>
      <c r="K86" s="10">
        <f>'Assump - LNG'!$C$35*INDEX('Assump - LNG'!$G$38:$G$49,MONTH($A86))+SUMIF('LNG trains calc'!$V$3:$AO$3,"Freeport",'LNG trains calc'!$V86:$AO86)</f>
        <v/>
      </c>
      <c r="L86" s="10">
        <f>SUMIF('LNG trains calc'!$V$3:$AO$3,"Golden Pass",'LNG trains calc'!$V86:$AO86)</f>
        <v/>
      </c>
      <c r="M86" s="10">
        <f>SUMIF('LNG trains calc'!$V$3:$AO$3,"Rio Grande",'LNG trains calc'!$V86:$AO86)</f>
        <v/>
      </c>
      <c r="N86" s="10">
        <f>SUMIF('LNG trains calc'!$V$3:$AO$3,"Port Arthur",'LNG trains calc'!$V86:$AO86)</f>
        <v/>
      </c>
      <c r="O86" s="10">
        <f>SUM('LNG trains calc'!$V86:$AO86)-SUMIF('LNG trains calc'!$V$3:$AO$3,"Corpus Christi",'LNG trains calc'!$V86:$AO86)-SUMIF('LNG trains calc'!$V$3:$AO$3,"Freeport",'LNG trains calc'!$V86:$AO86)-L86-M86-N86</f>
        <v/>
      </c>
      <c r="P86" s="10">
        <f>SUM(J86:O86)</f>
        <v/>
      </c>
      <c r="Q86" s="10">
        <f>I86/'Assump - LNG'!$B$5</f>
        <v/>
      </c>
      <c r="R86" s="10">
        <f>P86/'Assump - LNG'!$B$5</f>
        <v/>
      </c>
      <c r="S86" s="10" t="n">
        <v>6.945401123609252</v>
      </c>
      <c r="T86" s="10" t="n">
        <v>5.640800564781621</v>
      </c>
      <c r="U86" s="10" t="n">
        <v>0.1697954678102824</v>
      </c>
      <c r="V86" s="10" t="n">
        <v>0.3587098685556818</v>
      </c>
      <c r="W86" s="10" t="n">
        <v>0.005068649521012347</v>
      </c>
      <c r="X86" s="10">
        <f>SUM(S86:W86)</f>
        <v/>
      </c>
      <c r="Y86" s="10" t="n">
        <v>2.926571038137622</v>
      </c>
      <c r="Z86" s="10">
        <f>X86+I86</f>
        <v/>
      </c>
      <c r="AA86" s="10">
        <f>X86+P86</f>
        <v/>
      </c>
    </row>
    <row r="87">
      <c r="A87" s="12" t="n">
        <v>46661</v>
      </c>
      <c r="B87" t="inlineStr">
        <is>
          <t>Forecast</t>
        </is>
      </c>
      <c r="C87" s="10">
        <f>'Assump - LNG'!$B$35*INDEX('Assump - LNG'!$D$38:$D$49,MONTH($A87))+SUMIF('LNG trains calc'!$B$3:$U$3,"Corpus Christi",'LNG trains calc'!$B87:$U87)</f>
        <v/>
      </c>
      <c r="D87" s="10">
        <f>'Assump - LNG'!$C$35*INDEX('Assump - LNG'!$G$38:$G$49,MONTH($A87))+SUMIF('LNG trains calc'!$B$3:$U$3,"Freeport",'LNG trains calc'!$B87:$U87)</f>
        <v/>
      </c>
      <c r="E87" s="10">
        <f>SUMIF('LNG trains calc'!$B$3:$U$3,"Golden Pass",'LNG trains calc'!$B87:$U87)</f>
        <v/>
      </c>
      <c r="F87" s="10">
        <f>SUMIF('LNG trains calc'!$B$3:$U$3,"Rio Grande",'LNG trains calc'!$B87:$U87)</f>
        <v/>
      </c>
      <c r="G87" s="10">
        <f>SUMIF('LNG trains calc'!$B$3:$U$3,"Port Arthur",'LNG trains calc'!$B87:$U87)</f>
        <v/>
      </c>
      <c r="H87" s="10">
        <f>SUM('LNG trains calc'!$B87:$U87)-SUMIF('LNG trains calc'!$B$3:$U$3,"Corpus Christi",'LNG trains calc'!$B87:$U87)-SUMIF('LNG trains calc'!$B$3:$U$3,"Freeport",'LNG trains calc'!$B87:$U87)-E87-F87-G87</f>
        <v/>
      </c>
      <c r="I87" s="10">
        <f>SUM(C87:H87)</f>
        <v/>
      </c>
      <c r="J87" s="10">
        <f>'Assump - LNG'!$B$35*INDEX('Assump - LNG'!$D$38:$D$49,MONTH($A87))+SUMIF('LNG trains calc'!$V$3:$AO$3,"Corpus Christi",'LNG trains calc'!$V87:$AO87)</f>
        <v/>
      </c>
      <c r="K87" s="10">
        <f>'Assump - LNG'!$C$35*INDEX('Assump - LNG'!$G$38:$G$49,MONTH($A87))+SUMIF('LNG trains calc'!$V$3:$AO$3,"Freeport",'LNG trains calc'!$V87:$AO87)</f>
        <v/>
      </c>
      <c r="L87" s="10">
        <f>SUMIF('LNG trains calc'!$V$3:$AO$3,"Golden Pass",'LNG trains calc'!$V87:$AO87)</f>
        <v/>
      </c>
      <c r="M87" s="10">
        <f>SUMIF('LNG trains calc'!$V$3:$AO$3,"Rio Grande",'LNG trains calc'!$V87:$AO87)</f>
        <v/>
      </c>
      <c r="N87" s="10">
        <f>SUMIF('LNG trains calc'!$V$3:$AO$3,"Port Arthur",'LNG trains calc'!$V87:$AO87)</f>
        <v/>
      </c>
      <c r="O87" s="10">
        <f>SUM('LNG trains calc'!$V87:$AO87)-SUMIF('LNG trains calc'!$V$3:$AO$3,"Corpus Christi",'LNG trains calc'!$V87:$AO87)-SUMIF('LNG trains calc'!$V$3:$AO$3,"Freeport",'LNG trains calc'!$V87:$AO87)-L87-M87-N87</f>
        <v/>
      </c>
      <c r="P87" s="10">
        <f>SUM(J87:O87)</f>
        <v/>
      </c>
      <c r="Q87" s="10">
        <f>I87/'Assump - LNG'!$B$5</f>
        <v/>
      </c>
      <c r="R87" s="10">
        <f>P87/'Assump - LNG'!$B$5</f>
        <v/>
      </c>
      <c r="S87" s="10" t="n">
        <v>5.457817105953894</v>
      </c>
      <c r="T87" s="10" t="n">
        <v>5.492198659475094</v>
      </c>
      <c r="U87" s="10" t="n">
        <v>0.2356613559206259</v>
      </c>
      <c r="V87" s="10" t="n">
        <v>0.392751012440045</v>
      </c>
      <c r="W87" s="10" t="n">
        <v>0.005064915715970399</v>
      </c>
      <c r="X87" s="10">
        <f>SUM(S87:W87)</f>
        <v/>
      </c>
      <c r="Y87" s="10" t="n">
        <v>2.791645855212018</v>
      </c>
      <c r="Z87" s="10">
        <f>X87+I87</f>
        <v/>
      </c>
      <c r="AA87" s="10">
        <f>X87+P87</f>
        <v/>
      </c>
    </row>
    <row r="88">
      <c r="A88" s="12" t="n">
        <v>46692</v>
      </c>
      <c r="B88" t="inlineStr">
        <is>
          <t>Forecast</t>
        </is>
      </c>
      <c r="C88" s="10">
        <f>'Assump - LNG'!$B$35*INDEX('Assump - LNG'!$D$38:$D$49,MONTH($A88))+SUMIF('LNG trains calc'!$B$3:$U$3,"Corpus Christi",'LNG trains calc'!$B88:$U88)</f>
        <v/>
      </c>
      <c r="D88" s="10">
        <f>'Assump - LNG'!$C$35*INDEX('Assump - LNG'!$G$38:$G$49,MONTH($A88))+SUMIF('LNG trains calc'!$B$3:$U$3,"Freeport",'LNG trains calc'!$B88:$U88)</f>
        <v/>
      </c>
      <c r="E88" s="10">
        <f>SUMIF('LNG trains calc'!$B$3:$U$3,"Golden Pass",'LNG trains calc'!$B88:$U88)</f>
        <v/>
      </c>
      <c r="F88" s="10">
        <f>SUMIF('LNG trains calc'!$B$3:$U$3,"Rio Grande",'LNG trains calc'!$B88:$U88)</f>
        <v/>
      </c>
      <c r="G88" s="10">
        <f>SUMIF('LNG trains calc'!$B$3:$U$3,"Port Arthur",'LNG trains calc'!$B88:$U88)</f>
        <v/>
      </c>
      <c r="H88" s="10">
        <f>SUM('LNG trains calc'!$B88:$U88)-SUMIF('LNG trains calc'!$B$3:$U$3,"Corpus Christi",'LNG trains calc'!$B88:$U88)-SUMIF('LNG trains calc'!$B$3:$U$3,"Freeport",'LNG trains calc'!$B88:$U88)-E88-F88-G88</f>
        <v/>
      </c>
      <c r="I88" s="10">
        <f>SUM(C88:H88)</f>
        <v/>
      </c>
      <c r="J88" s="10">
        <f>'Assump - LNG'!$B$35*INDEX('Assump - LNG'!$D$38:$D$49,MONTH($A88))+SUMIF('LNG trains calc'!$V$3:$AO$3,"Corpus Christi",'LNG trains calc'!$V88:$AO88)</f>
        <v/>
      </c>
      <c r="K88" s="10">
        <f>'Assump - LNG'!$C$35*INDEX('Assump - LNG'!$G$38:$G$49,MONTH($A88))+SUMIF('LNG trains calc'!$V$3:$AO$3,"Freeport",'LNG trains calc'!$V88:$AO88)</f>
        <v/>
      </c>
      <c r="L88" s="10">
        <f>SUMIF('LNG trains calc'!$V$3:$AO$3,"Golden Pass",'LNG trains calc'!$V88:$AO88)</f>
        <v/>
      </c>
      <c r="M88" s="10">
        <f>SUMIF('LNG trains calc'!$V$3:$AO$3,"Rio Grande",'LNG trains calc'!$V88:$AO88)</f>
        <v/>
      </c>
      <c r="N88" s="10">
        <f>SUMIF('LNG trains calc'!$V$3:$AO$3,"Port Arthur",'LNG trains calc'!$V88:$AO88)</f>
        <v/>
      </c>
      <c r="O88" s="10">
        <f>SUM('LNG trains calc'!$V88:$AO88)-SUMIF('LNG trains calc'!$V$3:$AO$3,"Corpus Christi",'LNG trains calc'!$V88:$AO88)-SUMIF('LNG trains calc'!$V$3:$AO$3,"Freeport",'LNG trains calc'!$V88:$AO88)-L88-M88-N88</f>
        <v/>
      </c>
      <c r="P88" s="10">
        <f>SUM(J88:O88)</f>
        <v/>
      </c>
      <c r="Q88" s="10">
        <f>I88/'Assump - LNG'!$B$5</f>
        <v/>
      </c>
      <c r="R88" s="10">
        <f>P88/'Assump - LNG'!$B$5</f>
        <v/>
      </c>
      <c r="S88" s="10" t="n">
        <v>4.663385892484723</v>
      </c>
      <c r="T88" s="10" t="n">
        <v>5.879821180492057</v>
      </c>
      <c r="U88" s="10" t="n">
        <v>0.4533365140892908</v>
      </c>
      <c r="V88" s="10" t="n">
        <v>0.4921469637282985</v>
      </c>
      <c r="W88" s="10" t="n">
        <v>0.005042983548659375</v>
      </c>
      <c r="X88" s="10">
        <f>SUM(S88:W88)</f>
        <v/>
      </c>
      <c r="Y88" s="10" t="n">
        <v>2.728542512866443</v>
      </c>
      <c r="Z88" s="10">
        <f>X88+I88</f>
        <v/>
      </c>
      <c r="AA88" s="10">
        <f>X88+P88</f>
        <v/>
      </c>
    </row>
    <row r="89">
      <c r="A89" s="12" t="n">
        <v>46722</v>
      </c>
      <c r="B89" t="inlineStr">
        <is>
          <t>Forecast</t>
        </is>
      </c>
      <c r="C89" s="10">
        <f>'Assump - LNG'!$B$35*INDEX('Assump - LNG'!$D$38:$D$49,MONTH($A89))+SUMIF('LNG trains calc'!$B$3:$U$3,"Corpus Christi",'LNG trains calc'!$B89:$U89)</f>
        <v/>
      </c>
      <c r="D89" s="10">
        <f>'Assump - LNG'!$C$35*INDEX('Assump - LNG'!$G$38:$G$49,MONTH($A89))+SUMIF('LNG trains calc'!$B$3:$U$3,"Freeport",'LNG trains calc'!$B89:$U89)</f>
        <v/>
      </c>
      <c r="E89" s="10">
        <f>SUMIF('LNG trains calc'!$B$3:$U$3,"Golden Pass",'LNG trains calc'!$B89:$U89)</f>
        <v/>
      </c>
      <c r="F89" s="10">
        <f>SUMIF('LNG trains calc'!$B$3:$U$3,"Rio Grande",'LNG trains calc'!$B89:$U89)</f>
        <v/>
      </c>
      <c r="G89" s="10">
        <f>SUMIF('LNG trains calc'!$B$3:$U$3,"Port Arthur",'LNG trains calc'!$B89:$U89)</f>
        <v/>
      </c>
      <c r="H89" s="10">
        <f>SUM('LNG trains calc'!$B89:$U89)-SUMIF('LNG trains calc'!$B$3:$U$3,"Corpus Christi",'LNG trains calc'!$B89:$U89)-SUMIF('LNG trains calc'!$B$3:$U$3,"Freeport",'LNG trains calc'!$B89:$U89)-E89-F89-G89</f>
        <v/>
      </c>
      <c r="I89" s="10">
        <f>SUM(C89:H89)</f>
        <v/>
      </c>
      <c r="J89" s="10">
        <f>'Assump - LNG'!$B$35*INDEX('Assump - LNG'!$D$38:$D$49,MONTH($A89))+SUMIF('LNG trains calc'!$V$3:$AO$3,"Corpus Christi",'LNG trains calc'!$V89:$AO89)</f>
        <v/>
      </c>
      <c r="K89" s="10">
        <f>'Assump - LNG'!$C$35*INDEX('Assump - LNG'!$G$38:$G$49,MONTH($A89))+SUMIF('LNG trains calc'!$V$3:$AO$3,"Freeport",'LNG trains calc'!$V89:$AO89)</f>
        <v/>
      </c>
      <c r="L89" s="10">
        <f>SUMIF('LNG trains calc'!$V$3:$AO$3,"Golden Pass",'LNG trains calc'!$V89:$AO89)</f>
        <v/>
      </c>
      <c r="M89" s="10">
        <f>SUMIF('LNG trains calc'!$V$3:$AO$3,"Rio Grande",'LNG trains calc'!$V89:$AO89)</f>
        <v/>
      </c>
      <c r="N89" s="10">
        <f>SUMIF('LNG trains calc'!$V$3:$AO$3,"Port Arthur",'LNG trains calc'!$V89:$AO89)</f>
        <v/>
      </c>
      <c r="O89" s="10">
        <f>SUM('LNG trains calc'!$V89:$AO89)-SUMIF('LNG trains calc'!$V$3:$AO$3,"Corpus Christi",'LNG trains calc'!$V89:$AO89)-SUMIF('LNG trains calc'!$V$3:$AO$3,"Freeport",'LNG trains calc'!$V89:$AO89)-L89-M89-N89</f>
        <v/>
      </c>
      <c r="P89" s="10">
        <f>SUM(J89:O89)</f>
        <v/>
      </c>
      <c r="Q89" s="10">
        <f>I89/'Assump - LNG'!$B$5</f>
        <v/>
      </c>
      <c r="R89" s="10">
        <f>P89/'Assump - LNG'!$B$5</f>
        <v/>
      </c>
      <c r="S89" s="10" t="n">
        <v>4.606898422723488</v>
      </c>
      <c r="T89" s="10" t="n">
        <v>6.079634754447258</v>
      </c>
      <c r="U89" s="10" t="n">
        <v>0.8360360847036827</v>
      </c>
      <c r="V89" s="10" t="n">
        <v>0.6273762003372318</v>
      </c>
      <c r="W89" s="10" t="n">
        <v>0.005039268650376826</v>
      </c>
      <c r="X89" s="10">
        <f>SUM(S89:W89)</f>
        <v/>
      </c>
      <c r="Y89" s="10" t="n">
        <v>2.604276349552315</v>
      </c>
      <c r="Z89" s="10">
        <f>X89+I89</f>
        <v/>
      </c>
      <c r="AA89" s="10">
        <f>X89+P89</f>
        <v/>
      </c>
    </row>
    <row r="90">
      <c r="A90" s="12" t="n">
        <v>46753</v>
      </c>
      <c r="B90" t="inlineStr">
        <is>
          <t>Forecast</t>
        </is>
      </c>
      <c r="C90" s="10">
        <f>'Assump - LNG'!$B$35*INDEX('Assump - LNG'!$D$38:$D$49,MONTH($A90))+SUMIF('LNG trains calc'!$B$3:$U$3,"Corpus Christi",'LNG trains calc'!$B90:$U90)</f>
        <v/>
      </c>
      <c r="D90" s="10">
        <f>'Assump - LNG'!$C$35*INDEX('Assump - LNG'!$G$38:$G$49,MONTH($A90))+SUMIF('LNG trains calc'!$B$3:$U$3,"Freeport",'LNG trains calc'!$B90:$U90)</f>
        <v/>
      </c>
      <c r="E90" s="10">
        <f>SUMIF('LNG trains calc'!$B$3:$U$3,"Golden Pass",'LNG trains calc'!$B90:$U90)</f>
        <v/>
      </c>
      <c r="F90" s="10">
        <f>SUMIF('LNG trains calc'!$B$3:$U$3,"Rio Grande",'LNG trains calc'!$B90:$U90)</f>
        <v/>
      </c>
      <c r="G90" s="10">
        <f>SUMIF('LNG trains calc'!$B$3:$U$3,"Port Arthur",'LNG trains calc'!$B90:$U90)</f>
        <v/>
      </c>
      <c r="H90" s="10">
        <f>SUM('LNG trains calc'!$B90:$U90)-SUMIF('LNG trains calc'!$B$3:$U$3,"Corpus Christi",'LNG trains calc'!$B90:$U90)-SUMIF('LNG trains calc'!$B$3:$U$3,"Freeport",'LNG trains calc'!$B90:$U90)-E90-F90-G90</f>
        <v/>
      </c>
      <c r="I90" s="10">
        <f>SUM(C90:H90)</f>
        <v/>
      </c>
      <c r="J90" s="10">
        <f>'Assump - LNG'!$B$35*INDEX('Assump - LNG'!$D$38:$D$49,MONTH($A90))+SUMIF('LNG trains calc'!$V$3:$AO$3,"Corpus Christi",'LNG trains calc'!$V90:$AO90)</f>
        <v/>
      </c>
      <c r="K90" s="10">
        <f>'Assump - LNG'!$C$35*INDEX('Assump - LNG'!$G$38:$G$49,MONTH($A90))+SUMIF('LNG trains calc'!$V$3:$AO$3,"Freeport",'LNG trains calc'!$V90:$AO90)</f>
        <v/>
      </c>
      <c r="L90" s="10">
        <f>SUMIF('LNG trains calc'!$V$3:$AO$3,"Golden Pass",'LNG trains calc'!$V90:$AO90)</f>
        <v/>
      </c>
      <c r="M90" s="10">
        <f>SUMIF('LNG trains calc'!$V$3:$AO$3,"Rio Grande",'LNG trains calc'!$V90:$AO90)</f>
        <v/>
      </c>
      <c r="N90" s="10">
        <f>SUMIF('LNG trains calc'!$V$3:$AO$3,"Port Arthur",'LNG trains calc'!$V90:$AO90)</f>
        <v/>
      </c>
      <c r="O90" s="10">
        <f>SUM('LNG trains calc'!$V90:$AO90)-SUMIF('LNG trains calc'!$V$3:$AO$3,"Corpus Christi",'LNG trains calc'!$V90:$AO90)-SUMIF('LNG trains calc'!$V$3:$AO$3,"Freeport",'LNG trains calc'!$V90:$AO90)-L90-M90-N90</f>
        <v/>
      </c>
      <c r="P90" s="10">
        <f>SUM(J90:O90)</f>
        <v/>
      </c>
      <c r="Q90" s="10">
        <f>I90/'Assump - LNG'!$B$5</f>
        <v/>
      </c>
      <c r="R90" s="10">
        <f>P90/'Assump - LNG'!$B$5</f>
        <v/>
      </c>
      <c r="S90" s="10" t="n">
        <v>5.579445751982315</v>
      </c>
      <c r="T90" s="10" t="n">
        <v>5.940385840380165</v>
      </c>
      <c r="U90" s="10" t="n">
        <v>1.488597596750053</v>
      </c>
      <c r="V90" s="10" t="n">
        <v>0.8747056510822386</v>
      </c>
      <c r="W90" s="10" t="n">
        <v>0.006433291298340957</v>
      </c>
      <c r="X90" s="10">
        <f>SUM(S90:W90)</f>
        <v/>
      </c>
      <c r="Y90" s="10" t="n">
        <v>2.869003261234766</v>
      </c>
      <c r="Z90" s="10">
        <f>X90+I90</f>
        <v/>
      </c>
      <c r="AA90" s="10">
        <f>X90+P90</f>
        <v/>
      </c>
    </row>
    <row r="91">
      <c r="A91" s="12" t="n">
        <v>46784</v>
      </c>
      <c r="B91" t="inlineStr">
        <is>
          <t>Forecast</t>
        </is>
      </c>
      <c r="C91" s="10">
        <f>'Assump - LNG'!$B$35*INDEX('Assump - LNG'!$D$38:$D$49,MONTH($A91))+SUMIF('LNG trains calc'!$B$3:$U$3,"Corpus Christi",'LNG trains calc'!$B91:$U91)</f>
        <v/>
      </c>
      <c r="D91" s="10">
        <f>'Assump - LNG'!$C$35*INDEX('Assump - LNG'!$G$38:$G$49,MONTH($A91))+SUMIF('LNG trains calc'!$B$3:$U$3,"Freeport",'LNG trains calc'!$B91:$U91)</f>
        <v/>
      </c>
      <c r="E91" s="10">
        <f>SUMIF('LNG trains calc'!$B$3:$U$3,"Golden Pass",'LNG trains calc'!$B91:$U91)</f>
        <v/>
      </c>
      <c r="F91" s="10">
        <f>SUMIF('LNG trains calc'!$B$3:$U$3,"Rio Grande",'LNG trains calc'!$B91:$U91)</f>
        <v/>
      </c>
      <c r="G91" s="10">
        <f>SUMIF('LNG trains calc'!$B$3:$U$3,"Port Arthur",'LNG trains calc'!$B91:$U91)</f>
        <v/>
      </c>
      <c r="H91" s="10">
        <f>SUM('LNG trains calc'!$B91:$U91)-SUMIF('LNG trains calc'!$B$3:$U$3,"Corpus Christi",'LNG trains calc'!$B91:$U91)-SUMIF('LNG trains calc'!$B$3:$U$3,"Freeport",'LNG trains calc'!$B91:$U91)-E91-F91-G91</f>
        <v/>
      </c>
      <c r="I91" s="10">
        <f>SUM(C91:H91)</f>
        <v/>
      </c>
      <c r="J91" s="10">
        <f>'Assump - LNG'!$B$35*INDEX('Assump - LNG'!$D$38:$D$49,MONTH($A91))+SUMIF('LNG trains calc'!$V$3:$AO$3,"Corpus Christi",'LNG trains calc'!$V91:$AO91)</f>
        <v/>
      </c>
      <c r="K91" s="10">
        <f>'Assump - LNG'!$C$35*INDEX('Assump - LNG'!$G$38:$G$49,MONTH($A91))+SUMIF('LNG trains calc'!$V$3:$AO$3,"Freeport",'LNG trains calc'!$V91:$AO91)</f>
        <v/>
      </c>
      <c r="L91" s="10">
        <f>SUMIF('LNG trains calc'!$V$3:$AO$3,"Golden Pass",'LNG trains calc'!$V91:$AO91)</f>
        <v/>
      </c>
      <c r="M91" s="10">
        <f>SUMIF('LNG trains calc'!$V$3:$AO$3,"Rio Grande",'LNG trains calc'!$V91:$AO91)</f>
        <v/>
      </c>
      <c r="N91" s="10">
        <f>SUMIF('LNG trains calc'!$V$3:$AO$3,"Port Arthur",'LNG trains calc'!$V91:$AO91)</f>
        <v/>
      </c>
      <c r="O91" s="10">
        <f>SUM('LNG trains calc'!$V91:$AO91)-SUMIF('LNG trains calc'!$V$3:$AO$3,"Corpus Christi",'LNG trains calc'!$V91:$AO91)-SUMIF('LNG trains calc'!$V$3:$AO$3,"Freeport",'LNG trains calc'!$V91:$AO91)-L91-M91-N91</f>
        <v/>
      </c>
      <c r="P91" s="10">
        <f>SUM(J91:O91)</f>
        <v/>
      </c>
      <c r="Q91" s="10">
        <f>I91/'Assump - LNG'!$B$5</f>
        <v/>
      </c>
      <c r="R91" s="10">
        <f>P91/'Assump - LNG'!$B$5</f>
        <v/>
      </c>
      <c r="S91" s="10" t="n">
        <v>4.573570037829584</v>
      </c>
      <c r="T91" s="10" t="n">
        <v>5.817416336869187</v>
      </c>
      <c r="U91" s="10" t="n">
        <v>1.039600830225704</v>
      </c>
      <c r="V91" s="10" t="n">
        <v>0.6883837208538823</v>
      </c>
      <c r="W91" s="10" t="n">
        <v>0.006427491041518459</v>
      </c>
      <c r="X91" s="10">
        <f>SUM(S91:W91)</f>
        <v/>
      </c>
      <c r="Y91" s="10" t="n">
        <v>2.820453433169895</v>
      </c>
      <c r="Z91" s="10">
        <f>X91+I91</f>
        <v/>
      </c>
      <c r="AA91" s="10">
        <f>X91+P91</f>
        <v/>
      </c>
    </row>
    <row r="92">
      <c r="A92" s="12" t="n">
        <v>46813</v>
      </c>
      <c r="B92" t="inlineStr">
        <is>
          <t>Forecast</t>
        </is>
      </c>
      <c r="C92" s="10">
        <f>'Assump - LNG'!$B$35*INDEX('Assump - LNG'!$D$38:$D$49,MONTH($A92))+SUMIF('LNG trains calc'!$B$3:$U$3,"Corpus Christi",'LNG trains calc'!$B92:$U92)</f>
        <v/>
      </c>
      <c r="D92" s="10">
        <f>'Assump - LNG'!$C$35*INDEX('Assump - LNG'!$G$38:$G$49,MONTH($A92))+SUMIF('LNG trains calc'!$B$3:$U$3,"Freeport",'LNG trains calc'!$B92:$U92)</f>
        <v/>
      </c>
      <c r="E92" s="10">
        <f>SUMIF('LNG trains calc'!$B$3:$U$3,"Golden Pass",'LNG trains calc'!$B92:$U92)</f>
        <v/>
      </c>
      <c r="F92" s="10">
        <f>SUMIF('LNG trains calc'!$B$3:$U$3,"Rio Grande",'LNG trains calc'!$B92:$U92)</f>
        <v/>
      </c>
      <c r="G92" s="10">
        <f>SUMIF('LNG trains calc'!$B$3:$U$3,"Port Arthur",'LNG trains calc'!$B92:$U92)</f>
        <v/>
      </c>
      <c r="H92" s="10">
        <f>SUM('LNG trains calc'!$B92:$U92)-SUMIF('LNG trains calc'!$B$3:$U$3,"Corpus Christi",'LNG trains calc'!$B92:$U92)-SUMIF('LNG trains calc'!$B$3:$U$3,"Freeport",'LNG trains calc'!$B92:$U92)-E92-F92-G92</f>
        <v/>
      </c>
      <c r="I92" s="10">
        <f>SUM(C92:H92)</f>
        <v/>
      </c>
      <c r="J92" s="10">
        <f>'Assump - LNG'!$B$35*INDEX('Assump - LNG'!$D$38:$D$49,MONTH($A92))+SUMIF('LNG trains calc'!$V$3:$AO$3,"Corpus Christi",'LNG trains calc'!$V92:$AO92)</f>
        <v/>
      </c>
      <c r="K92" s="10">
        <f>'Assump - LNG'!$C$35*INDEX('Assump - LNG'!$G$38:$G$49,MONTH($A92))+SUMIF('LNG trains calc'!$V$3:$AO$3,"Freeport",'LNG trains calc'!$V92:$AO92)</f>
        <v/>
      </c>
      <c r="L92" s="10">
        <f>SUMIF('LNG trains calc'!$V$3:$AO$3,"Golden Pass",'LNG trains calc'!$V92:$AO92)</f>
        <v/>
      </c>
      <c r="M92" s="10">
        <f>SUMIF('LNG trains calc'!$V$3:$AO$3,"Rio Grande",'LNG trains calc'!$V92:$AO92)</f>
        <v/>
      </c>
      <c r="N92" s="10">
        <f>SUMIF('LNG trains calc'!$V$3:$AO$3,"Port Arthur",'LNG trains calc'!$V92:$AO92)</f>
        <v/>
      </c>
      <c r="O92" s="10">
        <f>SUM('LNG trains calc'!$V92:$AO92)-SUMIF('LNG trains calc'!$V$3:$AO$3,"Corpus Christi",'LNG trains calc'!$V92:$AO92)-SUMIF('LNG trains calc'!$V$3:$AO$3,"Freeport",'LNG trains calc'!$V92:$AO92)-L92-M92-N92</f>
        <v/>
      </c>
      <c r="P92" s="10">
        <f>SUM(J92:O92)</f>
        <v/>
      </c>
      <c r="Q92" s="10">
        <f>I92/'Assump - LNG'!$B$5</f>
        <v/>
      </c>
      <c r="R92" s="10">
        <f>P92/'Assump - LNG'!$B$5</f>
        <v/>
      </c>
      <c r="S92" s="10" t="n">
        <v>4.068206450284062</v>
      </c>
      <c r="T92" s="10" t="n">
        <v>5.790370846617636</v>
      </c>
      <c r="U92" s="10" t="n">
        <v>0.4768042469229207</v>
      </c>
      <c r="V92" s="10" t="n">
        <v>0.4736773898689856</v>
      </c>
      <c r="W92" s="10" t="n">
        <v>0.00640071522932744</v>
      </c>
      <c r="X92" s="10">
        <f>SUM(S92:W92)</f>
        <v/>
      </c>
      <c r="Y92" s="10" t="n">
        <v>2.717900612837079</v>
      </c>
      <c r="Z92" s="10">
        <f>X92+I92</f>
        <v/>
      </c>
      <c r="AA92" s="10">
        <f>X92+P92</f>
        <v/>
      </c>
    </row>
    <row r="93">
      <c r="A93" s="12" t="n">
        <v>46844</v>
      </c>
      <c r="B93" t="inlineStr">
        <is>
          <t>Forecast</t>
        </is>
      </c>
      <c r="C93" s="10">
        <f>'Assump - LNG'!$B$35*INDEX('Assump - LNG'!$D$38:$D$49,MONTH($A93))+SUMIF('LNG trains calc'!$B$3:$U$3,"Corpus Christi",'LNG trains calc'!$B93:$U93)</f>
        <v/>
      </c>
      <c r="D93" s="10">
        <f>'Assump - LNG'!$C$35*INDEX('Assump - LNG'!$G$38:$G$49,MONTH($A93))+SUMIF('LNG trains calc'!$B$3:$U$3,"Freeport",'LNG trains calc'!$B93:$U93)</f>
        <v/>
      </c>
      <c r="E93" s="10">
        <f>SUMIF('LNG trains calc'!$B$3:$U$3,"Golden Pass",'LNG trains calc'!$B93:$U93)</f>
        <v/>
      </c>
      <c r="F93" s="10">
        <f>SUMIF('LNG trains calc'!$B$3:$U$3,"Rio Grande",'LNG trains calc'!$B93:$U93)</f>
        <v/>
      </c>
      <c r="G93" s="10">
        <f>SUMIF('LNG trains calc'!$B$3:$U$3,"Port Arthur",'LNG trains calc'!$B93:$U93)</f>
        <v/>
      </c>
      <c r="H93" s="10">
        <f>SUM('LNG trains calc'!$B93:$U93)-SUMIF('LNG trains calc'!$B$3:$U$3,"Corpus Christi",'LNG trains calc'!$B93:$U93)-SUMIF('LNG trains calc'!$B$3:$U$3,"Freeport",'LNG trains calc'!$B93:$U93)-E93-F93-G93</f>
        <v/>
      </c>
      <c r="I93" s="10">
        <f>SUM(C93:H93)</f>
        <v/>
      </c>
      <c r="J93" s="10">
        <f>'Assump - LNG'!$B$35*INDEX('Assump - LNG'!$D$38:$D$49,MONTH($A93))+SUMIF('LNG trains calc'!$V$3:$AO$3,"Corpus Christi",'LNG trains calc'!$V93:$AO93)</f>
        <v/>
      </c>
      <c r="K93" s="10">
        <f>'Assump - LNG'!$C$35*INDEX('Assump - LNG'!$G$38:$G$49,MONTH($A93))+SUMIF('LNG trains calc'!$V$3:$AO$3,"Freeport",'LNG trains calc'!$V93:$AO93)</f>
        <v/>
      </c>
      <c r="L93" s="10">
        <f>SUMIF('LNG trains calc'!$V$3:$AO$3,"Golden Pass",'LNG trains calc'!$V93:$AO93)</f>
        <v/>
      </c>
      <c r="M93" s="10">
        <f>SUMIF('LNG trains calc'!$V$3:$AO$3,"Rio Grande",'LNG trains calc'!$V93:$AO93)</f>
        <v/>
      </c>
      <c r="N93" s="10">
        <f>SUMIF('LNG trains calc'!$V$3:$AO$3,"Port Arthur",'LNG trains calc'!$V93:$AO93)</f>
        <v/>
      </c>
      <c r="O93" s="10">
        <f>SUM('LNG trains calc'!$V93:$AO93)-SUMIF('LNG trains calc'!$V$3:$AO$3,"Corpus Christi",'LNG trains calc'!$V93:$AO93)-SUMIF('LNG trains calc'!$V$3:$AO$3,"Freeport",'LNG trains calc'!$V93:$AO93)-L93-M93-N93</f>
        <v/>
      </c>
      <c r="P93" s="10">
        <f>SUM(J93:O93)</f>
        <v/>
      </c>
      <c r="Q93" s="10">
        <f>I93/'Assump - LNG'!$B$5</f>
        <v/>
      </c>
      <c r="R93" s="10">
        <f>P93/'Assump - LNG'!$B$5</f>
        <v/>
      </c>
      <c r="S93" s="10" t="n">
        <v>4.495762034023503</v>
      </c>
      <c r="T93" s="10" t="n">
        <v>5.725619356997369</v>
      </c>
      <c r="U93" s="10" t="n">
        <v>0.3095091639611158</v>
      </c>
      <c r="V93" s="10" t="n">
        <v>0.4307663539860483</v>
      </c>
      <c r="W93" s="10" t="n">
        <v>0.00638141081335423</v>
      </c>
      <c r="X93" s="10">
        <f>SUM(S93:W93)</f>
        <v/>
      </c>
      <c r="Y93" s="10" t="n">
        <v>2.926172373492228</v>
      </c>
      <c r="Z93" s="10">
        <f>X93+I93</f>
        <v/>
      </c>
      <c r="AA93" s="10">
        <f>X93+P93</f>
        <v/>
      </c>
    </row>
    <row r="94">
      <c r="A94" s="12" t="n">
        <v>46874</v>
      </c>
      <c r="B94" t="inlineStr">
        <is>
          <t>Forecast</t>
        </is>
      </c>
      <c r="C94" s="10">
        <f>'Assump - LNG'!$B$35*INDEX('Assump - LNG'!$D$38:$D$49,MONTH($A94))+SUMIF('LNG trains calc'!$B$3:$U$3,"Corpus Christi",'LNG trains calc'!$B94:$U94)</f>
        <v/>
      </c>
      <c r="D94" s="10">
        <f>'Assump - LNG'!$C$35*INDEX('Assump - LNG'!$G$38:$G$49,MONTH($A94))+SUMIF('LNG trains calc'!$B$3:$U$3,"Freeport",'LNG trains calc'!$B94:$U94)</f>
        <v/>
      </c>
      <c r="E94" s="10">
        <f>SUMIF('LNG trains calc'!$B$3:$U$3,"Golden Pass",'LNG trains calc'!$B94:$U94)</f>
        <v/>
      </c>
      <c r="F94" s="10">
        <f>SUMIF('LNG trains calc'!$B$3:$U$3,"Rio Grande",'LNG trains calc'!$B94:$U94)</f>
        <v/>
      </c>
      <c r="G94" s="10">
        <f>SUMIF('LNG trains calc'!$B$3:$U$3,"Port Arthur",'LNG trains calc'!$B94:$U94)</f>
        <v/>
      </c>
      <c r="H94" s="10">
        <f>SUM('LNG trains calc'!$B94:$U94)-SUMIF('LNG trains calc'!$B$3:$U$3,"Corpus Christi",'LNG trains calc'!$B94:$U94)-SUMIF('LNG trains calc'!$B$3:$U$3,"Freeport",'LNG trains calc'!$B94:$U94)-E94-F94-G94</f>
        <v/>
      </c>
      <c r="I94" s="10">
        <f>SUM(C94:H94)</f>
        <v/>
      </c>
      <c r="J94" s="10">
        <f>'Assump - LNG'!$B$35*INDEX('Assump - LNG'!$D$38:$D$49,MONTH($A94))+SUMIF('LNG trains calc'!$V$3:$AO$3,"Corpus Christi",'LNG trains calc'!$V94:$AO94)</f>
        <v/>
      </c>
      <c r="K94" s="10">
        <f>'Assump - LNG'!$C$35*INDEX('Assump - LNG'!$G$38:$G$49,MONTH($A94))+SUMIF('LNG trains calc'!$V$3:$AO$3,"Freeport",'LNG trains calc'!$V94:$AO94)</f>
        <v/>
      </c>
      <c r="L94" s="10">
        <f>SUMIF('LNG trains calc'!$V$3:$AO$3,"Golden Pass",'LNG trains calc'!$V94:$AO94)</f>
        <v/>
      </c>
      <c r="M94" s="10">
        <f>SUMIF('LNG trains calc'!$V$3:$AO$3,"Rio Grande",'LNG trains calc'!$V94:$AO94)</f>
        <v/>
      </c>
      <c r="N94" s="10">
        <f>SUMIF('LNG trains calc'!$V$3:$AO$3,"Port Arthur",'LNG trains calc'!$V94:$AO94)</f>
        <v/>
      </c>
      <c r="O94" s="10">
        <f>SUM('LNG trains calc'!$V94:$AO94)-SUMIF('LNG trains calc'!$V$3:$AO$3,"Corpus Christi",'LNG trains calc'!$V94:$AO94)-SUMIF('LNG trains calc'!$V$3:$AO$3,"Freeport",'LNG trains calc'!$V94:$AO94)-L94-M94-N94</f>
        <v/>
      </c>
      <c r="P94" s="10">
        <f>SUM(J94:O94)</f>
        <v/>
      </c>
      <c r="Q94" s="10">
        <f>I94/'Assump - LNG'!$B$5</f>
        <v/>
      </c>
      <c r="R94" s="10">
        <f>P94/'Assump - LNG'!$B$5</f>
        <v/>
      </c>
      <c r="S94" s="10" t="n">
        <v>5.792966830004295</v>
      </c>
      <c r="T94" s="10" t="n">
        <v>5.596993586952225</v>
      </c>
      <c r="U94" s="10" t="n">
        <v>0.2143567350080206</v>
      </c>
      <c r="V94" s="10" t="n">
        <v>0.3618820459787971</v>
      </c>
      <c r="W94" s="10" t="n">
        <v>0.006368304114801937</v>
      </c>
      <c r="X94" s="10">
        <f>SUM(S94:W94)</f>
        <v/>
      </c>
      <c r="Y94" s="10" t="n">
        <v>3.180382741041683</v>
      </c>
      <c r="Z94" s="10">
        <f>X94+I94</f>
        <v/>
      </c>
      <c r="AA94" s="10">
        <f>X94+P94</f>
        <v/>
      </c>
    </row>
    <row r="95">
      <c r="A95" s="12" t="n">
        <v>46905</v>
      </c>
      <c r="B95" t="inlineStr">
        <is>
          <t>Forecast</t>
        </is>
      </c>
      <c r="C95" s="10">
        <f>'Assump - LNG'!$B$35*INDEX('Assump - LNG'!$D$38:$D$49,MONTH($A95))+SUMIF('LNG trains calc'!$B$3:$U$3,"Corpus Christi",'LNG trains calc'!$B95:$U95)</f>
        <v/>
      </c>
      <c r="D95" s="10">
        <f>'Assump - LNG'!$C$35*INDEX('Assump - LNG'!$G$38:$G$49,MONTH($A95))+SUMIF('LNG trains calc'!$B$3:$U$3,"Freeport",'LNG trains calc'!$B95:$U95)</f>
        <v/>
      </c>
      <c r="E95" s="10">
        <f>SUMIF('LNG trains calc'!$B$3:$U$3,"Golden Pass",'LNG trains calc'!$B95:$U95)</f>
        <v/>
      </c>
      <c r="F95" s="10">
        <f>SUMIF('LNG trains calc'!$B$3:$U$3,"Rio Grande",'LNG trains calc'!$B95:$U95)</f>
        <v/>
      </c>
      <c r="G95" s="10">
        <f>SUMIF('LNG trains calc'!$B$3:$U$3,"Port Arthur",'LNG trains calc'!$B95:$U95)</f>
        <v/>
      </c>
      <c r="H95" s="10">
        <f>SUM('LNG trains calc'!$B95:$U95)-SUMIF('LNG trains calc'!$B$3:$U$3,"Corpus Christi",'LNG trains calc'!$B95:$U95)-SUMIF('LNG trains calc'!$B$3:$U$3,"Freeport",'LNG trains calc'!$B95:$U95)-E95-F95-G95</f>
        <v/>
      </c>
      <c r="I95" s="10">
        <f>SUM(C95:H95)</f>
        <v/>
      </c>
      <c r="J95" s="10">
        <f>'Assump - LNG'!$B$35*INDEX('Assump - LNG'!$D$38:$D$49,MONTH($A95))+SUMIF('LNG trains calc'!$V$3:$AO$3,"Corpus Christi",'LNG trains calc'!$V95:$AO95)</f>
        <v/>
      </c>
      <c r="K95" s="10">
        <f>'Assump - LNG'!$C$35*INDEX('Assump - LNG'!$G$38:$G$49,MONTH($A95))+SUMIF('LNG trains calc'!$V$3:$AO$3,"Freeport",'LNG trains calc'!$V95:$AO95)</f>
        <v/>
      </c>
      <c r="L95" s="10">
        <f>SUMIF('LNG trains calc'!$V$3:$AO$3,"Golden Pass",'LNG trains calc'!$V95:$AO95)</f>
        <v/>
      </c>
      <c r="M95" s="10">
        <f>SUMIF('LNG trains calc'!$V$3:$AO$3,"Rio Grande",'LNG trains calc'!$V95:$AO95)</f>
        <v/>
      </c>
      <c r="N95" s="10">
        <f>SUMIF('LNG trains calc'!$V$3:$AO$3,"Port Arthur",'LNG trains calc'!$V95:$AO95)</f>
        <v/>
      </c>
      <c r="O95" s="10">
        <f>SUM('LNG trains calc'!$V95:$AO95)-SUMIF('LNG trains calc'!$V$3:$AO$3,"Corpus Christi",'LNG trains calc'!$V95:$AO95)-SUMIF('LNG trains calc'!$V$3:$AO$3,"Freeport",'LNG trains calc'!$V95:$AO95)-L95-M95-N95</f>
        <v/>
      </c>
      <c r="P95" s="10">
        <f>SUM(J95:O95)</f>
        <v/>
      </c>
      <c r="Q95" s="10">
        <f>I95/'Assump - LNG'!$B$5</f>
        <v/>
      </c>
      <c r="R95" s="10">
        <f>P95/'Assump - LNG'!$B$5</f>
        <v/>
      </c>
      <c r="S95" s="10" t="n">
        <v>6.680486736221694</v>
      </c>
      <c r="T95" s="10" t="n">
        <v>5.659067941972197</v>
      </c>
      <c r="U95" s="10" t="n">
        <v>0.2039075184487921</v>
      </c>
      <c r="V95" s="10" t="n">
        <v>0.3646025875132291</v>
      </c>
      <c r="W95" s="10" t="n">
        <v>0.006349097450035356</v>
      </c>
      <c r="X95" s="10">
        <f>SUM(S95:W95)</f>
        <v/>
      </c>
      <c r="Y95" s="10" t="n">
        <v>3.118689989997125</v>
      </c>
      <c r="Z95" s="10">
        <f>X95+I95</f>
        <v/>
      </c>
      <c r="AA95" s="10">
        <f>X95+P95</f>
        <v/>
      </c>
    </row>
    <row r="96">
      <c r="A96" s="12" t="n">
        <v>46935</v>
      </c>
      <c r="B96" t="inlineStr">
        <is>
          <t>Forecast</t>
        </is>
      </c>
      <c r="C96" s="10">
        <f>'Assump - LNG'!$B$35*INDEX('Assump - LNG'!$D$38:$D$49,MONTH($A96))+SUMIF('LNG trains calc'!$B$3:$U$3,"Corpus Christi",'LNG trains calc'!$B96:$U96)</f>
        <v/>
      </c>
      <c r="D96" s="10">
        <f>'Assump - LNG'!$C$35*INDEX('Assump - LNG'!$G$38:$G$49,MONTH($A96))+SUMIF('LNG trains calc'!$B$3:$U$3,"Freeport",'LNG trains calc'!$B96:$U96)</f>
        <v/>
      </c>
      <c r="E96" s="10">
        <f>SUMIF('LNG trains calc'!$B$3:$U$3,"Golden Pass",'LNG trains calc'!$B96:$U96)</f>
        <v/>
      </c>
      <c r="F96" s="10">
        <f>SUMIF('LNG trains calc'!$B$3:$U$3,"Rio Grande",'LNG trains calc'!$B96:$U96)</f>
        <v/>
      </c>
      <c r="G96" s="10">
        <f>SUMIF('LNG trains calc'!$B$3:$U$3,"Port Arthur",'LNG trains calc'!$B96:$U96)</f>
        <v/>
      </c>
      <c r="H96" s="10">
        <f>SUM('LNG trains calc'!$B96:$U96)-SUMIF('LNG trains calc'!$B$3:$U$3,"Corpus Christi",'LNG trains calc'!$B96:$U96)-SUMIF('LNG trains calc'!$B$3:$U$3,"Freeport",'LNG trains calc'!$B96:$U96)-E96-F96-G96</f>
        <v/>
      </c>
      <c r="I96" s="10">
        <f>SUM(C96:H96)</f>
        <v/>
      </c>
      <c r="J96" s="10">
        <f>'Assump - LNG'!$B$35*INDEX('Assump - LNG'!$D$38:$D$49,MONTH($A96))+SUMIF('LNG trains calc'!$V$3:$AO$3,"Corpus Christi",'LNG trains calc'!$V96:$AO96)</f>
        <v/>
      </c>
      <c r="K96" s="10">
        <f>'Assump - LNG'!$C$35*INDEX('Assump - LNG'!$G$38:$G$49,MONTH($A96))+SUMIF('LNG trains calc'!$V$3:$AO$3,"Freeport",'LNG trains calc'!$V96:$AO96)</f>
        <v/>
      </c>
      <c r="L96" s="10">
        <f>SUMIF('LNG trains calc'!$V$3:$AO$3,"Golden Pass",'LNG trains calc'!$V96:$AO96)</f>
        <v/>
      </c>
      <c r="M96" s="10">
        <f>SUMIF('LNG trains calc'!$V$3:$AO$3,"Rio Grande",'LNG trains calc'!$V96:$AO96)</f>
        <v/>
      </c>
      <c r="N96" s="10">
        <f>SUMIF('LNG trains calc'!$V$3:$AO$3,"Port Arthur",'LNG trains calc'!$V96:$AO96)</f>
        <v/>
      </c>
      <c r="O96" s="10">
        <f>SUM('LNG trains calc'!$V96:$AO96)-SUMIF('LNG trains calc'!$V$3:$AO$3,"Corpus Christi",'LNG trains calc'!$V96:$AO96)-SUMIF('LNG trains calc'!$V$3:$AO$3,"Freeport",'LNG trains calc'!$V96:$AO96)-L96-M96-N96</f>
        <v/>
      </c>
      <c r="P96" s="10">
        <f>SUM(J96:O96)</f>
        <v/>
      </c>
      <c r="Q96" s="10">
        <f>I96/'Assump - LNG'!$B$5</f>
        <v/>
      </c>
      <c r="R96" s="10">
        <f>P96/'Assump - LNG'!$B$5</f>
        <v/>
      </c>
      <c r="S96" s="10" t="n">
        <v>7.270704077454631</v>
      </c>
      <c r="T96" s="10" t="n">
        <v>5.645119370491005</v>
      </c>
      <c r="U96" s="10" t="n">
        <v>0.1905884225703777</v>
      </c>
      <c r="V96" s="10" t="n">
        <v>0.3484381238751906</v>
      </c>
      <c r="W96" s="10" t="n">
        <v>0.006336057119489233</v>
      </c>
      <c r="X96" s="10">
        <f>SUM(S96:W96)</f>
        <v/>
      </c>
      <c r="Y96" s="10" t="n">
        <v>2.976157804314986</v>
      </c>
      <c r="Z96" s="10">
        <f>X96+I96</f>
        <v/>
      </c>
      <c r="AA96" s="10">
        <f>X96+P96</f>
        <v/>
      </c>
    </row>
    <row r="97">
      <c r="A97" s="12" t="n">
        <v>46966</v>
      </c>
      <c r="B97" t="inlineStr">
        <is>
          <t>Forecast</t>
        </is>
      </c>
      <c r="C97" s="10">
        <f>'Assump - LNG'!$B$35*INDEX('Assump - LNG'!$D$38:$D$49,MONTH($A97))+SUMIF('LNG trains calc'!$B$3:$U$3,"Corpus Christi",'LNG trains calc'!$B97:$U97)</f>
        <v/>
      </c>
      <c r="D97" s="10">
        <f>'Assump - LNG'!$C$35*INDEX('Assump - LNG'!$G$38:$G$49,MONTH($A97))+SUMIF('LNG trains calc'!$B$3:$U$3,"Freeport",'LNG trains calc'!$B97:$U97)</f>
        <v/>
      </c>
      <c r="E97" s="10">
        <f>SUMIF('LNG trains calc'!$B$3:$U$3,"Golden Pass",'LNG trains calc'!$B97:$U97)</f>
        <v/>
      </c>
      <c r="F97" s="10">
        <f>SUMIF('LNG trains calc'!$B$3:$U$3,"Rio Grande",'LNG trains calc'!$B97:$U97)</f>
        <v/>
      </c>
      <c r="G97" s="10">
        <f>SUMIF('LNG trains calc'!$B$3:$U$3,"Port Arthur",'LNG trains calc'!$B97:$U97)</f>
        <v/>
      </c>
      <c r="H97" s="10">
        <f>SUM('LNG trains calc'!$B97:$U97)-SUMIF('LNG trains calc'!$B$3:$U$3,"Corpus Christi",'LNG trains calc'!$B97:$U97)-SUMIF('LNG trains calc'!$B$3:$U$3,"Freeport",'LNG trains calc'!$B97:$U97)-E97-F97-G97</f>
        <v/>
      </c>
      <c r="I97" s="10">
        <f>SUM(C97:H97)</f>
        <v/>
      </c>
      <c r="J97" s="10">
        <f>'Assump - LNG'!$B$35*INDEX('Assump - LNG'!$D$38:$D$49,MONTH($A97))+SUMIF('LNG trains calc'!$V$3:$AO$3,"Corpus Christi",'LNG trains calc'!$V97:$AO97)</f>
        <v/>
      </c>
      <c r="K97" s="10">
        <f>'Assump - LNG'!$C$35*INDEX('Assump - LNG'!$G$38:$G$49,MONTH($A97))+SUMIF('LNG trains calc'!$V$3:$AO$3,"Freeport",'LNG trains calc'!$V97:$AO97)</f>
        <v/>
      </c>
      <c r="L97" s="10">
        <f>SUMIF('LNG trains calc'!$V$3:$AO$3,"Golden Pass",'LNG trains calc'!$V97:$AO97)</f>
        <v/>
      </c>
      <c r="M97" s="10">
        <f>SUMIF('LNG trains calc'!$V$3:$AO$3,"Rio Grande",'LNG trains calc'!$V97:$AO97)</f>
        <v/>
      </c>
      <c r="N97" s="10">
        <f>SUMIF('LNG trains calc'!$V$3:$AO$3,"Port Arthur",'LNG trains calc'!$V97:$AO97)</f>
        <v/>
      </c>
      <c r="O97" s="10">
        <f>SUM('LNG trains calc'!$V97:$AO97)-SUMIF('LNG trains calc'!$V$3:$AO$3,"Corpus Christi",'LNG trains calc'!$V97:$AO97)-SUMIF('LNG trains calc'!$V$3:$AO$3,"Freeport",'LNG trains calc'!$V97:$AO97)-L97-M97-N97</f>
        <v/>
      </c>
      <c r="P97" s="10">
        <f>SUM(J97:O97)</f>
        <v/>
      </c>
      <c r="Q97" s="10">
        <f>I97/'Assump - LNG'!$B$5</f>
        <v/>
      </c>
      <c r="R97" s="10">
        <f>P97/'Assump - LNG'!$B$5</f>
        <v/>
      </c>
      <c r="S97" s="10" t="n">
        <v>8.161645258862009</v>
      </c>
      <c r="T97" s="10" t="n">
        <v>5.710923844909262</v>
      </c>
      <c r="U97" s="10" t="n">
        <v>0.1674319187008908</v>
      </c>
      <c r="V97" s="10" t="n">
        <v>0.3396599301141548</v>
      </c>
      <c r="W97" s="10" t="n">
        <v>0.004937972511492646</v>
      </c>
      <c r="X97" s="10">
        <f>SUM(S97:W97)</f>
        <v/>
      </c>
      <c r="Y97" s="10" t="n">
        <v>3.045932217645071</v>
      </c>
      <c r="Z97" s="10">
        <f>X97+I97</f>
        <v/>
      </c>
      <c r="AA97" s="10">
        <f>X97+P97</f>
        <v/>
      </c>
    </row>
    <row r="98">
      <c r="A98" s="12" t="n">
        <v>46997</v>
      </c>
      <c r="B98" t="inlineStr">
        <is>
          <t>Forecast</t>
        </is>
      </c>
      <c r="C98" s="10">
        <f>'Assump - LNG'!$B$35*INDEX('Assump - LNG'!$D$38:$D$49,MONTH($A98))+SUMIF('LNG trains calc'!$B$3:$U$3,"Corpus Christi",'LNG trains calc'!$B98:$U98)</f>
        <v/>
      </c>
      <c r="D98" s="10">
        <f>'Assump - LNG'!$C$35*INDEX('Assump - LNG'!$G$38:$G$49,MONTH($A98))+SUMIF('LNG trains calc'!$B$3:$U$3,"Freeport",'LNG trains calc'!$B98:$U98)</f>
        <v/>
      </c>
      <c r="E98" s="10">
        <f>SUMIF('LNG trains calc'!$B$3:$U$3,"Golden Pass",'LNG trains calc'!$B98:$U98)</f>
        <v/>
      </c>
      <c r="F98" s="10">
        <f>SUMIF('LNG trains calc'!$B$3:$U$3,"Rio Grande",'LNG trains calc'!$B98:$U98)</f>
        <v/>
      </c>
      <c r="G98" s="10">
        <f>SUMIF('LNG trains calc'!$B$3:$U$3,"Port Arthur",'LNG trains calc'!$B98:$U98)</f>
        <v/>
      </c>
      <c r="H98" s="10">
        <f>SUM('LNG trains calc'!$B98:$U98)-SUMIF('LNG trains calc'!$B$3:$U$3,"Corpus Christi",'LNG trains calc'!$B98:$U98)-SUMIF('LNG trains calc'!$B$3:$U$3,"Freeport",'LNG trains calc'!$B98:$U98)-E98-F98-G98</f>
        <v/>
      </c>
      <c r="I98" s="10">
        <f>SUM(C98:H98)</f>
        <v/>
      </c>
      <c r="J98" s="10">
        <f>'Assump - LNG'!$B$35*INDEX('Assump - LNG'!$D$38:$D$49,MONTH($A98))+SUMIF('LNG trains calc'!$V$3:$AO$3,"Corpus Christi",'LNG trains calc'!$V98:$AO98)</f>
        <v/>
      </c>
      <c r="K98" s="10">
        <f>'Assump - LNG'!$C$35*INDEX('Assump - LNG'!$G$38:$G$49,MONTH($A98))+SUMIF('LNG trains calc'!$V$3:$AO$3,"Freeport",'LNG trains calc'!$V98:$AO98)</f>
        <v/>
      </c>
      <c r="L98" s="10">
        <f>SUMIF('LNG trains calc'!$V$3:$AO$3,"Golden Pass",'LNG trains calc'!$V98:$AO98)</f>
        <v/>
      </c>
      <c r="M98" s="10">
        <f>SUMIF('LNG trains calc'!$V$3:$AO$3,"Rio Grande",'LNG trains calc'!$V98:$AO98)</f>
        <v/>
      </c>
      <c r="N98" s="10">
        <f>SUMIF('LNG trains calc'!$V$3:$AO$3,"Port Arthur",'LNG trains calc'!$V98:$AO98)</f>
        <v/>
      </c>
      <c r="O98" s="10">
        <f>SUM('LNG trains calc'!$V98:$AO98)-SUMIF('LNG trains calc'!$V$3:$AO$3,"Corpus Christi",'LNG trains calc'!$V98:$AO98)-SUMIF('LNG trains calc'!$V$3:$AO$3,"Freeport",'LNG trains calc'!$V98:$AO98)-L98-M98-N98</f>
        <v/>
      </c>
      <c r="P98" s="10">
        <f>SUM(J98:O98)</f>
        <v/>
      </c>
      <c r="Q98" s="10">
        <f>I98/'Assump - LNG'!$B$5</f>
        <v/>
      </c>
      <c r="R98" s="10">
        <f>P98/'Assump - LNG'!$B$5</f>
        <v/>
      </c>
      <c r="S98" s="10" t="n">
        <v>6.918029331066658</v>
      </c>
      <c r="T98" s="10" t="n">
        <v>5.685496361522128</v>
      </c>
      <c r="U98" s="10" t="n">
        <v>0.1647016037759739</v>
      </c>
      <c r="V98" s="10" t="n">
        <v>0.3479485724990113</v>
      </c>
      <c r="W98" s="10" t="n">
        <v>0.004916590035381976</v>
      </c>
      <c r="X98" s="10">
        <f>SUM(S98:W98)</f>
        <v/>
      </c>
      <c r="Y98" s="10" t="n">
        <v>2.867294580756643</v>
      </c>
      <c r="Z98" s="10">
        <f>X98+I98</f>
        <v/>
      </c>
      <c r="AA98" s="10">
        <f>X98+P98</f>
        <v/>
      </c>
    </row>
    <row r="99">
      <c r="A99" s="12" t="n">
        <v>47027</v>
      </c>
      <c r="B99" t="inlineStr">
        <is>
          <t>Forecast</t>
        </is>
      </c>
      <c r="C99" s="10">
        <f>'Assump - LNG'!$B$35*INDEX('Assump - LNG'!$D$38:$D$49,MONTH($A99))+SUMIF('LNG trains calc'!$B$3:$U$3,"Corpus Christi",'LNG trains calc'!$B99:$U99)</f>
        <v/>
      </c>
      <c r="D99" s="10">
        <f>'Assump - LNG'!$C$35*INDEX('Assump - LNG'!$G$38:$G$49,MONTH($A99))+SUMIF('LNG trains calc'!$B$3:$U$3,"Freeport",'LNG trains calc'!$B99:$U99)</f>
        <v/>
      </c>
      <c r="E99" s="10">
        <f>SUMIF('LNG trains calc'!$B$3:$U$3,"Golden Pass",'LNG trains calc'!$B99:$U99)</f>
        <v/>
      </c>
      <c r="F99" s="10">
        <f>SUMIF('LNG trains calc'!$B$3:$U$3,"Rio Grande",'LNG trains calc'!$B99:$U99)</f>
        <v/>
      </c>
      <c r="G99" s="10">
        <f>SUMIF('LNG trains calc'!$B$3:$U$3,"Port Arthur",'LNG trains calc'!$B99:$U99)</f>
        <v/>
      </c>
      <c r="H99" s="10">
        <f>SUM('LNG trains calc'!$B99:$U99)-SUMIF('LNG trains calc'!$B$3:$U$3,"Corpus Christi",'LNG trains calc'!$B99:$U99)-SUMIF('LNG trains calc'!$B$3:$U$3,"Freeport",'LNG trains calc'!$B99:$U99)-E99-F99-G99</f>
        <v/>
      </c>
      <c r="I99" s="10">
        <f>SUM(C99:H99)</f>
        <v/>
      </c>
      <c r="J99" s="10">
        <f>'Assump - LNG'!$B$35*INDEX('Assump - LNG'!$D$38:$D$49,MONTH($A99))+SUMIF('LNG trains calc'!$V$3:$AO$3,"Corpus Christi",'LNG trains calc'!$V99:$AO99)</f>
        <v/>
      </c>
      <c r="K99" s="10">
        <f>'Assump - LNG'!$C$35*INDEX('Assump - LNG'!$G$38:$G$49,MONTH($A99))+SUMIF('LNG trains calc'!$V$3:$AO$3,"Freeport",'LNG trains calc'!$V99:$AO99)</f>
        <v/>
      </c>
      <c r="L99" s="10">
        <f>SUMIF('LNG trains calc'!$V$3:$AO$3,"Golden Pass",'LNG trains calc'!$V99:$AO99)</f>
        <v/>
      </c>
      <c r="M99" s="10">
        <f>SUMIF('LNG trains calc'!$V$3:$AO$3,"Rio Grande",'LNG trains calc'!$V99:$AO99)</f>
        <v/>
      </c>
      <c r="N99" s="10">
        <f>SUMIF('LNG trains calc'!$V$3:$AO$3,"Port Arthur",'LNG trains calc'!$V99:$AO99)</f>
        <v/>
      </c>
      <c r="O99" s="10">
        <f>SUM('LNG trains calc'!$V99:$AO99)-SUMIF('LNG trains calc'!$V$3:$AO$3,"Corpus Christi",'LNG trains calc'!$V99:$AO99)-SUMIF('LNG trains calc'!$V$3:$AO$3,"Freeport",'LNG trains calc'!$V99:$AO99)-L99-M99-N99</f>
        <v/>
      </c>
      <c r="P99" s="10">
        <f>SUM(J99:O99)</f>
        <v/>
      </c>
      <c r="Q99" s="10">
        <f>I99/'Assump - LNG'!$B$5</f>
        <v/>
      </c>
      <c r="R99" s="10">
        <f>P99/'Assump - LNG'!$B$5</f>
        <v/>
      </c>
      <c r="S99" s="10" t="n">
        <v>5.436307874895696</v>
      </c>
      <c r="T99" s="10" t="n">
        <v>5.535716984954465</v>
      </c>
      <c r="U99" s="10" t="n">
        <v>0.2285915152430072</v>
      </c>
      <c r="V99" s="10" t="n">
        <v>0.3809684820668436</v>
      </c>
      <c r="W99" s="10" t="n">
        <v>0.004912968244491286</v>
      </c>
      <c r="X99" s="10">
        <f>SUM(S99:W99)</f>
        <v/>
      </c>
      <c r="Y99" s="10" t="n">
        <v>2.735102250289116</v>
      </c>
      <c r="Z99" s="10">
        <f>X99+I99</f>
        <v/>
      </c>
      <c r="AA99" s="10">
        <f>X99+P99</f>
        <v/>
      </c>
    </row>
    <row r="100">
      <c r="A100" s="12" t="n">
        <v>47058</v>
      </c>
      <c r="B100" t="inlineStr">
        <is>
          <t>Forecast</t>
        </is>
      </c>
      <c r="C100" s="10">
        <f>'Assump - LNG'!$B$35*INDEX('Assump - LNG'!$D$38:$D$49,MONTH($A100))+SUMIF('LNG trains calc'!$B$3:$U$3,"Corpus Christi",'LNG trains calc'!$B100:$U100)</f>
        <v/>
      </c>
      <c r="D100" s="10">
        <f>'Assump - LNG'!$C$35*INDEX('Assump - LNG'!$G$38:$G$49,MONTH($A100))+SUMIF('LNG trains calc'!$B$3:$U$3,"Freeport",'LNG trains calc'!$B100:$U100)</f>
        <v/>
      </c>
      <c r="E100" s="10">
        <f>SUMIF('LNG trains calc'!$B$3:$U$3,"Golden Pass",'LNG trains calc'!$B100:$U100)</f>
        <v/>
      </c>
      <c r="F100" s="10">
        <f>SUMIF('LNG trains calc'!$B$3:$U$3,"Rio Grande",'LNG trains calc'!$B100:$U100)</f>
        <v/>
      </c>
      <c r="G100" s="10">
        <f>SUMIF('LNG trains calc'!$B$3:$U$3,"Port Arthur",'LNG trains calc'!$B100:$U100)</f>
        <v/>
      </c>
      <c r="H100" s="10">
        <f>SUM('LNG trains calc'!$B100:$U100)-SUMIF('LNG trains calc'!$B$3:$U$3,"Corpus Christi",'LNG trains calc'!$B100:$U100)-SUMIF('LNG trains calc'!$B$3:$U$3,"Freeport",'LNG trains calc'!$B100:$U100)-E100-F100-G100</f>
        <v/>
      </c>
      <c r="I100" s="10">
        <f>SUM(C100:H100)</f>
        <v/>
      </c>
      <c r="J100" s="10">
        <f>'Assump - LNG'!$B$35*INDEX('Assump - LNG'!$D$38:$D$49,MONTH($A100))+SUMIF('LNG trains calc'!$V$3:$AO$3,"Corpus Christi",'LNG trains calc'!$V100:$AO100)</f>
        <v/>
      </c>
      <c r="K100" s="10">
        <f>'Assump - LNG'!$C$35*INDEX('Assump - LNG'!$G$38:$G$49,MONTH($A100))+SUMIF('LNG trains calc'!$V$3:$AO$3,"Freeport",'LNG trains calc'!$V100:$AO100)</f>
        <v/>
      </c>
      <c r="L100" s="10">
        <f>SUMIF('LNG trains calc'!$V$3:$AO$3,"Golden Pass",'LNG trains calc'!$V100:$AO100)</f>
        <v/>
      </c>
      <c r="M100" s="10">
        <f>SUMIF('LNG trains calc'!$V$3:$AO$3,"Rio Grande",'LNG trains calc'!$V100:$AO100)</f>
        <v/>
      </c>
      <c r="N100" s="10">
        <f>SUMIF('LNG trains calc'!$V$3:$AO$3,"Port Arthur",'LNG trains calc'!$V100:$AO100)</f>
        <v/>
      </c>
      <c r="O100" s="10">
        <f>SUM('LNG trains calc'!$V100:$AO100)-SUMIF('LNG trains calc'!$V$3:$AO$3,"Corpus Christi",'LNG trains calc'!$V100:$AO100)-SUMIF('LNG trains calc'!$V$3:$AO$3,"Freeport",'LNG trains calc'!$V100:$AO100)-L100-M100-N100</f>
        <v/>
      </c>
      <c r="P100" s="10">
        <f>SUM(J100:O100)</f>
        <v/>
      </c>
      <c r="Q100" s="10">
        <f>I100/'Assump - LNG'!$B$5</f>
        <v/>
      </c>
      <c r="R100" s="10">
        <f>P100/'Assump - LNG'!$B$5</f>
        <v/>
      </c>
      <c r="S100" s="10" t="n">
        <v>4.645007511031529</v>
      </c>
      <c r="T100" s="10" t="n">
        <v>5.926410895787899</v>
      </c>
      <c r="U100" s="10" t="n">
        <v>0.4397364186666121</v>
      </c>
      <c r="V100" s="10" t="n">
        <v>0.4773825548164495</v>
      </c>
      <c r="W100" s="10" t="n">
        <v>0.004891694042199594</v>
      </c>
      <c r="X100" s="10">
        <f>SUM(S100:W100)</f>
        <v/>
      </c>
      <c r="Y100" s="10" t="n">
        <v>2.673277039427246</v>
      </c>
      <c r="Z100" s="10">
        <f>X100+I100</f>
        <v/>
      </c>
      <c r="AA100" s="10">
        <f>X100+P100</f>
        <v/>
      </c>
    </row>
    <row r="101">
      <c r="A101" s="12" t="n">
        <v>47088</v>
      </c>
      <c r="B101" t="inlineStr">
        <is>
          <t>Forecast</t>
        </is>
      </c>
      <c r="C101" s="10">
        <f>'Assump - LNG'!$B$35*INDEX('Assump - LNG'!$D$38:$D$49,MONTH($A101))+SUMIF('LNG trains calc'!$B$3:$U$3,"Corpus Christi",'LNG trains calc'!$B101:$U101)</f>
        <v/>
      </c>
      <c r="D101" s="10">
        <f>'Assump - LNG'!$C$35*INDEX('Assump - LNG'!$G$38:$G$49,MONTH($A101))+SUMIF('LNG trains calc'!$B$3:$U$3,"Freeport",'LNG trains calc'!$B101:$U101)</f>
        <v/>
      </c>
      <c r="E101" s="10">
        <f>SUMIF('LNG trains calc'!$B$3:$U$3,"Golden Pass",'LNG trains calc'!$B101:$U101)</f>
        <v/>
      </c>
      <c r="F101" s="10">
        <f>SUMIF('LNG trains calc'!$B$3:$U$3,"Rio Grande",'LNG trains calc'!$B101:$U101)</f>
        <v/>
      </c>
      <c r="G101" s="10">
        <f>SUMIF('LNG trains calc'!$B$3:$U$3,"Port Arthur",'LNG trains calc'!$B101:$U101)</f>
        <v/>
      </c>
      <c r="H101" s="10">
        <f>SUM('LNG trains calc'!$B101:$U101)-SUMIF('LNG trains calc'!$B$3:$U$3,"Corpus Christi",'LNG trains calc'!$B101:$U101)-SUMIF('LNG trains calc'!$B$3:$U$3,"Freeport",'LNG trains calc'!$B101:$U101)-E101-F101-G101</f>
        <v/>
      </c>
      <c r="I101" s="10">
        <f>SUM(C101:H101)</f>
        <v/>
      </c>
      <c r="J101" s="10">
        <f>'Assump - LNG'!$B$35*INDEX('Assump - LNG'!$D$38:$D$49,MONTH($A101))+SUMIF('LNG trains calc'!$V$3:$AO$3,"Corpus Christi",'LNG trains calc'!$V101:$AO101)</f>
        <v/>
      </c>
      <c r="K101" s="10">
        <f>'Assump - LNG'!$C$35*INDEX('Assump - LNG'!$G$38:$G$49,MONTH($A101))+SUMIF('LNG trains calc'!$V$3:$AO$3,"Freeport",'LNG trains calc'!$V101:$AO101)</f>
        <v/>
      </c>
      <c r="L101" s="10">
        <f>SUMIF('LNG trains calc'!$V$3:$AO$3,"Golden Pass",'LNG trains calc'!$V101:$AO101)</f>
        <v/>
      </c>
      <c r="M101" s="10">
        <f>SUMIF('LNG trains calc'!$V$3:$AO$3,"Rio Grande",'LNG trains calc'!$V101:$AO101)</f>
        <v/>
      </c>
      <c r="N101" s="10">
        <f>SUMIF('LNG trains calc'!$V$3:$AO$3,"Port Arthur",'LNG trains calc'!$V101:$AO101)</f>
        <v/>
      </c>
      <c r="O101" s="10">
        <f>SUM('LNG trains calc'!$V101:$AO101)-SUMIF('LNG trains calc'!$V$3:$AO$3,"Corpus Christi",'LNG trains calc'!$V101:$AO101)-SUMIF('LNG trains calc'!$V$3:$AO$3,"Freeport",'LNG trains calc'!$V101:$AO101)-L101-M101-N101</f>
        <v/>
      </c>
      <c r="P101" s="10">
        <f>SUM(J101:O101)</f>
        <v/>
      </c>
      <c r="Q101" s="10">
        <f>I101/'Assump - LNG'!$B$5</f>
        <v/>
      </c>
      <c r="R101" s="10">
        <f>P101/'Assump - LNG'!$B$5</f>
        <v/>
      </c>
      <c r="S101" s="10" t="n">
        <v>4.588742658117908</v>
      </c>
      <c r="T101" s="10" t="n">
        <v>6.127807724953939</v>
      </c>
      <c r="U101" s="10" t="n">
        <v>0.8109550021625722</v>
      </c>
      <c r="V101" s="10" t="n">
        <v>0.6085549143271148</v>
      </c>
      <c r="W101" s="10" t="n">
        <v>0.004888090590865522</v>
      </c>
      <c r="X101" s="10">
        <f>SUM(S101:W101)</f>
        <v/>
      </c>
      <c r="Y101" s="10" t="n">
        <v>2.55152783464158</v>
      </c>
      <c r="Z101" s="10">
        <f>X101+I101</f>
        <v/>
      </c>
      <c r="AA101" s="10">
        <f>X101+P101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O101"/>
  <sheetViews>
    <sheetView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</cols>
  <sheetData>
    <row r="1">
      <c r="A1" s="6" t="inlineStr">
        <is>
          <t>Feedgas by train, Bcf/d (formulas on 'Assump - LNG'; base block, then delayed block). Rows match the Forecast tab.</t>
        </is>
      </c>
    </row>
    <row r="3">
      <c r="A3" t="inlineStr">
        <is>
          <t>Plant</t>
        </is>
      </c>
      <c r="B3">
        <f>IF('Assump - LNG'!$A12="","",'Assump - LNG'!$A12)</f>
        <v/>
      </c>
      <c r="C3">
        <f>IF('Assump - LNG'!$A13="","",'Assump - LNG'!$A13)</f>
        <v/>
      </c>
      <c r="D3">
        <f>IF('Assump - LNG'!$A14="","",'Assump - LNG'!$A14)</f>
        <v/>
      </c>
      <c r="E3">
        <f>IF('Assump - LNG'!$A15="","",'Assump - LNG'!$A15)</f>
        <v/>
      </c>
      <c r="F3">
        <f>IF('Assump - LNG'!$A16="","",'Assump - LNG'!$A16)</f>
        <v/>
      </c>
      <c r="G3">
        <f>IF('Assump - LNG'!$A17="","",'Assump - LNG'!$A17)</f>
        <v/>
      </c>
      <c r="H3">
        <f>IF('Assump - LNG'!$A18="","",'Assump - LNG'!$A18)</f>
        <v/>
      </c>
      <c r="I3">
        <f>IF('Assump - LNG'!$A19="","",'Assump - LNG'!$A19)</f>
        <v/>
      </c>
      <c r="J3">
        <f>IF('Assump - LNG'!$A20="","",'Assump - LNG'!$A20)</f>
        <v/>
      </c>
      <c r="K3">
        <f>IF('Assump - LNG'!$A21="","",'Assump - LNG'!$A21)</f>
        <v/>
      </c>
      <c r="L3">
        <f>IF('Assump - LNG'!$A22="","",'Assump - LNG'!$A22)</f>
        <v/>
      </c>
      <c r="M3">
        <f>IF('Assump - LNG'!$A23="","",'Assump - LNG'!$A23)</f>
        <v/>
      </c>
      <c r="N3">
        <f>IF('Assump - LNG'!$A24="","",'Assump - LNG'!$A24)</f>
        <v/>
      </c>
      <c r="O3">
        <f>IF('Assump - LNG'!$A25="","",'Assump - LNG'!$A25)</f>
        <v/>
      </c>
      <c r="P3">
        <f>IF('Assump - LNG'!$A26="","",'Assump - LNG'!$A26)</f>
        <v/>
      </c>
      <c r="Q3">
        <f>IF('Assump - LNG'!$A27="","",'Assump - LNG'!$A27)</f>
        <v/>
      </c>
      <c r="R3">
        <f>IF('Assump - LNG'!$A28="","",'Assump - LNG'!$A28)</f>
        <v/>
      </c>
      <c r="S3">
        <f>IF('Assump - LNG'!$A29="","",'Assump - LNG'!$A29)</f>
        <v/>
      </c>
      <c r="T3">
        <f>IF('Assump - LNG'!$A30="","",'Assump - LNG'!$A30)</f>
        <v/>
      </c>
      <c r="U3">
        <f>IF('Assump - LNG'!$A31="","",'Assump - LNG'!$A31)</f>
        <v/>
      </c>
      <c r="V3">
        <f>IF('Assump - LNG'!$A12="","",'Assump - LNG'!$A12)</f>
        <v/>
      </c>
      <c r="W3">
        <f>IF('Assump - LNG'!$A13="","",'Assump - LNG'!$A13)</f>
        <v/>
      </c>
      <c r="X3">
        <f>IF('Assump - LNG'!$A14="","",'Assump - LNG'!$A14)</f>
        <v/>
      </c>
      <c r="Y3">
        <f>IF('Assump - LNG'!$A15="","",'Assump - LNG'!$A15)</f>
        <v/>
      </c>
      <c r="Z3">
        <f>IF('Assump - LNG'!$A16="","",'Assump - LNG'!$A16)</f>
        <v/>
      </c>
      <c r="AA3">
        <f>IF('Assump - LNG'!$A17="","",'Assump - LNG'!$A17)</f>
        <v/>
      </c>
      <c r="AB3">
        <f>IF('Assump - LNG'!$A18="","",'Assump - LNG'!$A18)</f>
        <v/>
      </c>
      <c r="AC3">
        <f>IF('Assump - LNG'!$A19="","",'Assump - LNG'!$A19)</f>
        <v/>
      </c>
      <c r="AD3">
        <f>IF('Assump - LNG'!$A20="","",'Assump - LNG'!$A20)</f>
        <v/>
      </c>
      <c r="AE3">
        <f>IF('Assump - LNG'!$A21="","",'Assump - LNG'!$A21)</f>
        <v/>
      </c>
      <c r="AF3">
        <f>IF('Assump - LNG'!$A22="","",'Assump - LNG'!$A22)</f>
        <v/>
      </c>
      <c r="AG3">
        <f>IF('Assump - LNG'!$A23="","",'Assump - LNG'!$A23)</f>
        <v/>
      </c>
      <c r="AH3">
        <f>IF('Assump - LNG'!$A24="","",'Assump - LNG'!$A24)</f>
        <v/>
      </c>
      <c r="AI3">
        <f>IF('Assump - LNG'!$A25="","",'Assump - LNG'!$A25)</f>
        <v/>
      </c>
      <c r="AJ3">
        <f>IF('Assump - LNG'!$A26="","",'Assump - LNG'!$A26)</f>
        <v/>
      </c>
      <c r="AK3">
        <f>IF('Assump - LNG'!$A27="","",'Assump - LNG'!$A27)</f>
        <v/>
      </c>
      <c r="AL3">
        <f>IF('Assump - LNG'!$A28="","",'Assump - LNG'!$A28)</f>
        <v/>
      </c>
      <c r="AM3">
        <f>IF('Assump - LNG'!$A29="","",'Assump - LNG'!$A29)</f>
        <v/>
      </c>
      <c r="AN3">
        <f>IF('Assump - LNG'!$A30="","",'Assump - LNG'!$A30)</f>
        <v/>
      </c>
      <c r="AO3">
        <f>IF('Assump - LNG'!$A31="","",'Assump - LNG'!$A31)</f>
        <v/>
      </c>
    </row>
    <row r="4">
      <c r="A4" t="inlineStr">
        <is>
          <t>Train</t>
        </is>
      </c>
      <c r="B4">
        <f>IF('Assump - LNG'!$B12="","",'Assump - LNG'!$B12)</f>
        <v/>
      </c>
      <c r="C4">
        <f>IF('Assump - LNG'!$B13="","",'Assump - LNG'!$B13)</f>
        <v/>
      </c>
      <c r="D4">
        <f>IF('Assump - LNG'!$B14="","",'Assump - LNG'!$B14)</f>
        <v/>
      </c>
      <c r="E4">
        <f>IF('Assump - LNG'!$B15="","",'Assump - LNG'!$B15)</f>
        <v/>
      </c>
      <c r="F4">
        <f>IF('Assump - LNG'!$B16="","",'Assump - LNG'!$B16)</f>
        <v/>
      </c>
      <c r="G4">
        <f>IF('Assump - LNG'!$B17="","",'Assump - LNG'!$B17)</f>
        <v/>
      </c>
      <c r="H4">
        <f>IF('Assump - LNG'!$B18="","",'Assump - LNG'!$B18)</f>
        <v/>
      </c>
      <c r="I4">
        <f>IF('Assump - LNG'!$B19="","",'Assump - LNG'!$B19)</f>
        <v/>
      </c>
      <c r="J4">
        <f>IF('Assump - LNG'!$B20="","",'Assump - LNG'!$B20)</f>
        <v/>
      </c>
      <c r="K4">
        <f>IF('Assump - LNG'!$B21="","",'Assump - LNG'!$B21)</f>
        <v/>
      </c>
      <c r="L4">
        <f>IF('Assump - LNG'!$B22="","",'Assump - LNG'!$B22)</f>
        <v/>
      </c>
      <c r="M4">
        <f>IF('Assump - LNG'!$B23="","",'Assump - LNG'!$B23)</f>
        <v/>
      </c>
      <c r="N4">
        <f>IF('Assump - LNG'!$B24="","",'Assump - LNG'!$B24)</f>
        <v/>
      </c>
      <c r="O4">
        <f>IF('Assump - LNG'!$B25="","",'Assump - LNG'!$B25)</f>
        <v/>
      </c>
      <c r="P4">
        <f>IF('Assump - LNG'!$B26="","",'Assump - LNG'!$B26)</f>
        <v/>
      </c>
      <c r="Q4">
        <f>IF('Assump - LNG'!$B27="","",'Assump - LNG'!$B27)</f>
        <v/>
      </c>
      <c r="R4">
        <f>IF('Assump - LNG'!$B28="","",'Assump - LNG'!$B28)</f>
        <v/>
      </c>
      <c r="S4">
        <f>IF('Assump - LNG'!$B29="","",'Assump - LNG'!$B29)</f>
        <v/>
      </c>
      <c r="T4">
        <f>IF('Assump - LNG'!$B30="","",'Assump - LNG'!$B30)</f>
        <v/>
      </c>
      <c r="U4">
        <f>IF('Assump - LNG'!$B31="","",'Assump - LNG'!$B31)</f>
        <v/>
      </c>
      <c r="V4">
        <f>IF('Assump - LNG'!$B12="","",'Assump - LNG'!$B12)</f>
        <v/>
      </c>
      <c r="W4">
        <f>IF('Assump - LNG'!$B13="","",'Assump - LNG'!$B13)</f>
        <v/>
      </c>
      <c r="X4">
        <f>IF('Assump - LNG'!$B14="","",'Assump - LNG'!$B14)</f>
        <v/>
      </c>
      <c r="Y4">
        <f>IF('Assump - LNG'!$B15="","",'Assump - LNG'!$B15)</f>
        <v/>
      </c>
      <c r="Z4">
        <f>IF('Assump - LNG'!$B16="","",'Assump - LNG'!$B16)</f>
        <v/>
      </c>
      <c r="AA4">
        <f>IF('Assump - LNG'!$B17="","",'Assump - LNG'!$B17)</f>
        <v/>
      </c>
      <c r="AB4">
        <f>IF('Assump - LNG'!$B18="","",'Assump - LNG'!$B18)</f>
        <v/>
      </c>
      <c r="AC4">
        <f>IF('Assump - LNG'!$B19="","",'Assump - LNG'!$B19)</f>
        <v/>
      </c>
      <c r="AD4">
        <f>IF('Assump - LNG'!$B20="","",'Assump - LNG'!$B20)</f>
        <v/>
      </c>
      <c r="AE4">
        <f>IF('Assump - LNG'!$B21="","",'Assump - LNG'!$B21)</f>
        <v/>
      </c>
      <c r="AF4">
        <f>IF('Assump - LNG'!$B22="","",'Assump - LNG'!$B22)</f>
        <v/>
      </c>
      <c r="AG4">
        <f>IF('Assump - LNG'!$B23="","",'Assump - LNG'!$B23)</f>
        <v/>
      </c>
      <c r="AH4">
        <f>IF('Assump - LNG'!$B24="","",'Assump - LNG'!$B24)</f>
        <v/>
      </c>
      <c r="AI4">
        <f>IF('Assump - LNG'!$B25="","",'Assump - LNG'!$B25)</f>
        <v/>
      </c>
      <c r="AJ4">
        <f>IF('Assump - LNG'!$B26="","",'Assump - LNG'!$B26)</f>
        <v/>
      </c>
      <c r="AK4">
        <f>IF('Assump - LNG'!$B27="","",'Assump - LNG'!$B27)</f>
        <v/>
      </c>
      <c r="AL4">
        <f>IF('Assump - LNG'!$B28="","",'Assump - LNG'!$B28)</f>
        <v/>
      </c>
      <c r="AM4">
        <f>IF('Assump - LNG'!$B29="","",'Assump - LNG'!$B29)</f>
        <v/>
      </c>
      <c r="AN4">
        <f>IF('Assump - LNG'!$B30="","",'Assump - LNG'!$B30)</f>
        <v/>
      </c>
      <c r="AO4">
        <f>IF('Assump - LNG'!$B31="","",'Assump - LNG'!$B31)</f>
        <v/>
      </c>
    </row>
    <row r="5">
      <c r="A5" t="inlineStr">
        <is>
          <t>Month</t>
        </is>
      </c>
      <c r="B5" s="6" t="inlineStr">
        <is>
          <t>base</t>
        </is>
      </c>
      <c r="C5" s="6" t="inlineStr">
        <is>
          <t>base</t>
        </is>
      </c>
      <c r="D5" s="6" t="inlineStr">
        <is>
          <t>base</t>
        </is>
      </c>
      <c r="E5" s="6" t="inlineStr">
        <is>
          <t>base</t>
        </is>
      </c>
      <c r="F5" s="6" t="inlineStr">
        <is>
          <t>base</t>
        </is>
      </c>
      <c r="G5" s="6" t="inlineStr">
        <is>
          <t>base</t>
        </is>
      </c>
      <c r="H5" s="6" t="inlineStr">
        <is>
          <t>base</t>
        </is>
      </c>
      <c r="I5" s="6" t="inlineStr">
        <is>
          <t>base</t>
        </is>
      </c>
      <c r="J5" s="6" t="inlineStr">
        <is>
          <t>base</t>
        </is>
      </c>
      <c r="K5" s="6" t="inlineStr">
        <is>
          <t>base</t>
        </is>
      </c>
      <c r="L5" s="6" t="inlineStr">
        <is>
          <t>base</t>
        </is>
      </c>
      <c r="M5" s="6" t="inlineStr">
        <is>
          <t>base</t>
        </is>
      </c>
      <c r="N5" s="6" t="inlineStr">
        <is>
          <t>base</t>
        </is>
      </c>
      <c r="O5" s="6" t="inlineStr">
        <is>
          <t>base</t>
        </is>
      </c>
      <c r="P5" s="6" t="inlineStr">
        <is>
          <t>base</t>
        </is>
      </c>
      <c r="Q5" s="6" t="inlineStr">
        <is>
          <t>base</t>
        </is>
      </c>
      <c r="R5" s="6" t="inlineStr">
        <is>
          <t>base</t>
        </is>
      </c>
      <c r="S5" s="6" t="inlineStr">
        <is>
          <t>base</t>
        </is>
      </c>
      <c r="T5" s="6" t="inlineStr">
        <is>
          <t>base</t>
        </is>
      </c>
      <c r="U5" s="6" t="inlineStr">
        <is>
          <t>base</t>
        </is>
      </c>
      <c r="V5" s="6" t="inlineStr">
        <is>
          <t>delayed</t>
        </is>
      </c>
      <c r="W5" s="6" t="inlineStr">
        <is>
          <t>delayed</t>
        </is>
      </c>
      <c r="X5" s="6" t="inlineStr">
        <is>
          <t>delayed</t>
        </is>
      </c>
      <c r="Y5" s="6" t="inlineStr">
        <is>
          <t>delayed</t>
        </is>
      </c>
      <c r="Z5" s="6" t="inlineStr">
        <is>
          <t>delayed</t>
        </is>
      </c>
      <c r="AA5" s="6" t="inlineStr">
        <is>
          <t>delayed</t>
        </is>
      </c>
      <c r="AB5" s="6" t="inlineStr">
        <is>
          <t>delayed</t>
        </is>
      </c>
      <c r="AC5" s="6" t="inlineStr">
        <is>
          <t>delayed</t>
        </is>
      </c>
      <c r="AD5" s="6" t="inlineStr">
        <is>
          <t>delayed</t>
        </is>
      </c>
      <c r="AE5" s="6" t="inlineStr">
        <is>
          <t>delayed</t>
        </is>
      </c>
      <c r="AF5" s="6" t="inlineStr">
        <is>
          <t>delayed</t>
        </is>
      </c>
      <c r="AG5" s="6" t="inlineStr">
        <is>
          <t>delayed</t>
        </is>
      </c>
      <c r="AH5" s="6" t="inlineStr">
        <is>
          <t>delayed</t>
        </is>
      </c>
      <c r="AI5" s="6" t="inlineStr">
        <is>
          <t>delayed</t>
        </is>
      </c>
      <c r="AJ5" s="6" t="inlineStr">
        <is>
          <t>delayed</t>
        </is>
      </c>
      <c r="AK5" s="6" t="inlineStr">
        <is>
          <t>delayed</t>
        </is>
      </c>
      <c r="AL5" s="6" t="inlineStr">
        <is>
          <t>delayed</t>
        </is>
      </c>
      <c r="AM5" s="6" t="inlineStr">
        <is>
          <t>delayed</t>
        </is>
      </c>
      <c r="AN5" s="6" t="inlineStr">
        <is>
          <t>delayed</t>
        </is>
      </c>
      <c r="AO5" s="6" t="inlineStr">
        <is>
          <t>delayed</t>
        </is>
      </c>
    </row>
    <row r="73">
      <c r="A73" s="12" t="n">
        <v>46235</v>
      </c>
      <c r="B73" s="14">
        <f>IF('Assump - LNG'!$D12="",0,IF($A73&lt;'Assump - LNG'!$D12,0,'Assump - LNG'!$C12*('Assump - LNG'!$F12+('Assump - LNG'!$G12-'Assump - LNG'!$F12)*MIN(1,((YEAR($A73)-YEAR('Assump - LNG'!$D12))*12+MONTH($A73)-MONTH('Assump - LNG'!$D12))/MAX('Assump - LNG'!$E12,1)))*INDEX('Assump - LNG'!$J$38:$J$49,MONTH($A73))))</f>
        <v/>
      </c>
      <c r="C73" s="14">
        <f>IF('Assump - LNG'!$D13="",0,IF($A73&lt;'Assump - LNG'!$D13,0,'Assump - LNG'!$C13*('Assump - LNG'!$F13+('Assump - LNG'!$G13-'Assump - LNG'!$F13)*MIN(1,((YEAR($A73)-YEAR('Assump - LNG'!$D13))*12+MONTH($A73)-MONTH('Assump - LNG'!$D13))/MAX('Assump - LNG'!$E13,1)))*INDEX('Assump - LNG'!$J$38:$J$49,MONTH($A73))))</f>
        <v/>
      </c>
      <c r="D73" s="14">
        <f>IF('Assump - LNG'!$D14="",0,IF($A73&lt;'Assump - LNG'!$D14,0,'Assump - LNG'!$C14*('Assump - LNG'!$F14+('Assump - LNG'!$G14-'Assump - LNG'!$F14)*MIN(1,((YEAR($A73)-YEAR('Assump - LNG'!$D14))*12+MONTH($A73)-MONTH('Assump - LNG'!$D14))/MAX('Assump - LNG'!$E14,1)))*INDEX('Assump - LNG'!$J$38:$J$49,MONTH($A73))))</f>
        <v/>
      </c>
      <c r="E73" s="14">
        <f>IF('Assump - LNG'!$D15="",0,IF($A73&lt;'Assump - LNG'!$D15,0,'Assump - LNG'!$C15*('Assump - LNG'!$F15+('Assump - LNG'!$G15-'Assump - LNG'!$F15)*MIN(1,((YEAR($A73)-YEAR('Assump - LNG'!$D15))*12+MONTH($A73)-MONTH('Assump - LNG'!$D15))/MAX('Assump - LNG'!$E15,1)))*INDEX('Assump - LNG'!$J$38:$J$49,MONTH($A73))))</f>
        <v/>
      </c>
      <c r="F73" s="14">
        <f>IF('Assump - LNG'!$D16="",0,IF($A73&lt;'Assump - LNG'!$D16,0,'Assump - LNG'!$C16*('Assump - LNG'!$F16+('Assump - LNG'!$G16-'Assump - LNG'!$F16)*MIN(1,((YEAR($A73)-YEAR('Assump - LNG'!$D16))*12+MONTH($A73)-MONTH('Assump - LNG'!$D16))/MAX('Assump - LNG'!$E16,1)))*INDEX('Assump - LNG'!$J$38:$J$49,MONTH($A73))))</f>
        <v/>
      </c>
      <c r="G73" s="14">
        <f>IF('Assump - LNG'!$D17="",0,IF($A73&lt;'Assump - LNG'!$D17,0,'Assump - LNG'!$C17*('Assump - LNG'!$F17+('Assump - LNG'!$G17-'Assump - LNG'!$F17)*MIN(1,((YEAR($A73)-YEAR('Assump - LNG'!$D17))*12+MONTH($A73)-MONTH('Assump - LNG'!$D17))/MAX('Assump - LNG'!$E17,1)))*INDEX('Assump - LNG'!$J$38:$J$49,MONTH($A73))))</f>
        <v/>
      </c>
      <c r="H73" s="14">
        <f>IF('Assump - LNG'!$D18="",0,IF($A73&lt;'Assump - LNG'!$D18,0,'Assump - LNG'!$C18*('Assump - LNG'!$F18+('Assump - LNG'!$G18-'Assump - LNG'!$F18)*MIN(1,((YEAR($A73)-YEAR('Assump - LNG'!$D18))*12+MONTH($A73)-MONTH('Assump - LNG'!$D18))/MAX('Assump - LNG'!$E18,1)))*INDEX('Assump - LNG'!$J$38:$J$49,MONTH($A73))))</f>
        <v/>
      </c>
      <c r="I73" s="14">
        <f>IF('Assump - LNG'!$D19="",0,IF($A73&lt;'Assump - LNG'!$D19,0,'Assump - LNG'!$C19*('Assump - LNG'!$F19+('Assump - LNG'!$G19-'Assump - LNG'!$F19)*MIN(1,((YEAR($A73)-YEAR('Assump - LNG'!$D19))*12+MONTH($A73)-MONTH('Assump - LNG'!$D19))/MAX('Assump - LNG'!$E19,1)))*INDEX('Assump - LNG'!$J$38:$J$49,MONTH($A73))))</f>
        <v/>
      </c>
      <c r="J73" s="14">
        <f>IF('Assump - LNG'!$D20="",0,IF($A73&lt;'Assump - LNG'!$D20,0,'Assump - LNG'!$C20*('Assump - LNG'!$F20+('Assump - LNG'!$G20-'Assump - LNG'!$F20)*MIN(1,((YEAR($A73)-YEAR('Assump - LNG'!$D20))*12+MONTH($A73)-MONTH('Assump - LNG'!$D20))/MAX('Assump - LNG'!$E20,1)))*INDEX('Assump - LNG'!$J$38:$J$49,MONTH($A73))))</f>
        <v/>
      </c>
      <c r="K73" s="14">
        <f>IF('Assump - LNG'!$D21="",0,IF($A73&lt;'Assump - LNG'!$D21,0,'Assump - LNG'!$C21*('Assump - LNG'!$F21+('Assump - LNG'!$G21-'Assump - LNG'!$F21)*MIN(1,((YEAR($A73)-YEAR('Assump - LNG'!$D21))*12+MONTH($A73)-MONTH('Assump - LNG'!$D21))/MAX('Assump - LNG'!$E21,1)))*INDEX('Assump - LNG'!$J$38:$J$49,MONTH($A73))))</f>
        <v/>
      </c>
      <c r="L73" s="14">
        <f>IF('Assump - LNG'!$D22="",0,IF($A73&lt;'Assump - LNG'!$D22,0,'Assump - LNG'!$C22*('Assump - LNG'!$F22+('Assump - LNG'!$G22-'Assump - LNG'!$F22)*MIN(1,((YEAR($A73)-YEAR('Assump - LNG'!$D22))*12+MONTH($A73)-MONTH('Assump - LNG'!$D22))/MAX('Assump - LNG'!$E22,1)))*INDEX('Assump - LNG'!$J$38:$J$49,MONTH($A73))))</f>
        <v/>
      </c>
      <c r="M73" s="14">
        <f>IF('Assump - LNG'!$D23="",0,IF($A73&lt;'Assump - LNG'!$D23,0,'Assump - LNG'!$C23*('Assump - LNG'!$F23+('Assump - LNG'!$G23-'Assump - LNG'!$F23)*MIN(1,((YEAR($A73)-YEAR('Assump - LNG'!$D23))*12+MONTH($A73)-MONTH('Assump - LNG'!$D23))/MAX('Assump - LNG'!$E23,1)))*INDEX('Assump - LNG'!$J$38:$J$49,MONTH($A73))))</f>
        <v/>
      </c>
      <c r="N73" s="14">
        <f>IF('Assump - LNG'!$D24="",0,IF($A73&lt;'Assump - LNG'!$D24,0,'Assump - LNG'!$C24*('Assump - LNG'!$F24+('Assump - LNG'!$G24-'Assump - LNG'!$F24)*MIN(1,((YEAR($A73)-YEAR('Assump - LNG'!$D24))*12+MONTH($A73)-MONTH('Assump - LNG'!$D24))/MAX('Assump - LNG'!$E24,1)))*INDEX('Assump - LNG'!$J$38:$J$49,MONTH($A73))))</f>
        <v/>
      </c>
      <c r="O73" s="14">
        <f>IF('Assump - LNG'!$D25="",0,IF($A73&lt;'Assump - LNG'!$D25,0,'Assump - LNG'!$C25*('Assump - LNG'!$F25+('Assump - LNG'!$G25-'Assump - LNG'!$F25)*MIN(1,((YEAR($A73)-YEAR('Assump - LNG'!$D25))*12+MONTH($A73)-MONTH('Assump - LNG'!$D25))/MAX('Assump - LNG'!$E25,1)))*INDEX('Assump - LNG'!$J$38:$J$49,MONTH($A73))))</f>
        <v/>
      </c>
      <c r="P73" s="14">
        <f>IF('Assump - LNG'!$D26="",0,IF($A73&lt;'Assump - LNG'!$D26,0,'Assump - LNG'!$C26*('Assump - LNG'!$F26+('Assump - LNG'!$G26-'Assump - LNG'!$F26)*MIN(1,((YEAR($A73)-YEAR('Assump - LNG'!$D26))*12+MONTH($A73)-MONTH('Assump - LNG'!$D26))/MAX('Assump - LNG'!$E26,1)))*INDEX('Assump - LNG'!$J$38:$J$49,MONTH($A73))))</f>
        <v/>
      </c>
      <c r="Q73" s="14">
        <f>IF('Assump - LNG'!$D27="",0,IF($A73&lt;'Assump - LNG'!$D27,0,'Assump - LNG'!$C27*('Assump - LNG'!$F27+('Assump - LNG'!$G27-'Assump - LNG'!$F27)*MIN(1,((YEAR($A73)-YEAR('Assump - LNG'!$D27))*12+MONTH($A73)-MONTH('Assump - LNG'!$D27))/MAX('Assump - LNG'!$E27,1)))*INDEX('Assump - LNG'!$J$38:$J$49,MONTH($A73))))</f>
        <v/>
      </c>
      <c r="R73" s="14">
        <f>IF('Assump - LNG'!$D28="",0,IF($A73&lt;'Assump - LNG'!$D28,0,'Assump - LNG'!$C28*('Assump - LNG'!$F28+('Assump - LNG'!$G28-'Assump - LNG'!$F28)*MIN(1,((YEAR($A73)-YEAR('Assump - LNG'!$D28))*12+MONTH($A73)-MONTH('Assump - LNG'!$D28))/MAX('Assump - LNG'!$E28,1)))*INDEX('Assump - LNG'!$J$38:$J$49,MONTH($A73))))</f>
        <v/>
      </c>
      <c r="S73" s="14">
        <f>IF('Assump - LNG'!$D29="",0,IF($A73&lt;'Assump - LNG'!$D29,0,'Assump - LNG'!$C29*('Assump - LNG'!$F29+('Assump - LNG'!$G29-'Assump - LNG'!$F29)*MIN(1,((YEAR($A73)-YEAR('Assump - LNG'!$D29))*12+MONTH($A73)-MONTH('Assump - LNG'!$D29))/MAX('Assump - LNG'!$E29,1)))*INDEX('Assump - LNG'!$J$38:$J$49,MONTH($A73))))</f>
        <v/>
      </c>
      <c r="T73" s="14">
        <f>IF('Assump - LNG'!$D30="",0,IF($A73&lt;'Assump - LNG'!$D30,0,'Assump - LNG'!$C30*('Assump - LNG'!$F30+('Assump - LNG'!$G30-'Assump - LNG'!$F30)*MIN(1,((YEAR($A73)-YEAR('Assump - LNG'!$D30))*12+MONTH($A73)-MONTH('Assump - LNG'!$D30))/MAX('Assump - LNG'!$E30,1)))*INDEX('Assump - LNG'!$J$38:$J$49,MONTH($A73))))</f>
        <v/>
      </c>
      <c r="U73" s="14">
        <f>IF('Assump - LNG'!$D31="",0,IF($A73&lt;'Assump - LNG'!$D31,0,'Assump - LNG'!$C31*('Assump - LNG'!$F31+('Assump - LNG'!$G31-'Assump - LNG'!$F31)*MIN(1,((YEAR($A73)-YEAR('Assump - LNG'!$D31))*12+MONTH($A73)-MONTH('Assump - LNG'!$D31))/MAX('Assump - LNG'!$E31,1)))*INDEX('Assump - LNG'!$J$38:$J$49,MONTH($A73))))</f>
        <v/>
      </c>
      <c r="V73" s="14">
        <f>IF('Assump - LNG'!$D12="",0,IF($A73&lt;IF('Assump - LNG'!$D12&gt;='Assump - LNG'!$B$6,EDATE('Assump - LNG'!$D12,'Assump - LNG'!$B$4),'Assump - LNG'!$D12),0,'Assump - LNG'!$C12*('Assump - LNG'!$F12+('Assump - LNG'!$G12-'Assump - LNG'!$F12)*MIN(1,((YEAR($A73)-YEAR(IF('Assump - LNG'!$D12&gt;='Assump - LNG'!$B$6,EDATE('Assump - LNG'!$D12,'Assump - LNG'!$B$4),'Assump - LNG'!$D12)))*12+MONTH($A73)-MONTH(IF('Assump - LNG'!$D12&gt;='Assump - LNG'!$B$6,EDATE('Assump - LNG'!$D12,'Assump - LNG'!$B$4),'Assump - LNG'!$D12)))/MAX('Assump - LNG'!$E12,1)))*INDEX('Assump - LNG'!$J$38:$J$49,MONTH($A73))))</f>
        <v/>
      </c>
      <c r="W73" s="14">
        <f>IF('Assump - LNG'!$D13="",0,IF($A73&lt;IF('Assump - LNG'!$D13&gt;='Assump - LNG'!$B$6,EDATE('Assump - LNG'!$D13,'Assump - LNG'!$B$4),'Assump - LNG'!$D13),0,'Assump - LNG'!$C13*('Assump - LNG'!$F13+('Assump - LNG'!$G13-'Assump - LNG'!$F13)*MIN(1,((YEAR($A73)-YEAR(IF('Assump - LNG'!$D13&gt;='Assump - LNG'!$B$6,EDATE('Assump - LNG'!$D13,'Assump - LNG'!$B$4),'Assump - LNG'!$D13)))*12+MONTH($A73)-MONTH(IF('Assump - LNG'!$D13&gt;='Assump - LNG'!$B$6,EDATE('Assump - LNG'!$D13,'Assump - LNG'!$B$4),'Assump - LNG'!$D13)))/MAX('Assump - LNG'!$E13,1)))*INDEX('Assump - LNG'!$J$38:$J$49,MONTH($A73))))</f>
        <v/>
      </c>
      <c r="X73" s="14">
        <f>IF('Assump - LNG'!$D14="",0,IF($A73&lt;IF('Assump - LNG'!$D14&gt;='Assump - LNG'!$B$6,EDATE('Assump - LNG'!$D14,'Assump - LNG'!$B$4),'Assump - LNG'!$D14),0,'Assump - LNG'!$C14*('Assump - LNG'!$F14+('Assump - LNG'!$G14-'Assump - LNG'!$F14)*MIN(1,((YEAR($A73)-YEAR(IF('Assump - LNG'!$D14&gt;='Assump - LNG'!$B$6,EDATE('Assump - LNG'!$D14,'Assump - LNG'!$B$4),'Assump - LNG'!$D14)))*12+MONTH($A73)-MONTH(IF('Assump - LNG'!$D14&gt;='Assump - LNG'!$B$6,EDATE('Assump - LNG'!$D14,'Assump - LNG'!$B$4),'Assump - LNG'!$D14)))/MAX('Assump - LNG'!$E14,1)))*INDEX('Assump - LNG'!$J$38:$J$49,MONTH($A73))))</f>
        <v/>
      </c>
      <c r="Y73" s="14">
        <f>IF('Assump - LNG'!$D15="",0,IF($A73&lt;IF('Assump - LNG'!$D15&gt;='Assump - LNG'!$B$6,EDATE('Assump - LNG'!$D15,'Assump - LNG'!$B$4),'Assump - LNG'!$D15),0,'Assump - LNG'!$C15*('Assump - LNG'!$F15+('Assump - LNG'!$G15-'Assump - LNG'!$F15)*MIN(1,((YEAR($A73)-YEAR(IF('Assump - LNG'!$D15&gt;='Assump - LNG'!$B$6,EDATE('Assump - LNG'!$D15,'Assump - LNG'!$B$4),'Assump - LNG'!$D15)))*12+MONTH($A73)-MONTH(IF('Assump - LNG'!$D15&gt;='Assump - LNG'!$B$6,EDATE('Assump - LNG'!$D15,'Assump - LNG'!$B$4),'Assump - LNG'!$D15)))/MAX('Assump - LNG'!$E15,1)))*INDEX('Assump - LNG'!$J$38:$J$49,MONTH($A73))))</f>
        <v/>
      </c>
      <c r="Z73" s="14">
        <f>IF('Assump - LNG'!$D16="",0,IF($A73&lt;IF('Assump - LNG'!$D16&gt;='Assump - LNG'!$B$6,EDATE('Assump - LNG'!$D16,'Assump - LNG'!$B$4),'Assump - LNG'!$D16),0,'Assump - LNG'!$C16*('Assump - LNG'!$F16+('Assump - LNG'!$G16-'Assump - LNG'!$F16)*MIN(1,((YEAR($A73)-YEAR(IF('Assump - LNG'!$D16&gt;='Assump - LNG'!$B$6,EDATE('Assump - LNG'!$D16,'Assump - LNG'!$B$4),'Assump - LNG'!$D16)))*12+MONTH($A73)-MONTH(IF('Assump - LNG'!$D16&gt;='Assump - LNG'!$B$6,EDATE('Assump - LNG'!$D16,'Assump - LNG'!$B$4),'Assump - LNG'!$D16)))/MAX('Assump - LNG'!$E16,1)))*INDEX('Assump - LNG'!$J$38:$J$49,MONTH($A73))))</f>
        <v/>
      </c>
      <c r="AA73" s="14">
        <f>IF('Assump - LNG'!$D17="",0,IF($A73&lt;IF('Assump - LNG'!$D17&gt;='Assump - LNG'!$B$6,EDATE('Assump - LNG'!$D17,'Assump - LNG'!$B$4),'Assump - LNG'!$D17),0,'Assump - LNG'!$C17*('Assump - LNG'!$F17+('Assump - LNG'!$G17-'Assump - LNG'!$F17)*MIN(1,((YEAR($A73)-YEAR(IF('Assump - LNG'!$D17&gt;='Assump - LNG'!$B$6,EDATE('Assump - LNG'!$D17,'Assump - LNG'!$B$4),'Assump - LNG'!$D17)))*12+MONTH($A73)-MONTH(IF('Assump - LNG'!$D17&gt;='Assump - LNG'!$B$6,EDATE('Assump - LNG'!$D17,'Assump - LNG'!$B$4),'Assump - LNG'!$D17)))/MAX('Assump - LNG'!$E17,1)))*INDEX('Assump - LNG'!$J$38:$J$49,MONTH($A73))))</f>
        <v/>
      </c>
      <c r="AB73" s="14">
        <f>IF('Assump - LNG'!$D18="",0,IF($A73&lt;IF('Assump - LNG'!$D18&gt;='Assump - LNG'!$B$6,EDATE('Assump - LNG'!$D18,'Assump - LNG'!$B$4),'Assump - LNG'!$D18),0,'Assump - LNG'!$C18*('Assump - LNG'!$F18+('Assump - LNG'!$G18-'Assump - LNG'!$F18)*MIN(1,((YEAR($A73)-YEAR(IF('Assump - LNG'!$D18&gt;='Assump - LNG'!$B$6,EDATE('Assump - LNG'!$D18,'Assump - LNG'!$B$4),'Assump - LNG'!$D18)))*12+MONTH($A73)-MONTH(IF('Assump - LNG'!$D18&gt;='Assump - LNG'!$B$6,EDATE('Assump - LNG'!$D18,'Assump - LNG'!$B$4),'Assump - LNG'!$D18)))/MAX('Assump - LNG'!$E18,1)))*INDEX('Assump - LNG'!$J$38:$J$49,MONTH($A73))))</f>
        <v/>
      </c>
      <c r="AC73" s="14">
        <f>IF('Assump - LNG'!$D19="",0,IF($A73&lt;IF('Assump - LNG'!$D19&gt;='Assump - LNG'!$B$6,EDATE('Assump - LNG'!$D19,'Assump - LNG'!$B$4),'Assump - LNG'!$D19),0,'Assump - LNG'!$C19*('Assump - LNG'!$F19+('Assump - LNG'!$G19-'Assump - LNG'!$F19)*MIN(1,((YEAR($A73)-YEAR(IF('Assump - LNG'!$D19&gt;='Assump - LNG'!$B$6,EDATE('Assump - LNG'!$D19,'Assump - LNG'!$B$4),'Assump - LNG'!$D19)))*12+MONTH($A73)-MONTH(IF('Assump - LNG'!$D19&gt;='Assump - LNG'!$B$6,EDATE('Assump - LNG'!$D19,'Assump - LNG'!$B$4),'Assump - LNG'!$D19)))/MAX('Assump - LNG'!$E19,1)))*INDEX('Assump - LNG'!$J$38:$J$49,MONTH($A73))))</f>
        <v/>
      </c>
      <c r="AD73" s="14">
        <f>IF('Assump - LNG'!$D20="",0,IF($A73&lt;IF('Assump - LNG'!$D20&gt;='Assump - LNG'!$B$6,EDATE('Assump - LNG'!$D20,'Assump - LNG'!$B$4),'Assump - LNG'!$D20),0,'Assump - LNG'!$C20*('Assump - LNG'!$F20+('Assump - LNG'!$G20-'Assump - LNG'!$F20)*MIN(1,((YEAR($A73)-YEAR(IF('Assump - LNG'!$D20&gt;='Assump - LNG'!$B$6,EDATE('Assump - LNG'!$D20,'Assump - LNG'!$B$4),'Assump - LNG'!$D20)))*12+MONTH($A73)-MONTH(IF('Assump - LNG'!$D20&gt;='Assump - LNG'!$B$6,EDATE('Assump - LNG'!$D20,'Assump - LNG'!$B$4),'Assump - LNG'!$D20)))/MAX('Assump - LNG'!$E20,1)))*INDEX('Assump - LNG'!$J$38:$J$49,MONTH($A73))))</f>
        <v/>
      </c>
      <c r="AE73" s="14">
        <f>IF('Assump - LNG'!$D21="",0,IF($A73&lt;IF('Assump - LNG'!$D21&gt;='Assump - LNG'!$B$6,EDATE('Assump - LNG'!$D21,'Assump - LNG'!$B$4),'Assump - LNG'!$D21),0,'Assump - LNG'!$C21*('Assump - LNG'!$F21+('Assump - LNG'!$G21-'Assump - LNG'!$F21)*MIN(1,((YEAR($A73)-YEAR(IF('Assump - LNG'!$D21&gt;='Assump - LNG'!$B$6,EDATE('Assump - LNG'!$D21,'Assump - LNG'!$B$4),'Assump - LNG'!$D21)))*12+MONTH($A73)-MONTH(IF('Assump - LNG'!$D21&gt;='Assump - LNG'!$B$6,EDATE('Assump - LNG'!$D21,'Assump - LNG'!$B$4),'Assump - LNG'!$D21)))/MAX('Assump - LNG'!$E21,1)))*INDEX('Assump - LNG'!$J$38:$J$49,MONTH($A73))))</f>
        <v/>
      </c>
      <c r="AF73" s="14">
        <f>IF('Assump - LNG'!$D22="",0,IF($A73&lt;IF('Assump - LNG'!$D22&gt;='Assump - LNG'!$B$6,EDATE('Assump - LNG'!$D22,'Assump - LNG'!$B$4),'Assump - LNG'!$D22),0,'Assump - LNG'!$C22*('Assump - LNG'!$F22+('Assump - LNG'!$G22-'Assump - LNG'!$F22)*MIN(1,((YEAR($A73)-YEAR(IF('Assump - LNG'!$D22&gt;='Assump - LNG'!$B$6,EDATE('Assump - LNG'!$D22,'Assump - LNG'!$B$4),'Assump - LNG'!$D22)))*12+MONTH($A73)-MONTH(IF('Assump - LNG'!$D22&gt;='Assump - LNG'!$B$6,EDATE('Assump - LNG'!$D22,'Assump - LNG'!$B$4),'Assump - LNG'!$D22)))/MAX('Assump - LNG'!$E22,1)))*INDEX('Assump - LNG'!$J$38:$J$49,MONTH($A73))))</f>
        <v/>
      </c>
      <c r="AG73" s="14">
        <f>IF('Assump - LNG'!$D23="",0,IF($A73&lt;IF('Assump - LNG'!$D23&gt;='Assump - LNG'!$B$6,EDATE('Assump - LNG'!$D23,'Assump - LNG'!$B$4),'Assump - LNG'!$D23),0,'Assump - LNG'!$C23*('Assump - LNG'!$F23+('Assump - LNG'!$G23-'Assump - LNG'!$F23)*MIN(1,((YEAR($A73)-YEAR(IF('Assump - LNG'!$D23&gt;='Assump - LNG'!$B$6,EDATE('Assump - LNG'!$D23,'Assump - LNG'!$B$4),'Assump - LNG'!$D23)))*12+MONTH($A73)-MONTH(IF('Assump - LNG'!$D23&gt;='Assump - LNG'!$B$6,EDATE('Assump - LNG'!$D23,'Assump - LNG'!$B$4),'Assump - LNG'!$D23)))/MAX('Assump - LNG'!$E23,1)))*INDEX('Assump - LNG'!$J$38:$J$49,MONTH($A73))))</f>
        <v/>
      </c>
      <c r="AH73" s="14">
        <f>IF('Assump - LNG'!$D24="",0,IF($A73&lt;IF('Assump - LNG'!$D24&gt;='Assump - LNG'!$B$6,EDATE('Assump - LNG'!$D24,'Assump - LNG'!$B$4),'Assump - LNG'!$D24),0,'Assump - LNG'!$C24*('Assump - LNG'!$F24+('Assump - LNG'!$G24-'Assump - LNG'!$F24)*MIN(1,((YEAR($A73)-YEAR(IF('Assump - LNG'!$D24&gt;='Assump - LNG'!$B$6,EDATE('Assump - LNG'!$D24,'Assump - LNG'!$B$4),'Assump - LNG'!$D24)))*12+MONTH($A73)-MONTH(IF('Assump - LNG'!$D24&gt;='Assump - LNG'!$B$6,EDATE('Assump - LNG'!$D24,'Assump - LNG'!$B$4),'Assump - LNG'!$D24)))/MAX('Assump - LNG'!$E24,1)))*INDEX('Assump - LNG'!$J$38:$J$49,MONTH($A73))))</f>
        <v/>
      </c>
      <c r="AI73" s="14">
        <f>IF('Assump - LNG'!$D25="",0,IF($A73&lt;IF('Assump - LNG'!$D25&gt;='Assump - LNG'!$B$6,EDATE('Assump - LNG'!$D25,'Assump - LNG'!$B$4),'Assump - LNG'!$D25),0,'Assump - LNG'!$C25*('Assump - LNG'!$F25+('Assump - LNG'!$G25-'Assump - LNG'!$F25)*MIN(1,((YEAR($A73)-YEAR(IF('Assump - LNG'!$D25&gt;='Assump - LNG'!$B$6,EDATE('Assump - LNG'!$D25,'Assump - LNG'!$B$4),'Assump - LNG'!$D25)))*12+MONTH($A73)-MONTH(IF('Assump - LNG'!$D25&gt;='Assump - LNG'!$B$6,EDATE('Assump - LNG'!$D25,'Assump - LNG'!$B$4),'Assump - LNG'!$D25)))/MAX('Assump - LNG'!$E25,1)))*INDEX('Assump - LNG'!$J$38:$J$49,MONTH($A73))))</f>
        <v/>
      </c>
      <c r="AJ73" s="14">
        <f>IF('Assump - LNG'!$D26="",0,IF($A73&lt;IF('Assump - LNG'!$D26&gt;='Assump - LNG'!$B$6,EDATE('Assump - LNG'!$D26,'Assump - LNG'!$B$4),'Assump - LNG'!$D26),0,'Assump - LNG'!$C26*('Assump - LNG'!$F26+('Assump - LNG'!$G26-'Assump - LNG'!$F26)*MIN(1,((YEAR($A73)-YEAR(IF('Assump - LNG'!$D26&gt;='Assump - LNG'!$B$6,EDATE('Assump - LNG'!$D26,'Assump - LNG'!$B$4),'Assump - LNG'!$D26)))*12+MONTH($A73)-MONTH(IF('Assump - LNG'!$D26&gt;='Assump - LNG'!$B$6,EDATE('Assump - LNG'!$D26,'Assump - LNG'!$B$4),'Assump - LNG'!$D26)))/MAX('Assump - LNG'!$E26,1)))*INDEX('Assump - LNG'!$J$38:$J$49,MONTH($A73))))</f>
        <v/>
      </c>
      <c r="AK73" s="14">
        <f>IF('Assump - LNG'!$D27="",0,IF($A73&lt;IF('Assump - LNG'!$D27&gt;='Assump - LNG'!$B$6,EDATE('Assump - LNG'!$D27,'Assump - LNG'!$B$4),'Assump - LNG'!$D27),0,'Assump - LNG'!$C27*('Assump - LNG'!$F27+('Assump - LNG'!$G27-'Assump - LNG'!$F27)*MIN(1,((YEAR($A73)-YEAR(IF('Assump - LNG'!$D27&gt;='Assump - LNG'!$B$6,EDATE('Assump - LNG'!$D27,'Assump - LNG'!$B$4),'Assump - LNG'!$D27)))*12+MONTH($A73)-MONTH(IF('Assump - LNG'!$D27&gt;='Assump - LNG'!$B$6,EDATE('Assump - LNG'!$D27,'Assump - LNG'!$B$4),'Assump - LNG'!$D27)))/MAX('Assump - LNG'!$E27,1)))*INDEX('Assump - LNG'!$J$38:$J$49,MONTH($A73))))</f>
        <v/>
      </c>
      <c r="AL73" s="14">
        <f>IF('Assump - LNG'!$D28="",0,IF($A73&lt;IF('Assump - LNG'!$D28&gt;='Assump - LNG'!$B$6,EDATE('Assump - LNG'!$D28,'Assump - LNG'!$B$4),'Assump - LNG'!$D28),0,'Assump - LNG'!$C28*('Assump - LNG'!$F28+('Assump - LNG'!$G28-'Assump - LNG'!$F28)*MIN(1,((YEAR($A73)-YEAR(IF('Assump - LNG'!$D28&gt;='Assump - LNG'!$B$6,EDATE('Assump - LNG'!$D28,'Assump - LNG'!$B$4),'Assump - LNG'!$D28)))*12+MONTH($A73)-MONTH(IF('Assump - LNG'!$D28&gt;='Assump - LNG'!$B$6,EDATE('Assump - LNG'!$D28,'Assump - LNG'!$B$4),'Assump - LNG'!$D28)))/MAX('Assump - LNG'!$E28,1)))*INDEX('Assump - LNG'!$J$38:$J$49,MONTH($A73))))</f>
        <v/>
      </c>
      <c r="AM73" s="14">
        <f>IF('Assump - LNG'!$D29="",0,IF($A73&lt;IF('Assump - LNG'!$D29&gt;='Assump - LNG'!$B$6,EDATE('Assump - LNG'!$D29,'Assump - LNG'!$B$4),'Assump - LNG'!$D29),0,'Assump - LNG'!$C29*('Assump - LNG'!$F29+('Assump - LNG'!$G29-'Assump - LNG'!$F29)*MIN(1,((YEAR($A73)-YEAR(IF('Assump - LNG'!$D29&gt;='Assump - LNG'!$B$6,EDATE('Assump - LNG'!$D29,'Assump - LNG'!$B$4),'Assump - LNG'!$D29)))*12+MONTH($A73)-MONTH(IF('Assump - LNG'!$D29&gt;='Assump - LNG'!$B$6,EDATE('Assump - LNG'!$D29,'Assump - LNG'!$B$4),'Assump - LNG'!$D29)))/MAX('Assump - LNG'!$E29,1)))*INDEX('Assump - LNG'!$J$38:$J$49,MONTH($A73))))</f>
        <v/>
      </c>
      <c r="AN73" s="14">
        <f>IF('Assump - LNG'!$D30="",0,IF($A73&lt;IF('Assump - LNG'!$D30&gt;='Assump - LNG'!$B$6,EDATE('Assump - LNG'!$D30,'Assump - LNG'!$B$4),'Assump - LNG'!$D30),0,'Assump - LNG'!$C30*('Assump - LNG'!$F30+('Assump - LNG'!$G30-'Assump - LNG'!$F30)*MIN(1,((YEAR($A73)-YEAR(IF('Assump - LNG'!$D30&gt;='Assump - LNG'!$B$6,EDATE('Assump - LNG'!$D30,'Assump - LNG'!$B$4),'Assump - LNG'!$D30)))*12+MONTH($A73)-MONTH(IF('Assump - LNG'!$D30&gt;='Assump - LNG'!$B$6,EDATE('Assump - LNG'!$D30,'Assump - LNG'!$B$4),'Assump - LNG'!$D30)))/MAX('Assump - LNG'!$E30,1)))*INDEX('Assump - LNG'!$J$38:$J$49,MONTH($A73))))</f>
        <v/>
      </c>
      <c r="AO73" s="14">
        <f>IF('Assump - LNG'!$D31="",0,IF($A73&lt;IF('Assump - LNG'!$D31&gt;='Assump - LNG'!$B$6,EDATE('Assump - LNG'!$D31,'Assump - LNG'!$B$4),'Assump - LNG'!$D31),0,'Assump - LNG'!$C31*('Assump - LNG'!$F31+('Assump - LNG'!$G31-'Assump - LNG'!$F31)*MIN(1,((YEAR($A73)-YEAR(IF('Assump - LNG'!$D31&gt;='Assump - LNG'!$B$6,EDATE('Assump - LNG'!$D31,'Assump - LNG'!$B$4),'Assump - LNG'!$D31)))*12+MONTH($A73)-MONTH(IF('Assump - LNG'!$D31&gt;='Assump - LNG'!$B$6,EDATE('Assump - LNG'!$D31,'Assump - LNG'!$B$4),'Assump - LNG'!$D31)))/MAX('Assump - LNG'!$E31,1)))*INDEX('Assump - LNG'!$J$38:$J$49,MONTH($A73))))</f>
        <v/>
      </c>
    </row>
    <row r="74">
      <c r="A74" s="12" t="n">
        <v>46266</v>
      </c>
      <c r="B74" s="14">
        <f>IF('Assump - LNG'!$D12="",0,IF($A74&lt;'Assump - LNG'!$D12,0,'Assump - LNG'!$C12*('Assump - LNG'!$F12+('Assump - LNG'!$G12-'Assump - LNG'!$F12)*MIN(1,((YEAR($A74)-YEAR('Assump - LNG'!$D12))*12+MONTH($A74)-MONTH('Assump - LNG'!$D12))/MAX('Assump - LNG'!$E12,1)))*INDEX('Assump - LNG'!$J$38:$J$49,MONTH($A74))))</f>
        <v/>
      </c>
      <c r="C74" s="14">
        <f>IF('Assump - LNG'!$D13="",0,IF($A74&lt;'Assump - LNG'!$D13,0,'Assump - LNG'!$C13*('Assump - LNG'!$F13+('Assump - LNG'!$G13-'Assump - LNG'!$F13)*MIN(1,((YEAR($A74)-YEAR('Assump - LNG'!$D13))*12+MONTH($A74)-MONTH('Assump - LNG'!$D13))/MAX('Assump - LNG'!$E13,1)))*INDEX('Assump - LNG'!$J$38:$J$49,MONTH($A74))))</f>
        <v/>
      </c>
      <c r="D74" s="14">
        <f>IF('Assump - LNG'!$D14="",0,IF($A74&lt;'Assump - LNG'!$D14,0,'Assump - LNG'!$C14*('Assump - LNG'!$F14+('Assump - LNG'!$G14-'Assump - LNG'!$F14)*MIN(1,((YEAR($A74)-YEAR('Assump - LNG'!$D14))*12+MONTH($A74)-MONTH('Assump - LNG'!$D14))/MAX('Assump - LNG'!$E14,1)))*INDEX('Assump - LNG'!$J$38:$J$49,MONTH($A74))))</f>
        <v/>
      </c>
      <c r="E74" s="14">
        <f>IF('Assump - LNG'!$D15="",0,IF($A74&lt;'Assump - LNG'!$D15,0,'Assump - LNG'!$C15*('Assump - LNG'!$F15+('Assump - LNG'!$G15-'Assump - LNG'!$F15)*MIN(1,((YEAR($A74)-YEAR('Assump - LNG'!$D15))*12+MONTH($A74)-MONTH('Assump - LNG'!$D15))/MAX('Assump - LNG'!$E15,1)))*INDEX('Assump - LNG'!$J$38:$J$49,MONTH($A74))))</f>
        <v/>
      </c>
      <c r="F74" s="14">
        <f>IF('Assump - LNG'!$D16="",0,IF($A74&lt;'Assump - LNG'!$D16,0,'Assump - LNG'!$C16*('Assump - LNG'!$F16+('Assump - LNG'!$G16-'Assump - LNG'!$F16)*MIN(1,((YEAR($A74)-YEAR('Assump - LNG'!$D16))*12+MONTH($A74)-MONTH('Assump - LNG'!$D16))/MAX('Assump - LNG'!$E16,1)))*INDEX('Assump - LNG'!$J$38:$J$49,MONTH($A74))))</f>
        <v/>
      </c>
      <c r="G74" s="14">
        <f>IF('Assump - LNG'!$D17="",0,IF($A74&lt;'Assump - LNG'!$D17,0,'Assump - LNG'!$C17*('Assump - LNG'!$F17+('Assump - LNG'!$G17-'Assump - LNG'!$F17)*MIN(1,((YEAR($A74)-YEAR('Assump - LNG'!$D17))*12+MONTH($A74)-MONTH('Assump - LNG'!$D17))/MAX('Assump - LNG'!$E17,1)))*INDEX('Assump - LNG'!$J$38:$J$49,MONTH($A74))))</f>
        <v/>
      </c>
      <c r="H74" s="14">
        <f>IF('Assump - LNG'!$D18="",0,IF($A74&lt;'Assump - LNG'!$D18,0,'Assump - LNG'!$C18*('Assump - LNG'!$F18+('Assump - LNG'!$G18-'Assump - LNG'!$F18)*MIN(1,((YEAR($A74)-YEAR('Assump - LNG'!$D18))*12+MONTH($A74)-MONTH('Assump - LNG'!$D18))/MAX('Assump - LNG'!$E18,1)))*INDEX('Assump - LNG'!$J$38:$J$49,MONTH($A74))))</f>
        <v/>
      </c>
      <c r="I74" s="14">
        <f>IF('Assump - LNG'!$D19="",0,IF($A74&lt;'Assump - LNG'!$D19,0,'Assump - LNG'!$C19*('Assump - LNG'!$F19+('Assump - LNG'!$G19-'Assump - LNG'!$F19)*MIN(1,((YEAR($A74)-YEAR('Assump - LNG'!$D19))*12+MONTH($A74)-MONTH('Assump - LNG'!$D19))/MAX('Assump - LNG'!$E19,1)))*INDEX('Assump - LNG'!$J$38:$J$49,MONTH($A74))))</f>
        <v/>
      </c>
      <c r="J74" s="14">
        <f>IF('Assump - LNG'!$D20="",0,IF($A74&lt;'Assump - LNG'!$D20,0,'Assump - LNG'!$C20*('Assump - LNG'!$F20+('Assump - LNG'!$G20-'Assump - LNG'!$F20)*MIN(1,((YEAR($A74)-YEAR('Assump - LNG'!$D20))*12+MONTH($A74)-MONTH('Assump - LNG'!$D20))/MAX('Assump - LNG'!$E20,1)))*INDEX('Assump - LNG'!$J$38:$J$49,MONTH($A74))))</f>
        <v/>
      </c>
      <c r="K74" s="14">
        <f>IF('Assump - LNG'!$D21="",0,IF($A74&lt;'Assump - LNG'!$D21,0,'Assump - LNG'!$C21*('Assump - LNG'!$F21+('Assump - LNG'!$G21-'Assump - LNG'!$F21)*MIN(1,((YEAR($A74)-YEAR('Assump - LNG'!$D21))*12+MONTH($A74)-MONTH('Assump - LNG'!$D21))/MAX('Assump - LNG'!$E21,1)))*INDEX('Assump - LNG'!$J$38:$J$49,MONTH($A74))))</f>
        <v/>
      </c>
      <c r="L74" s="14">
        <f>IF('Assump - LNG'!$D22="",0,IF($A74&lt;'Assump - LNG'!$D22,0,'Assump - LNG'!$C22*('Assump - LNG'!$F22+('Assump - LNG'!$G22-'Assump - LNG'!$F22)*MIN(1,((YEAR($A74)-YEAR('Assump - LNG'!$D22))*12+MONTH($A74)-MONTH('Assump - LNG'!$D22))/MAX('Assump - LNG'!$E22,1)))*INDEX('Assump - LNG'!$J$38:$J$49,MONTH($A74))))</f>
        <v/>
      </c>
      <c r="M74" s="14">
        <f>IF('Assump - LNG'!$D23="",0,IF($A74&lt;'Assump - LNG'!$D23,0,'Assump - LNG'!$C23*('Assump - LNG'!$F23+('Assump - LNG'!$G23-'Assump - LNG'!$F23)*MIN(1,((YEAR($A74)-YEAR('Assump - LNG'!$D23))*12+MONTH($A74)-MONTH('Assump - LNG'!$D23))/MAX('Assump - LNG'!$E23,1)))*INDEX('Assump - LNG'!$J$38:$J$49,MONTH($A74))))</f>
        <v/>
      </c>
      <c r="N74" s="14">
        <f>IF('Assump - LNG'!$D24="",0,IF($A74&lt;'Assump - LNG'!$D24,0,'Assump - LNG'!$C24*('Assump - LNG'!$F24+('Assump - LNG'!$G24-'Assump - LNG'!$F24)*MIN(1,((YEAR($A74)-YEAR('Assump - LNG'!$D24))*12+MONTH($A74)-MONTH('Assump - LNG'!$D24))/MAX('Assump - LNG'!$E24,1)))*INDEX('Assump - LNG'!$J$38:$J$49,MONTH($A74))))</f>
        <v/>
      </c>
      <c r="O74" s="14">
        <f>IF('Assump - LNG'!$D25="",0,IF($A74&lt;'Assump - LNG'!$D25,0,'Assump - LNG'!$C25*('Assump - LNG'!$F25+('Assump - LNG'!$G25-'Assump - LNG'!$F25)*MIN(1,((YEAR($A74)-YEAR('Assump - LNG'!$D25))*12+MONTH($A74)-MONTH('Assump - LNG'!$D25))/MAX('Assump - LNG'!$E25,1)))*INDEX('Assump - LNG'!$J$38:$J$49,MONTH($A74))))</f>
        <v/>
      </c>
      <c r="P74" s="14">
        <f>IF('Assump - LNG'!$D26="",0,IF($A74&lt;'Assump - LNG'!$D26,0,'Assump - LNG'!$C26*('Assump - LNG'!$F26+('Assump - LNG'!$G26-'Assump - LNG'!$F26)*MIN(1,((YEAR($A74)-YEAR('Assump - LNG'!$D26))*12+MONTH($A74)-MONTH('Assump - LNG'!$D26))/MAX('Assump - LNG'!$E26,1)))*INDEX('Assump - LNG'!$J$38:$J$49,MONTH($A74))))</f>
        <v/>
      </c>
      <c r="Q74" s="14">
        <f>IF('Assump - LNG'!$D27="",0,IF($A74&lt;'Assump - LNG'!$D27,0,'Assump - LNG'!$C27*('Assump - LNG'!$F27+('Assump - LNG'!$G27-'Assump - LNG'!$F27)*MIN(1,((YEAR($A74)-YEAR('Assump - LNG'!$D27))*12+MONTH($A74)-MONTH('Assump - LNG'!$D27))/MAX('Assump - LNG'!$E27,1)))*INDEX('Assump - LNG'!$J$38:$J$49,MONTH($A74))))</f>
        <v/>
      </c>
      <c r="R74" s="14">
        <f>IF('Assump - LNG'!$D28="",0,IF($A74&lt;'Assump - LNG'!$D28,0,'Assump - LNG'!$C28*('Assump - LNG'!$F28+('Assump - LNG'!$G28-'Assump - LNG'!$F28)*MIN(1,((YEAR($A74)-YEAR('Assump - LNG'!$D28))*12+MONTH($A74)-MONTH('Assump - LNG'!$D28))/MAX('Assump - LNG'!$E28,1)))*INDEX('Assump - LNG'!$J$38:$J$49,MONTH($A74))))</f>
        <v/>
      </c>
      <c r="S74" s="14">
        <f>IF('Assump - LNG'!$D29="",0,IF($A74&lt;'Assump - LNG'!$D29,0,'Assump - LNG'!$C29*('Assump - LNG'!$F29+('Assump - LNG'!$G29-'Assump - LNG'!$F29)*MIN(1,((YEAR($A74)-YEAR('Assump - LNG'!$D29))*12+MONTH($A74)-MONTH('Assump - LNG'!$D29))/MAX('Assump - LNG'!$E29,1)))*INDEX('Assump - LNG'!$J$38:$J$49,MONTH($A74))))</f>
        <v/>
      </c>
      <c r="T74" s="14">
        <f>IF('Assump - LNG'!$D30="",0,IF($A74&lt;'Assump - LNG'!$D30,0,'Assump - LNG'!$C30*('Assump - LNG'!$F30+('Assump - LNG'!$G30-'Assump - LNG'!$F30)*MIN(1,((YEAR($A74)-YEAR('Assump - LNG'!$D30))*12+MONTH($A74)-MONTH('Assump - LNG'!$D30))/MAX('Assump - LNG'!$E30,1)))*INDEX('Assump - LNG'!$J$38:$J$49,MONTH($A74))))</f>
        <v/>
      </c>
      <c r="U74" s="14">
        <f>IF('Assump - LNG'!$D31="",0,IF($A74&lt;'Assump - LNG'!$D31,0,'Assump - LNG'!$C31*('Assump - LNG'!$F31+('Assump - LNG'!$G31-'Assump - LNG'!$F31)*MIN(1,((YEAR($A74)-YEAR('Assump - LNG'!$D31))*12+MONTH($A74)-MONTH('Assump - LNG'!$D31))/MAX('Assump - LNG'!$E31,1)))*INDEX('Assump - LNG'!$J$38:$J$49,MONTH($A74))))</f>
        <v/>
      </c>
      <c r="V74" s="14">
        <f>IF('Assump - LNG'!$D12="",0,IF($A74&lt;IF('Assump - LNG'!$D12&gt;='Assump - LNG'!$B$6,EDATE('Assump - LNG'!$D12,'Assump - LNG'!$B$4),'Assump - LNG'!$D12),0,'Assump - LNG'!$C12*('Assump - LNG'!$F12+('Assump - LNG'!$G12-'Assump - LNG'!$F12)*MIN(1,((YEAR($A74)-YEAR(IF('Assump - LNG'!$D12&gt;='Assump - LNG'!$B$6,EDATE('Assump - LNG'!$D12,'Assump - LNG'!$B$4),'Assump - LNG'!$D12)))*12+MONTH($A74)-MONTH(IF('Assump - LNG'!$D12&gt;='Assump - LNG'!$B$6,EDATE('Assump - LNG'!$D12,'Assump - LNG'!$B$4),'Assump - LNG'!$D12)))/MAX('Assump - LNG'!$E12,1)))*INDEX('Assump - LNG'!$J$38:$J$49,MONTH($A74))))</f>
        <v/>
      </c>
      <c r="W74" s="14">
        <f>IF('Assump - LNG'!$D13="",0,IF($A74&lt;IF('Assump - LNG'!$D13&gt;='Assump - LNG'!$B$6,EDATE('Assump - LNG'!$D13,'Assump - LNG'!$B$4),'Assump - LNG'!$D13),0,'Assump - LNG'!$C13*('Assump - LNG'!$F13+('Assump - LNG'!$G13-'Assump - LNG'!$F13)*MIN(1,((YEAR($A74)-YEAR(IF('Assump - LNG'!$D13&gt;='Assump - LNG'!$B$6,EDATE('Assump - LNG'!$D13,'Assump - LNG'!$B$4),'Assump - LNG'!$D13)))*12+MONTH($A74)-MONTH(IF('Assump - LNG'!$D13&gt;='Assump - LNG'!$B$6,EDATE('Assump - LNG'!$D13,'Assump - LNG'!$B$4),'Assump - LNG'!$D13)))/MAX('Assump - LNG'!$E13,1)))*INDEX('Assump - LNG'!$J$38:$J$49,MONTH($A74))))</f>
        <v/>
      </c>
      <c r="X74" s="14">
        <f>IF('Assump - LNG'!$D14="",0,IF($A74&lt;IF('Assump - LNG'!$D14&gt;='Assump - LNG'!$B$6,EDATE('Assump - LNG'!$D14,'Assump - LNG'!$B$4),'Assump - LNG'!$D14),0,'Assump - LNG'!$C14*('Assump - LNG'!$F14+('Assump - LNG'!$G14-'Assump - LNG'!$F14)*MIN(1,((YEAR($A74)-YEAR(IF('Assump - LNG'!$D14&gt;='Assump - LNG'!$B$6,EDATE('Assump - LNG'!$D14,'Assump - LNG'!$B$4),'Assump - LNG'!$D14)))*12+MONTH($A74)-MONTH(IF('Assump - LNG'!$D14&gt;='Assump - LNG'!$B$6,EDATE('Assump - LNG'!$D14,'Assump - LNG'!$B$4),'Assump - LNG'!$D14)))/MAX('Assump - LNG'!$E14,1)))*INDEX('Assump - LNG'!$J$38:$J$49,MONTH($A74))))</f>
        <v/>
      </c>
      <c r="Y74" s="14">
        <f>IF('Assump - LNG'!$D15="",0,IF($A74&lt;IF('Assump - LNG'!$D15&gt;='Assump - LNG'!$B$6,EDATE('Assump - LNG'!$D15,'Assump - LNG'!$B$4),'Assump - LNG'!$D15),0,'Assump - LNG'!$C15*('Assump - LNG'!$F15+('Assump - LNG'!$G15-'Assump - LNG'!$F15)*MIN(1,((YEAR($A74)-YEAR(IF('Assump - LNG'!$D15&gt;='Assump - LNG'!$B$6,EDATE('Assump - LNG'!$D15,'Assump - LNG'!$B$4),'Assump - LNG'!$D15)))*12+MONTH($A74)-MONTH(IF('Assump - LNG'!$D15&gt;='Assump - LNG'!$B$6,EDATE('Assump - LNG'!$D15,'Assump - LNG'!$B$4),'Assump - LNG'!$D15)))/MAX('Assump - LNG'!$E15,1)))*INDEX('Assump - LNG'!$J$38:$J$49,MONTH($A74))))</f>
        <v/>
      </c>
      <c r="Z74" s="14">
        <f>IF('Assump - LNG'!$D16="",0,IF($A74&lt;IF('Assump - LNG'!$D16&gt;='Assump - LNG'!$B$6,EDATE('Assump - LNG'!$D16,'Assump - LNG'!$B$4),'Assump - LNG'!$D16),0,'Assump - LNG'!$C16*('Assump - LNG'!$F16+('Assump - LNG'!$G16-'Assump - LNG'!$F16)*MIN(1,((YEAR($A74)-YEAR(IF('Assump - LNG'!$D16&gt;='Assump - LNG'!$B$6,EDATE('Assump - LNG'!$D16,'Assump - LNG'!$B$4),'Assump - LNG'!$D16)))*12+MONTH($A74)-MONTH(IF('Assump - LNG'!$D16&gt;='Assump - LNG'!$B$6,EDATE('Assump - LNG'!$D16,'Assump - LNG'!$B$4),'Assump - LNG'!$D16)))/MAX('Assump - LNG'!$E16,1)))*INDEX('Assump - LNG'!$J$38:$J$49,MONTH($A74))))</f>
        <v/>
      </c>
      <c r="AA74" s="14">
        <f>IF('Assump - LNG'!$D17="",0,IF($A74&lt;IF('Assump - LNG'!$D17&gt;='Assump - LNG'!$B$6,EDATE('Assump - LNG'!$D17,'Assump - LNG'!$B$4),'Assump - LNG'!$D17),0,'Assump - LNG'!$C17*('Assump - LNG'!$F17+('Assump - LNG'!$G17-'Assump - LNG'!$F17)*MIN(1,((YEAR($A74)-YEAR(IF('Assump - LNG'!$D17&gt;='Assump - LNG'!$B$6,EDATE('Assump - LNG'!$D17,'Assump - LNG'!$B$4),'Assump - LNG'!$D17)))*12+MONTH($A74)-MONTH(IF('Assump - LNG'!$D17&gt;='Assump - LNG'!$B$6,EDATE('Assump - LNG'!$D17,'Assump - LNG'!$B$4),'Assump - LNG'!$D17)))/MAX('Assump - LNG'!$E17,1)))*INDEX('Assump - LNG'!$J$38:$J$49,MONTH($A74))))</f>
        <v/>
      </c>
      <c r="AB74" s="14">
        <f>IF('Assump - LNG'!$D18="",0,IF($A74&lt;IF('Assump - LNG'!$D18&gt;='Assump - LNG'!$B$6,EDATE('Assump - LNG'!$D18,'Assump - LNG'!$B$4),'Assump - LNG'!$D18),0,'Assump - LNG'!$C18*('Assump - LNG'!$F18+('Assump - LNG'!$G18-'Assump - LNG'!$F18)*MIN(1,((YEAR($A74)-YEAR(IF('Assump - LNG'!$D18&gt;='Assump - LNG'!$B$6,EDATE('Assump - LNG'!$D18,'Assump - LNG'!$B$4),'Assump - LNG'!$D18)))*12+MONTH($A74)-MONTH(IF('Assump - LNG'!$D18&gt;='Assump - LNG'!$B$6,EDATE('Assump - LNG'!$D18,'Assump - LNG'!$B$4),'Assump - LNG'!$D18)))/MAX('Assump - LNG'!$E18,1)))*INDEX('Assump - LNG'!$J$38:$J$49,MONTH($A74))))</f>
        <v/>
      </c>
      <c r="AC74" s="14">
        <f>IF('Assump - LNG'!$D19="",0,IF($A74&lt;IF('Assump - LNG'!$D19&gt;='Assump - LNG'!$B$6,EDATE('Assump - LNG'!$D19,'Assump - LNG'!$B$4),'Assump - LNG'!$D19),0,'Assump - LNG'!$C19*('Assump - LNG'!$F19+('Assump - LNG'!$G19-'Assump - LNG'!$F19)*MIN(1,((YEAR($A74)-YEAR(IF('Assump - LNG'!$D19&gt;='Assump - LNG'!$B$6,EDATE('Assump - LNG'!$D19,'Assump - LNG'!$B$4),'Assump - LNG'!$D19)))*12+MONTH($A74)-MONTH(IF('Assump - LNG'!$D19&gt;='Assump - LNG'!$B$6,EDATE('Assump - LNG'!$D19,'Assump - LNG'!$B$4),'Assump - LNG'!$D19)))/MAX('Assump - LNG'!$E19,1)))*INDEX('Assump - LNG'!$J$38:$J$49,MONTH($A74))))</f>
        <v/>
      </c>
      <c r="AD74" s="14">
        <f>IF('Assump - LNG'!$D20="",0,IF($A74&lt;IF('Assump - LNG'!$D20&gt;='Assump - LNG'!$B$6,EDATE('Assump - LNG'!$D20,'Assump - LNG'!$B$4),'Assump - LNG'!$D20),0,'Assump - LNG'!$C20*('Assump - LNG'!$F20+('Assump - LNG'!$G20-'Assump - LNG'!$F20)*MIN(1,((YEAR($A74)-YEAR(IF('Assump - LNG'!$D20&gt;='Assump - LNG'!$B$6,EDATE('Assump - LNG'!$D20,'Assump - LNG'!$B$4),'Assump - LNG'!$D20)))*12+MONTH($A74)-MONTH(IF('Assump - LNG'!$D20&gt;='Assump - LNG'!$B$6,EDATE('Assump - LNG'!$D20,'Assump - LNG'!$B$4),'Assump - LNG'!$D20)))/MAX('Assump - LNG'!$E20,1)))*INDEX('Assump - LNG'!$J$38:$J$49,MONTH($A74))))</f>
        <v/>
      </c>
      <c r="AE74" s="14">
        <f>IF('Assump - LNG'!$D21="",0,IF($A74&lt;IF('Assump - LNG'!$D21&gt;='Assump - LNG'!$B$6,EDATE('Assump - LNG'!$D21,'Assump - LNG'!$B$4),'Assump - LNG'!$D21),0,'Assump - LNG'!$C21*('Assump - LNG'!$F21+('Assump - LNG'!$G21-'Assump - LNG'!$F21)*MIN(1,((YEAR($A74)-YEAR(IF('Assump - LNG'!$D21&gt;='Assump - LNG'!$B$6,EDATE('Assump - LNG'!$D21,'Assump - LNG'!$B$4),'Assump - LNG'!$D21)))*12+MONTH($A74)-MONTH(IF('Assump - LNG'!$D21&gt;='Assump - LNG'!$B$6,EDATE('Assump - LNG'!$D21,'Assump - LNG'!$B$4),'Assump - LNG'!$D21)))/MAX('Assump - LNG'!$E21,1)))*INDEX('Assump - LNG'!$J$38:$J$49,MONTH($A74))))</f>
        <v/>
      </c>
      <c r="AF74" s="14">
        <f>IF('Assump - LNG'!$D22="",0,IF($A74&lt;IF('Assump - LNG'!$D22&gt;='Assump - LNG'!$B$6,EDATE('Assump - LNG'!$D22,'Assump - LNG'!$B$4),'Assump - LNG'!$D22),0,'Assump - LNG'!$C22*('Assump - LNG'!$F22+('Assump - LNG'!$G22-'Assump - LNG'!$F22)*MIN(1,((YEAR($A74)-YEAR(IF('Assump - LNG'!$D22&gt;='Assump - LNG'!$B$6,EDATE('Assump - LNG'!$D22,'Assump - LNG'!$B$4),'Assump - LNG'!$D22)))*12+MONTH($A74)-MONTH(IF('Assump - LNG'!$D22&gt;='Assump - LNG'!$B$6,EDATE('Assump - LNG'!$D22,'Assump - LNG'!$B$4),'Assump - LNG'!$D22)))/MAX('Assump - LNG'!$E22,1)))*INDEX('Assump - LNG'!$J$38:$J$49,MONTH($A74))))</f>
        <v/>
      </c>
      <c r="AG74" s="14">
        <f>IF('Assump - LNG'!$D23="",0,IF($A74&lt;IF('Assump - LNG'!$D23&gt;='Assump - LNG'!$B$6,EDATE('Assump - LNG'!$D23,'Assump - LNG'!$B$4),'Assump - LNG'!$D23),0,'Assump - LNG'!$C23*('Assump - LNG'!$F23+('Assump - LNG'!$G23-'Assump - LNG'!$F23)*MIN(1,((YEAR($A74)-YEAR(IF('Assump - LNG'!$D23&gt;='Assump - LNG'!$B$6,EDATE('Assump - LNG'!$D23,'Assump - LNG'!$B$4),'Assump - LNG'!$D23)))*12+MONTH($A74)-MONTH(IF('Assump - LNG'!$D23&gt;='Assump - LNG'!$B$6,EDATE('Assump - LNG'!$D23,'Assump - LNG'!$B$4),'Assump - LNG'!$D23)))/MAX('Assump - LNG'!$E23,1)))*INDEX('Assump - LNG'!$J$38:$J$49,MONTH($A74))))</f>
        <v/>
      </c>
      <c r="AH74" s="14">
        <f>IF('Assump - LNG'!$D24="",0,IF($A74&lt;IF('Assump - LNG'!$D24&gt;='Assump - LNG'!$B$6,EDATE('Assump - LNG'!$D24,'Assump - LNG'!$B$4),'Assump - LNG'!$D24),0,'Assump - LNG'!$C24*('Assump - LNG'!$F24+('Assump - LNG'!$G24-'Assump - LNG'!$F24)*MIN(1,((YEAR($A74)-YEAR(IF('Assump - LNG'!$D24&gt;='Assump - LNG'!$B$6,EDATE('Assump - LNG'!$D24,'Assump - LNG'!$B$4),'Assump - LNG'!$D24)))*12+MONTH($A74)-MONTH(IF('Assump - LNG'!$D24&gt;='Assump - LNG'!$B$6,EDATE('Assump - LNG'!$D24,'Assump - LNG'!$B$4),'Assump - LNG'!$D24)))/MAX('Assump - LNG'!$E24,1)))*INDEX('Assump - LNG'!$J$38:$J$49,MONTH($A74))))</f>
        <v/>
      </c>
      <c r="AI74" s="14">
        <f>IF('Assump - LNG'!$D25="",0,IF($A74&lt;IF('Assump - LNG'!$D25&gt;='Assump - LNG'!$B$6,EDATE('Assump - LNG'!$D25,'Assump - LNG'!$B$4),'Assump - LNG'!$D25),0,'Assump - LNG'!$C25*('Assump - LNG'!$F25+('Assump - LNG'!$G25-'Assump - LNG'!$F25)*MIN(1,((YEAR($A74)-YEAR(IF('Assump - LNG'!$D25&gt;='Assump - LNG'!$B$6,EDATE('Assump - LNG'!$D25,'Assump - LNG'!$B$4),'Assump - LNG'!$D25)))*12+MONTH($A74)-MONTH(IF('Assump - LNG'!$D25&gt;='Assump - LNG'!$B$6,EDATE('Assump - LNG'!$D25,'Assump - LNG'!$B$4),'Assump - LNG'!$D25)))/MAX('Assump - LNG'!$E25,1)))*INDEX('Assump - LNG'!$J$38:$J$49,MONTH($A74))))</f>
        <v/>
      </c>
      <c r="AJ74" s="14">
        <f>IF('Assump - LNG'!$D26="",0,IF($A74&lt;IF('Assump - LNG'!$D26&gt;='Assump - LNG'!$B$6,EDATE('Assump - LNG'!$D26,'Assump - LNG'!$B$4),'Assump - LNG'!$D26),0,'Assump - LNG'!$C26*('Assump - LNG'!$F26+('Assump - LNG'!$G26-'Assump - LNG'!$F26)*MIN(1,((YEAR($A74)-YEAR(IF('Assump - LNG'!$D26&gt;='Assump - LNG'!$B$6,EDATE('Assump - LNG'!$D26,'Assump - LNG'!$B$4),'Assump - LNG'!$D26)))*12+MONTH($A74)-MONTH(IF('Assump - LNG'!$D26&gt;='Assump - LNG'!$B$6,EDATE('Assump - LNG'!$D26,'Assump - LNG'!$B$4),'Assump - LNG'!$D26)))/MAX('Assump - LNG'!$E26,1)))*INDEX('Assump - LNG'!$J$38:$J$49,MONTH($A74))))</f>
        <v/>
      </c>
      <c r="AK74" s="14">
        <f>IF('Assump - LNG'!$D27="",0,IF($A74&lt;IF('Assump - LNG'!$D27&gt;='Assump - LNG'!$B$6,EDATE('Assump - LNG'!$D27,'Assump - LNG'!$B$4),'Assump - LNG'!$D27),0,'Assump - LNG'!$C27*('Assump - LNG'!$F27+('Assump - LNG'!$G27-'Assump - LNG'!$F27)*MIN(1,((YEAR($A74)-YEAR(IF('Assump - LNG'!$D27&gt;='Assump - LNG'!$B$6,EDATE('Assump - LNG'!$D27,'Assump - LNG'!$B$4),'Assump - LNG'!$D27)))*12+MONTH($A74)-MONTH(IF('Assump - LNG'!$D27&gt;='Assump - LNG'!$B$6,EDATE('Assump - LNG'!$D27,'Assump - LNG'!$B$4),'Assump - LNG'!$D27)))/MAX('Assump - LNG'!$E27,1)))*INDEX('Assump - LNG'!$J$38:$J$49,MONTH($A74))))</f>
        <v/>
      </c>
      <c r="AL74" s="14">
        <f>IF('Assump - LNG'!$D28="",0,IF($A74&lt;IF('Assump - LNG'!$D28&gt;='Assump - LNG'!$B$6,EDATE('Assump - LNG'!$D28,'Assump - LNG'!$B$4),'Assump - LNG'!$D28),0,'Assump - LNG'!$C28*('Assump - LNG'!$F28+('Assump - LNG'!$G28-'Assump - LNG'!$F28)*MIN(1,((YEAR($A74)-YEAR(IF('Assump - LNG'!$D28&gt;='Assump - LNG'!$B$6,EDATE('Assump - LNG'!$D28,'Assump - LNG'!$B$4),'Assump - LNG'!$D28)))*12+MONTH($A74)-MONTH(IF('Assump - LNG'!$D28&gt;='Assump - LNG'!$B$6,EDATE('Assump - LNG'!$D28,'Assump - LNG'!$B$4),'Assump - LNG'!$D28)))/MAX('Assump - LNG'!$E28,1)))*INDEX('Assump - LNG'!$J$38:$J$49,MONTH($A74))))</f>
        <v/>
      </c>
      <c r="AM74" s="14">
        <f>IF('Assump - LNG'!$D29="",0,IF($A74&lt;IF('Assump - LNG'!$D29&gt;='Assump - LNG'!$B$6,EDATE('Assump - LNG'!$D29,'Assump - LNG'!$B$4),'Assump - LNG'!$D29),0,'Assump - LNG'!$C29*('Assump - LNG'!$F29+('Assump - LNG'!$G29-'Assump - LNG'!$F29)*MIN(1,((YEAR($A74)-YEAR(IF('Assump - LNG'!$D29&gt;='Assump - LNG'!$B$6,EDATE('Assump - LNG'!$D29,'Assump - LNG'!$B$4),'Assump - LNG'!$D29)))*12+MONTH($A74)-MONTH(IF('Assump - LNG'!$D29&gt;='Assump - LNG'!$B$6,EDATE('Assump - LNG'!$D29,'Assump - LNG'!$B$4),'Assump - LNG'!$D29)))/MAX('Assump - LNG'!$E29,1)))*INDEX('Assump - LNG'!$J$38:$J$49,MONTH($A74))))</f>
        <v/>
      </c>
      <c r="AN74" s="14">
        <f>IF('Assump - LNG'!$D30="",0,IF($A74&lt;IF('Assump - LNG'!$D30&gt;='Assump - LNG'!$B$6,EDATE('Assump - LNG'!$D30,'Assump - LNG'!$B$4),'Assump - LNG'!$D30),0,'Assump - LNG'!$C30*('Assump - LNG'!$F30+('Assump - LNG'!$G30-'Assump - LNG'!$F30)*MIN(1,((YEAR($A74)-YEAR(IF('Assump - LNG'!$D30&gt;='Assump - LNG'!$B$6,EDATE('Assump - LNG'!$D30,'Assump - LNG'!$B$4),'Assump - LNG'!$D30)))*12+MONTH($A74)-MONTH(IF('Assump - LNG'!$D30&gt;='Assump - LNG'!$B$6,EDATE('Assump - LNG'!$D30,'Assump - LNG'!$B$4),'Assump - LNG'!$D30)))/MAX('Assump - LNG'!$E30,1)))*INDEX('Assump - LNG'!$J$38:$J$49,MONTH($A74))))</f>
        <v/>
      </c>
      <c r="AO74" s="14">
        <f>IF('Assump - LNG'!$D31="",0,IF($A74&lt;IF('Assump - LNG'!$D31&gt;='Assump - LNG'!$B$6,EDATE('Assump - LNG'!$D31,'Assump - LNG'!$B$4),'Assump - LNG'!$D31),0,'Assump - LNG'!$C31*('Assump - LNG'!$F31+('Assump - LNG'!$G31-'Assump - LNG'!$F31)*MIN(1,((YEAR($A74)-YEAR(IF('Assump - LNG'!$D31&gt;='Assump - LNG'!$B$6,EDATE('Assump - LNG'!$D31,'Assump - LNG'!$B$4),'Assump - LNG'!$D31)))*12+MONTH($A74)-MONTH(IF('Assump - LNG'!$D31&gt;='Assump - LNG'!$B$6,EDATE('Assump - LNG'!$D31,'Assump - LNG'!$B$4),'Assump - LNG'!$D31)))/MAX('Assump - LNG'!$E31,1)))*INDEX('Assump - LNG'!$J$38:$J$49,MONTH($A74))))</f>
        <v/>
      </c>
    </row>
    <row r="75">
      <c r="A75" s="12" t="n">
        <v>46296</v>
      </c>
      <c r="B75" s="14">
        <f>IF('Assump - LNG'!$D12="",0,IF($A75&lt;'Assump - LNG'!$D12,0,'Assump - LNG'!$C12*('Assump - LNG'!$F12+('Assump - LNG'!$G12-'Assump - LNG'!$F12)*MIN(1,((YEAR($A75)-YEAR('Assump - LNG'!$D12))*12+MONTH($A75)-MONTH('Assump - LNG'!$D12))/MAX('Assump - LNG'!$E12,1)))*INDEX('Assump - LNG'!$J$38:$J$49,MONTH($A75))))</f>
        <v/>
      </c>
      <c r="C75" s="14">
        <f>IF('Assump - LNG'!$D13="",0,IF($A75&lt;'Assump - LNG'!$D13,0,'Assump - LNG'!$C13*('Assump - LNG'!$F13+('Assump - LNG'!$G13-'Assump - LNG'!$F13)*MIN(1,((YEAR($A75)-YEAR('Assump - LNG'!$D13))*12+MONTH($A75)-MONTH('Assump - LNG'!$D13))/MAX('Assump - LNG'!$E13,1)))*INDEX('Assump - LNG'!$J$38:$J$49,MONTH($A75))))</f>
        <v/>
      </c>
      <c r="D75" s="14">
        <f>IF('Assump - LNG'!$D14="",0,IF($A75&lt;'Assump - LNG'!$D14,0,'Assump - LNG'!$C14*('Assump - LNG'!$F14+('Assump - LNG'!$G14-'Assump - LNG'!$F14)*MIN(1,((YEAR($A75)-YEAR('Assump - LNG'!$D14))*12+MONTH($A75)-MONTH('Assump - LNG'!$D14))/MAX('Assump - LNG'!$E14,1)))*INDEX('Assump - LNG'!$J$38:$J$49,MONTH($A75))))</f>
        <v/>
      </c>
      <c r="E75" s="14">
        <f>IF('Assump - LNG'!$D15="",0,IF($A75&lt;'Assump - LNG'!$D15,0,'Assump - LNG'!$C15*('Assump - LNG'!$F15+('Assump - LNG'!$G15-'Assump - LNG'!$F15)*MIN(1,((YEAR($A75)-YEAR('Assump - LNG'!$D15))*12+MONTH($A75)-MONTH('Assump - LNG'!$D15))/MAX('Assump - LNG'!$E15,1)))*INDEX('Assump - LNG'!$J$38:$J$49,MONTH($A75))))</f>
        <v/>
      </c>
      <c r="F75" s="14">
        <f>IF('Assump - LNG'!$D16="",0,IF($A75&lt;'Assump - LNG'!$D16,0,'Assump - LNG'!$C16*('Assump - LNG'!$F16+('Assump - LNG'!$G16-'Assump - LNG'!$F16)*MIN(1,((YEAR($A75)-YEAR('Assump - LNG'!$D16))*12+MONTH($A75)-MONTH('Assump - LNG'!$D16))/MAX('Assump - LNG'!$E16,1)))*INDEX('Assump - LNG'!$J$38:$J$49,MONTH($A75))))</f>
        <v/>
      </c>
      <c r="G75" s="14">
        <f>IF('Assump - LNG'!$D17="",0,IF($A75&lt;'Assump - LNG'!$D17,0,'Assump - LNG'!$C17*('Assump - LNG'!$F17+('Assump - LNG'!$G17-'Assump - LNG'!$F17)*MIN(1,((YEAR($A75)-YEAR('Assump - LNG'!$D17))*12+MONTH($A75)-MONTH('Assump - LNG'!$D17))/MAX('Assump - LNG'!$E17,1)))*INDEX('Assump - LNG'!$J$38:$J$49,MONTH($A75))))</f>
        <v/>
      </c>
      <c r="H75" s="14">
        <f>IF('Assump - LNG'!$D18="",0,IF($A75&lt;'Assump - LNG'!$D18,0,'Assump - LNG'!$C18*('Assump - LNG'!$F18+('Assump - LNG'!$G18-'Assump - LNG'!$F18)*MIN(1,((YEAR($A75)-YEAR('Assump - LNG'!$D18))*12+MONTH($A75)-MONTH('Assump - LNG'!$D18))/MAX('Assump - LNG'!$E18,1)))*INDEX('Assump - LNG'!$J$38:$J$49,MONTH($A75))))</f>
        <v/>
      </c>
      <c r="I75" s="14">
        <f>IF('Assump - LNG'!$D19="",0,IF($A75&lt;'Assump - LNG'!$D19,0,'Assump - LNG'!$C19*('Assump - LNG'!$F19+('Assump - LNG'!$G19-'Assump - LNG'!$F19)*MIN(1,((YEAR($A75)-YEAR('Assump - LNG'!$D19))*12+MONTH($A75)-MONTH('Assump - LNG'!$D19))/MAX('Assump - LNG'!$E19,1)))*INDEX('Assump - LNG'!$J$38:$J$49,MONTH($A75))))</f>
        <v/>
      </c>
      <c r="J75" s="14">
        <f>IF('Assump - LNG'!$D20="",0,IF($A75&lt;'Assump - LNG'!$D20,0,'Assump - LNG'!$C20*('Assump - LNG'!$F20+('Assump - LNG'!$G20-'Assump - LNG'!$F20)*MIN(1,((YEAR($A75)-YEAR('Assump - LNG'!$D20))*12+MONTH($A75)-MONTH('Assump - LNG'!$D20))/MAX('Assump - LNG'!$E20,1)))*INDEX('Assump - LNG'!$J$38:$J$49,MONTH($A75))))</f>
        <v/>
      </c>
      <c r="K75" s="14">
        <f>IF('Assump - LNG'!$D21="",0,IF($A75&lt;'Assump - LNG'!$D21,0,'Assump - LNG'!$C21*('Assump - LNG'!$F21+('Assump - LNG'!$G21-'Assump - LNG'!$F21)*MIN(1,((YEAR($A75)-YEAR('Assump - LNG'!$D21))*12+MONTH($A75)-MONTH('Assump - LNG'!$D21))/MAX('Assump - LNG'!$E21,1)))*INDEX('Assump - LNG'!$J$38:$J$49,MONTH($A75))))</f>
        <v/>
      </c>
      <c r="L75" s="14">
        <f>IF('Assump - LNG'!$D22="",0,IF($A75&lt;'Assump - LNG'!$D22,0,'Assump - LNG'!$C22*('Assump - LNG'!$F22+('Assump - LNG'!$G22-'Assump - LNG'!$F22)*MIN(1,((YEAR($A75)-YEAR('Assump - LNG'!$D22))*12+MONTH($A75)-MONTH('Assump - LNG'!$D22))/MAX('Assump - LNG'!$E22,1)))*INDEX('Assump - LNG'!$J$38:$J$49,MONTH($A75))))</f>
        <v/>
      </c>
      <c r="M75" s="14">
        <f>IF('Assump - LNG'!$D23="",0,IF($A75&lt;'Assump - LNG'!$D23,0,'Assump - LNG'!$C23*('Assump - LNG'!$F23+('Assump - LNG'!$G23-'Assump - LNG'!$F23)*MIN(1,((YEAR($A75)-YEAR('Assump - LNG'!$D23))*12+MONTH($A75)-MONTH('Assump - LNG'!$D23))/MAX('Assump - LNG'!$E23,1)))*INDEX('Assump - LNG'!$J$38:$J$49,MONTH($A75))))</f>
        <v/>
      </c>
      <c r="N75" s="14">
        <f>IF('Assump - LNG'!$D24="",0,IF($A75&lt;'Assump - LNG'!$D24,0,'Assump - LNG'!$C24*('Assump - LNG'!$F24+('Assump - LNG'!$G24-'Assump - LNG'!$F24)*MIN(1,((YEAR($A75)-YEAR('Assump - LNG'!$D24))*12+MONTH($A75)-MONTH('Assump - LNG'!$D24))/MAX('Assump - LNG'!$E24,1)))*INDEX('Assump - LNG'!$J$38:$J$49,MONTH($A75))))</f>
        <v/>
      </c>
      <c r="O75" s="14">
        <f>IF('Assump - LNG'!$D25="",0,IF($A75&lt;'Assump - LNG'!$D25,0,'Assump - LNG'!$C25*('Assump - LNG'!$F25+('Assump - LNG'!$G25-'Assump - LNG'!$F25)*MIN(1,((YEAR($A75)-YEAR('Assump - LNG'!$D25))*12+MONTH($A75)-MONTH('Assump - LNG'!$D25))/MAX('Assump - LNG'!$E25,1)))*INDEX('Assump - LNG'!$J$38:$J$49,MONTH($A75))))</f>
        <v/>
      </c>
      <c r="P75" s="14">
        <f>IF('Assump - LNG'!$D26="",0,IF($A75&lt;'Assump - LNG'!$D26,0,'Assump - LNG'!$C26*('Assump - LNG'!$F26+('Assump - LNG'!$G26-'Assump - LNG'!$F26)*MIN(1,((YEAR($A75)-YEAR('Assump - LNG'!$D26))*12+MONTH($A75)-MONTH('Assump - LNG'!$D26))/MAX('Assump - LNG'!$E26,1)))*INDEX('Assump - LNG'!$J$38:$J$49,MONTH($A75))))</f>
        <v/>
      </c>
      <c r="Q75" s="14">
        <f>IF('Assump - LNG'!$D27="",0,IF($A75&lt;'Assump - LNG'!$D27,0,'Assump - LNG'!$C27*('Assump - LNG'!$F27+('Assump - LNG'!$G27-'Assump - LNG'!$F27)*MIN(1,((YEAR($A75)-YEAR('Assump - LNG'!$D27))*12+MONTH($A75)-MONTH('Assump - LNG'!$D27))/MAX('Assump - LNG'!$E27,1)))*INDEX('Assump - LNG'!$J$38:$J$49,MONTH($A75))))</f>
        <v/>
      </c>
      <c r="R75" s="14">
        <f>IF('Assump - LNG'!$D28="",0,IF($A75&lt;'Assump - LNG'!$D28,0,'Assump - LNG'!$C28*('Assump - LNG'!$F28+('Assump - LNG'!$G28-'Assump - LNG'!$F28)*MIN(1,((YEAR($A75)-YEAR('Assump - LNG'!$D28))*12+MONTH($A75)-MONTH('Assump - LNG'!$D28))/MAX('Assump - LNG'!$E28,1)))*INDEX('Assump - LNG'!$J$38:$J$49,MONTH($A75))))</f>
        <v/>
      </c>
      <c r="S75" s="14">
        <f>IF('Assump - LNG'!$D29="",0,IF($A75&lt;'Assump - LNG'!$D29,0,'Assump - LNG'!$C29*('Assump - LNG'!$F29+('Assump - LNG'!$G29-'Assump - LNG'!$F29)*MIN(1,((YEAR($A75)-YEAR('Assump - LNG'!$D29))*12+MONTH($A75)-MONTH('Assump - LNG'!$D29))/MAX('Assump - LNG'!$E29,1)))*INDEX('Assump - LNG'!$J$38:$J$49,MONTH($A75))))</f>
        <v/>
      </c>
      <c r="T75" s="14">
        <f>IF('Assump - LNG'!$D30="",0,IF($A75&lt;'Assump - LNG'!$D30,0,'Assump - LNG'!$C30*('Assump - LNG'!$F30+('Assump - LNG'!$G30-'Assump - LNG'!$F30)*MIN(1,((YEAR($A75)-YEAR('Assump - LNG'!$D30))*12+MONTH($A75)-MONTH('Assump - LNG'!$D30))/MAX('Assump - LNG'!$E30,1)))*INDEX('Assump - LNG'!$J$38:$J$49,MONTH($A75))))</f>
        <v/>
      </c>
      <c r="U75" s="14">
        <f>IF('Assump - LNG'!$D31="",0,IF($A75&lt;'Assump - LNG'!$D31,0,'Assump - LNG'!$C31*('Assump - LNG'!$F31+('Assump - LNG'!$G31-'Assump - LNG'!$F31)*MIN(1,((YEAR($A75)-YEAR('Assump - LNG'!$D31))*12+MONTH($A75)-MONTH('Assump - LNG'!$D31))/MAX('Assump - LNG'!$E31,1)))*INDEX('Assump - LNG'!$J$38:$J$49,MONTH($A75))))</f>
        <v/>
      </c>
      <c r="V75" s="14">
        <f>IF('Assump - LNG'!$D12="",0,IF($A75&lt;IF('Assump - LNG'!$D12&gt;='Assump - LNG'!$B$6,EDATE('Assump - LNG'!$D12,'Assump - LNG'!$B$4),'Assump - LNG'!$D12),0,'Assump - LNG'!$C12*('Assump - LNG'!$F12+('Assump - LNG'!$G12-'Assump - LNG'!$F12)*MIN(1,((YEAR($A75)-YEAR(IF('Assump - LNG'!$D12&gt;='Assump - LNG'!$B$6,EDATE('Assump - LNG'!$D12,'Assump - LNG'!$B$4),'Assump - LNG'!$D12)))*12+MONTH($A75)-MONTH(IF('Assump - LNG'!$D12&gt;='Assump - LNG'!$B$6,EDATE('Assump - LNG'!$D12,'Assump - LNG'!$B$4),'Assump - LNG'!$D12)))/MAX('Assump - LNG'!$E12,1)))*INDEX('Assump - LNG'!$J$38:$J$49,MONTH($A75))))</f>
        <v/>
      </c>
      <c r="W75" s="14">
        <f>IF('Assump - LNG'!$D13="",0,IF($A75&lt;IF('Assump - LNG'!$D13&gt;='Assump - LNG'!$B$6,EDATE('Assump - LNG'!$D13,'Assump - LNG'!$B$4),'Assump - LNG'!$D13),0,'Assump - LNG'!$C13*('Assump - LNG'!$F13+('Assump - LNG'!$G13-'Assump - LNG'!$F13)*MIN(1,((YEAR($A75)-YEAR(IF('Assump - LNG'!$D13&gt;='Assump - LNG'!$B$6,EDATE('Assump - LNG'!$D13,'Assump - LNG'!$B$4),'Assump - LNG'!$D13)))*12+MONTH($A75)-MONTH(IF('Assump - LNG'!$D13&gt;='Assump - LNG'!$B$6,EDATE('Assump - LNG'!$D13,'Assump - LNG'!$B$4),'Assump - LNG'!$D13)))/MAX('Assump - LNG'!$E13,1)))*INDEX('Assump - LNG'!$J$38:$J$49,MONTH($A75))))</f>
        <v/>
      </c>
      <c r="X75" s="14">
        <f>IF('Assump - LNG'!$D14="",0,IF($A75&lt;IF('Assump - LNG'!$D14&gt;='Assump - LNG'!$B$6,EDATE('Assump - LNG'!$D14,'Assump - LNG'!$B$4),'Assump - LNG'!$D14),0,'Assump - LNG'!$C14*('Assump - LNG'!$F14+('Assump - LNG'!$G14-'Assump - LNG'!$F14)*MIN(1,((YEAR($A75)-YEAR(IF('Assump - LNG'!$D14&gt;='Assump - LNG'!$B$6,EDATE('Assump - LNG'!$D14,'Assump - LNG'!$B$4),'Assump - LNG'!$D14)))*12+MONTH($A75)-MONTH(IF('Assump - LNG'!$D14&gt;='Assump - LNG'!$B$6,EDATE('Assump - LNG'!$D14,'Assump - LNG'!$B$4),'Assump - LNG'!$D14)))/MAX('Assump - LNG'!$E14,1)))*INDEX('Assump - LNG'!$J$38:$J$49,MONTH($A75))))</f>
        <v/>
      </c>
      <c r="Y75" s="14">
        <f>IF('Assump - LNG'!$D15="",0,IF($A75&lt;IF('Assump - LNG'!$D15&gt;='Assump - LNG'!$B$6,EDATE('Assump - LNG'!$D15,'Assump - LNG'!$B$4),'Assump - LNG'!$D15),0,'Assump - LNG'!$C15*('Assump - LNG'!$F15+('Assump - LNG'!$G15-'Assump - LNG'!$F15)*MIN(1,((YEAR($A75)-YEAR(IF('Assump - LNG'!$D15&gt;='Assump - LNG'!$B$6,EDATE('Assump - LNG'!$D15,'Assump - LNG'!$B$4),'Assump - LNG'!$D15)))*12+MONTH($A75)-MONTH(IF('Assump - LNG'!$D15&gt;='Assump - LNG'!$B$6,EDATE('Assump - LNG'!$D15,'Assump - LNG'!$B$4),'Assump - LNG'!$D15)))/MAX('Assump - LNG'!$E15,1)))*INDEX('Assump - LNG'!$J$38:$J$49,MONTH($A75))))</f>
        <v/>
      </c>
      <c r="Z75" s="14">
        <f>IF('Assump - LNG'!$D16="",0,IF($A75&lt;IF('Assump - LNG'!$D16&gt;='Assump - LNG'!$B$6,EDATE('Assump - LNG'!$D16,'Assump - LNG'!$B$4),'Assump - LNG'!$D16),0,'Assump - LNG'!$C16*('Assump - LNG'!$F16+('Assump - LNG'!$G16-'Assump - LNG'!$F16)*MIN(1,((YEAR($A75)-YEAR(IF('Assump - LNG'!$D16&gt;='Assump - LNG'!$B$6,EDATE('Assump - LNG'!$D16,'Assump - LNG'!$B$4),'Assump - LNG'!$D16)))*12+MONTH($A75)-MONTH(IF('Assump - LNG'!$D16&gt;='Assump - LNG'!$B$6,EDATE('Assump - LNG'!$D16,'Assump - LNG'!$B$4),'Assump - LNG'!$D16)))/MAX('Assump - LNG'!$E16,1)))*INDEX('Assump - LNG'!$J$38:$J$49,MONTH($A75))))</f>
        <v/>
      </c>
      <c r="AA75" s="14">
        <f>IF('Assump - LNG'!$D17="",0,IF($A75&lt;IF('Assump - LNG'!$D17&gt;='Assump - LNG'!$B$6,EDATE('Assump - LNG'!$D17,'Assump - LNG'!$B$4),'Assump - LNG'!$D17),0,'Assump - LNG'!$C17*('Assump - LNG'!$F17+('Assump - LNG'!$G17-'Assump - LNG'!$F17)*MIN(1,((YEAR($A75)-YEAR(IF('Assump - LNG'!$D17&gt;='Assump - LNG'!$B$6,EDATE('Assump - LNG'!$D17,'Assump - LNG'!$B$4),'Assump - LNG'!$D17)))*12+MONTH($A75)-MONTH(IF('Assump - LNG'!$D17&gt;='Assump - LNG'!$B$6,EDATE('Assump - LNG'!$D17,'Assump - LNG'!$B$4),'Assump - LNG'!$D17)))/MAX('Assump - LNG'!$E17,1)))*INDEX('Assump - LNG'!$J$38:$J$49,MONTH($A75))))</f>
        <v/>
      </c>
      <c r="AB75" s="14">
        <f>IF('Assump - LNG'!$D18="",0,IF($A75&lt;IF('Assump - LNG'!$D18&gt;='Assump - LNG'!$B$6,EDATE('Assump - LNG'!$D18,'Assump - LNG'!$B$4),'Assump - LNG'!$D18),0,'Assump - LNG'!$C18*('Assump - LNG'!$F18+('Assump - LNG'!$G18-'Assump - LNG'!$F18)*MIN(1,((YEAR($A75)-YEAR(IF('Assump - LNG'!$D18&gt;='Assump - LNG'!$B$6,EDATE('Assump - LNG'!$D18,'Assump - LNG'!$B$4),'Assump - LNG'!$D18)))*12+MONTH($A75)-MONTH(IF('Assump - LNG'!$D18&gt;='Assump - LNG'!$B$6,EDATE('Assump - LNG'!$D18,'Assump - LNG'!$B$4),'Assump - LNG'!$D18)))/MAX('Assump - LNG'!$E18,1)))*INDEX('Assump - LNG'!$J$38:$J$49,MONTH($A75))))</f>
        <v/>
      </c>
      <c r="AC75" s="14">
        <f>IF('Assump - LNG'!$D19="",0,IF($A75&lt;IF('Assump - LNG'!$D19&gt;='Assump - LNG'!$B$6,EDATE('Assump - LNG'!$D19,'Assump - LNG'!$B$4),'Assump - LNG'!$D19),0,'Assump - LNG'!$C19*('Assump - LNG'!$F19+('Assump - LNG'!$G19-'Assump - LNG'!$F19)*MIN(1,((YEAR($A75)-YEAR(IF('Assump - LNG'!$D19&gt;='Assump - LNG'!$B$6,EDATE('Assump - LNG'!$D19,'Assump - LNG'!$B$4),'Assump - LNG'!$D19)))*12+MONTH($A75)-MONTH(IF('Assump - LNG'!$D19&gt;='Assump - LNG'!$B$6,EDATE('Assump - LNG'!$D19,'Assump - LNG'!$B$4),'Assump - LNG'!$D19)))/MAX('Assump - LNG'!$E19,1)))*INDEX('Assump - LNG'!$J$38:$J$49,MONTH($A75))))</f>
        <v/>
      </c>
      <c r="AD75" s="14">
        <f>IF('Assump - LNG'!$D20="",0,IF($A75&lt;IF('Assump - LNG'!$D20&gt;='Assump - LNG'!$B$6,EDATE('Assump - LNG'!$D20,'Assump - LNG'!$B$4),'Assump - LNG'!$D20),0,'Assump - LNG'!$C20*('Assump - LNG'!$F20+('Assump - LNG'!$G20-'Assump - LNG'!$F20)*MIN(1,((YEAR($A75)-YEAR(IF('Assump - LNG'!$D20&gt;='Assump - LNG'!$B$6,EDATE('Assump - LNG'!$D20,'Assump - LNG'!$B$4),'Assump - LNG'!$D20)))*12+MONTH($A75)-MONTH(IF('Assump - LNG'!$D20&gt;='Assump - LNG'!$B$6,EDATE('Assump - LNG'!$D20,'Assump - LNG'!$B$4),'Assump - LNG'!$D20)))/MAX('Assump - LNG'!$E20,1)))*INDEX('Assump - LNG'!$J$38:$J$49,MONTH($A75))))</f>
        <v/>
      </c>
      <c r="AE75" s="14">
        <f>IF('Assump - LNG'!$D21="",0,IF($A75&lt;IF('Assump - LNG'!$D21&gt;='Assump - LNG'!$B$6,EDATE('Assump - LNG'!$D21,'Assump - LNG'!$B$4),'Assump - LNG'!$D21),0,'Assump - LNG'!$C21*('Assump - LNG'!$F21+('Assump - LNG'!$G21-'Assump - LNG'!$F21)*MIN(1,((YEAR($A75)-YEAR(IF('Assump - LNG'!$D21&gt;='Assump - LNG'!$B$6,EDATE('Assump - LNG'!$D21,'Assump - LNG'!$B$4),'Assump - LNG'!$D21)))*12+MONTH($A75)-MONTH(IF('Assump - LNG'!$D21&gt;='Assump - LNG'!$B$6,EDATE('Assump - LNG'!$D21,'Assump - LNG'!$B$4),'Assump - LNG'!$D21)))/MAX('Assump - LNG'!$E21,1)))*INDEX('Assump - LNG'!$J$38:$J$49,MONTH($A75))))</f>
        <v/>
      </c>
      <c r="AF75" s="14">
        <f>IF('Assump - LNG'!$D22="",0,IF($A75&lt;IF('Assump - LNG'!$D22&gt;='Assump - LNG'!$B$6,EDATE('Assump - LNG'!$D22,'Assump - LNG'!$B$4),'Assump - LNG'!$D22),0,'Assump - LNG'!$C22*('Assump - LNG'!$F22+('Assump - LNG'!$G22-'Assump - LNG'!$F22)*MIN(1,((YEAR($A75)-YEAR(IF('Assump - LNG'!$D22&gt;='Assump - LNG'!$B$6,EDATE('Assump - LNG'!$D22,'Assump - LNG'!$B$4),'Assump - LNG'!$D22)))*12+MONTH($A75)-MONTH(IF('Assump - LNG'!$D22&gt;='Assump - LNG'!$B$6,EDATE('Assump - LNG'!$D22,'Assump - LNG'!$B$4),'Assump - LNG'!$D22)))/MAX('Assump - LNG'!$E22,1)))*INDEX('Assump - LNG'!$J$38:$J$49,MONTH($A75))))</f>
        <v/>
      </c>
      <c r="AG75" s="14">
        <f>IF('Assump - LNG'!$D23="",0,IF($A75&lt;IF('Assump - LNG'!$D23&gt;='Assump - LNG'!$B$6,EDATE('Assump - LNG'!$D23,'Assump - LNG'!$B$4),'Assump - LNG'!$D23),0,'Assump - LNG'!$C23*('Assump - LNG'!$F23+('Assump - LNG'!$G23-'Assump - LNG'!$F23)*MIN(1,((YEAR($A75)-YEAR(IF('Assump - LNG'!$D23&gt;='Assump - LNG'!$B$6,EDATE('Assump - LNG'!$D23,'Assump - LNG'!$B$4),'Assump - LNG'!$D23)))*12+MONTH($A75)-MONTH(IF('Assump - LNG'!$D23&gt;='Assump - LNG'!$B$6,EDATE('Assump - LNG'!$D23,'Assump - LNG'!$B$4),'Assump - LNG'!$D23)))/MAX('Assump - LNG'!$E23,1)))*INDEX('Assump - LNG'!$J$38:$J$49,MONTH($A75))))</f>
        <v/>
      </c>
      <c r="AH75" s="14">
        <f>IF('Assump - LNG'!$D24="",0,IF($A75&lt;IF('Assump - LNG'!$D24&gt;='Assump - LNG'!$B$6,EDATE('Assump - LNG'!$D24,'Assump - LNG'!$B$4),'Assump - LNG'!$D24),0,'Assump - LNG'!$C24*('Assump - LNG'!$F24+('Assump - LNG'!$G24-'Assump - LNG'!$F24)*MIN(1,((YEAR($A75)-YEAR(IF('Assump - LNG'!$D24&gt;='Assump - LNG'!$B$6,EDATE('Assump - LNG'!$D24,'Assump - LNG'!$B$4),'Assump - LNG'!$D24)))*12+MONTH($A75)-MONTH(IF('Assump - LNG'!$D24&gt;='Assump - LNG'!$B$6,EDATE('Assump - LNG'!$D24,'Assump - LNG'!$B$4),'Assump - LNG'!$D24)))/MAX('Assump - LNG'!$E24,1)))*INDEX('Assump - LNG'!$J$38:$J$49,MONTH($A75))))</f>
        <v/>
      </c>
      <c r="AI75" s="14">
        <f>IF('Assump - LNG'!$D25="",0,IF($A75&lt;IF('Assump - LNG'!$D25&gt;='Assump - LNG'!$B$6,EDATE('Assump - LNG'!$D25,'Assump - LNG'!$B$4),'Assump - LNG'!$D25),0,'Assump - LNG'!$C25*('Assump - LNG'!$F25+('Assump - LNG'!$G25-'Assump - LNG'!$F25)*MIN(1,((YEAR($A75)-YEAR(IF('Assump - LNG'!$D25&gt;='Assump - LNG'!$B$6,EDATE('Assump - LNG'!$D25,'Assump - LNG'!$B$4),'Assump - LNG'!$D25)))*12+MONTH($A75)-MONTH(IF('Assump - LNG'!$D25&gt;='Assump - LNG'!$B$6,EDATE('Assump - LNG'!$D25,'Assump - LNG'!$B$4),'Assump - LNG'!$D25)))/MAX('Assump - LNG'!$E25,1)))*INDEX('Assump - LNG'!$J$38:$J$49,MONTH($A75))))</f>
        <v/>
      </c>
      <c r="AJ75" s="14">
        <f>IF('Assump - LNG'!$D26="",0,IF($A75&lt;IF('Assump - LNG'!$D26&gt;='Assump - LNG'!$B$6,EDATE('Assump - LNG'!$D26,'Assump - LNG'!$B$4),'Assump - LNG'!$D26),0,'Assump - LNG'!$C26*('Assump - LNG'!$F26+('Assump - LNG'!$G26-'Assump - LNG'!$F26)*MIN(1,((YEAR($A75)-YEAR(IF('Assump - LNG'!$D26&gt;='Assump - LNG'!$B$6,EDATE('Assump - LNG'!$D26,'Assump - LNG'!$B$4),'Assump - LNG'!$D26)))*12+MONTH($A75)-MONTH(IF('Assump - LNG'!$D26&gt;='Assump - LNG'!$B$6,EDATE('Assump - LNG'!$D26,'Assump - LNG'!$B$4),'Assump - LNG'!$D26)))/MAX('Assump - LNG'!$E26,1)))*INDEX('Assump - LNG'!$J$38:$J$49,MONTH($A75))))</f>
        <v/>
      </c>
      <c r="AK75" s="14">
        <f>IF('Assump - LNG'!$D27="",0,IF($A75&lt;IF('Assump - LNG'!$D27&gt;='Assump - LNG'!$B$6,EDATE('Assump - LNG'!$D27,'Assump - LNG'!$B$4),'Assump - LNG'!$D27),0,'Assump - LNG'!$C27*('Assump - LNG'!$F27+('Assump - LNG'!$G27-'Assump - LNG'!$F27)*MIN(1,((YEAR($A75)-YEAR(IF('Assump - LNG'!$D27&gt;='Assump - LNG'!$B$6,EDATE('Assump - LNG'!$D27,'Assump - LNG'!$B$4),'Assump - LNG'!$D27)))*12+MONTH($A75)-MONTH(IF('Assump - LNG'!$D27&gt;='Assump - LNG'!$B$6,EDATE('Assump - LNG'!$D27,'Assump - LNG'!$B$4),'Assump - LNG'!$D27)))/MAX('Assump - LNG'!$E27,1)))*INDEX('Assump - LNG'!$J$38:$J$49,MONTH($A75))))</f>
        <v/>
      </c>
      <c r="AL75" s="14">
        <f>IF('Assump - LNG'!$D28="",0,IF($A75&lt;IF('Assump - LNG'!$D28&gt;='Assump - LNG'!$B$6,EDATE('Assump - LNG'!$D28,'Assump - LNG'!$B$4),'Assump - LNG'!$D28),0,'Assump - LNG'!$C28*('Assump - LNG'!$F28+('Assump - LNG'!$G28-'Assump - LNG'!$F28)*MIN(1,((YEAR($A75)-YEAR(IF('Assump - LNG'!$D28&gt;='Assump - LNG'!$B$6,EDATE('Assump - LNG'!$D28,'Assump - LNG'!$B$4),'Assump - LNG'!$D28)))*12+MONTH($A75)-MONTH(IF('Assump - LNG'!$D28&gt;='Assump - LNG'!$B$6,EDATE('Assump - LNG'!$D28,'Assump - LNG'!$B$4),'Assump - LNG'!$D28)))/MAX('Assump - LNG'!$E28,1)))*INDEX('Assump - LNG'!$J$38:$J$49,MONTH($A75))))</f>
        <v/>
      </c>
      <c r="AM75" s="14">
        <f>IF('Assump - LNG'!$D29="",0,IF($A75&lt;IF('Assump - LNG'!$D29&gt;='Assump - LNG'!$B$6,EDATE('Assump - LNG'!$D29,'Assump - LNG'!$B$4),'Assump - LNG'!$D29),0,'Assump - LNG'!$C29*('Assump - LNG'!$F29+('Assump - LNG'!$G29-'Assump - LNG'!$F29)*MIN(1,((YEAR($A75)-YEAR(IF('Assump - LNG'!$D29&gt;='Assump - LNG'!$B$6,EDATE('Assump - LNG'!$D29,'Assump - LNG'!$B$4),'Assump - LNG'!$D29)))*12+MONTH($A75)-MONTH(IF('Assump - LNG'!$D29&gt;='Assump - LNG'!$B$6,EDATE('Assump - LNG'!$D29,'Assump - LNG'!$B$4),'Assump - LNG'!$D29)))/MAX('Assump - LNG'!$E29,1)))*INDEX('Assump - LNG'!$J$38:$J$49,MONTH($A75))))</f>
        <v/>
      </c>
      <c r="AN75" s="14">
        <f>IF('Assump - LNG'!$D30="",0,IF($A75&lt;IF('Assump - LNG'!$D30&gt;='Assump - LNG'!$B$6,EDATE('Assump - LNG'!$D30,'Assump - LNG'!$B$4),'Assump - LNG'!$D30),0,'Assump - LNG'!$C30*('Assump - LNG'!$F30+('Assump - LNG'!$G30-'Assump - LNG'!$F30)*MIN(1,((YEAR($A75)-YEAR(IF('Assump - LNG'!$D30&gt;='Assump - LNG'!$B$6,EDATE('Assump - LNG'!$D30,'Assump - LNG'!$B$4),'Assump - LNG'!$D30)))*12+MONTH($A75)-MONTH(IF('Assump - LNG'!$D30&gt;='Assump - LNG'!$B$6,EDATE('Assump - LNG'!$D30,'Assump - LNG'!$B$4),'Assump - LNG'!$D30)))/MAX('Assump - LNG'!$E30,1)))*INDEX('Assump - LNG'!$J$38:$J$49,MONTH($A75))))</f>
        <v/>
      </c>
      <c r="AO75" s="14">
        <f>IF('Assump - LNG'!$D31="",0,IF($A75&lt;IF('Assump - LNG'!$D31&gt;='Assump - LNG'!$B$6,EDATE('Assump - LNG'!$D31,'Assump - LNG'!$B$4),'Assump - LNG'!$D31),0,'Assump - LNG'!$C31*('Assump - LNG'!$F31+('Assump - LNG'!$G31-'Assump - LNG'!$F31)*MIN(1,((YEAR($A75)-YEAR(IF('Assump - LNG'!$D31&gt;='Assump - LNG'!$B$6,EDATE('Assump - LNG'!$D31,'Assump - LNG'!$B$4),'Assump - LNG'!$D31)))*12+MONTH($A75)-MONTH(IF('Assump - LNG'!$D31&gt;='Assump - LNG'!$B$6,EDATE('Assump - LNG'!$D31,'Assump - LNG'!$B$4),'Assump - LNG'!$D31)))/MAX('Assump - LNG'!$E31,1)))*INDEX('Assump - LNG'!$J$38:$J$49,MONTH($A75))))</f>
        <v/>
      </c>
    </row>
    <row r="76">
      <c r="A76" s="12" t="n">
        <v>46327</v>
      </c>
      <c r="B76" s="14">
        <f>IF('Assump - LNG'!$D12="",0,IF($A76&lt;'Assump - LNG'!$D12,0,'Assump - LNG'!$C12*('Assump - LNG'!$F12+('Assump - LNG'!$G12-'Assump - LNG'!$F12)*MIN(1,((YEAR($A76)-YEAR('Assump - LNG'!$D12))*12+MONTH($A76)-MONTH('Assump - LNG'!$D12))/MAX('Assump - LNG'!$E12,1)))*INDEX('Assump - LNG'!$J$38:$J$49,MONTH($A76))))</f>
        <v/>
      </c>
      <c r="C76" s="14">
        <f>IF('Assump - LNG'!$D13="",0,IF($A76&lt;'Assump - LNG'!$D13,0,'Assump - LNG'!$C13*('Assump - LNG'!$F13+('Assump - LNG'!$G13-'Assump - LNG'!$F13)*MIN(1,((YEAR($A76)-YEAR('Assump - LNG'!$D13))*12+MONTH($A76)-MONTH('Assump - LNG'!$D13))/MAX('Assump - LNG'!$E13,1)))*INDEX('Assump - LNG'!$J$38:$J$49,MONTH($A76))))</f>
        <v/>
      </c>
      <c r="D76" s="14">
        <f>IF('Assump - LNG'!$D14="",0,IF($A76&lt;'Assump - LNG'!$D14,0,'Assump - LNG'!$C14*('Assump - LNG'!$F14+('Assump - LNG'!$G14-'Assump - LNG'!$F14)*MIN(1,((YEAR($A76)-YEAR('Assump - LNG'!$D14))*12+MONTH($A76)-MONTH('Assump - LNG'!$D14))/MAX('Assump - LNG'!$E14,1)))*INDEX('Assump - LNG'!$J$38:$J$49,MONTH($A76))))</f>
        <v/>
      </c>
      <c r="E76" s="14">
        <f>IF('Assump - LNG'!$D15="",0,IF($A76&lt;'Assump - LNG'!$D15,0,'Assump - LNG'!$C15*('Assump - LNG'!$F15+('Assump - LNG'!$G15-'Assump - LNG'!$F15)*MIN(1,((YEAR($A76)-YEAR('Assump - LNG'!$D15))*12+MONTH($A76)-MONTH('Assump - LNG'!$D15))/MAX('Assump - LNG'!$E15,1)))*INDEX('Assump - LNG'!$J$38:$J$49,MONTH($A76))))</f>
        <v/>
      </c>
      <c r="F76" s="14">
        <f>IF('Assump - LNG'!$D16="",0,IF($A76&lt;'Assump - LNG'!$D16,0,'Assump - LNG'!$C16*('Assump - LNG'!$F16+('Assump - LNG'!$G16-'Assump - LNG'!$F16)*MIN(1,((YEAR($A76)-YEAR('Assump - LNG'!$D16))*12+MONTH($A76)-MONTH('Assump - LNG'!$D16))/MAX('Assump - LNG'!$E16,1)))*INDEX('Assump - LNG'!$J$38:$J$49,MONTH($A76))))</f>
        <v/>
      </c>
      <c r="G76" s="14">
        <f>IF('Assump - LNG'!$D17="",0,IF($A76&lt;'Assump - LNG'!$D17,0,'Assump - LNG'!$C17*('Assump - LNG'!$F17+('Assump - LNG'!$G17-'Assump - LNG'!$F17)*MIN(1,((YEAR($A76)-YEAR('Assump - LNG'!$D17))*12+MONTH($A76)-MONTH('Assump - LNG'!$D17))/MAX('Assump - LNG'!$E17,1)))*INDEX('Assump - LNG'!$J$38:$J$49,MONTH($A76))))</f>
        <v/>
      </c>
      <c r="H76" s="14">
        <f>IF('Assump - LNG'!$D18="",0,IF($A76&lt;'Assump - LNG'!$D18,0,'Assump - LNG'!$C18*('Assump - LNG'!$F18+('Assump - LNG'!$G18-'Assump - LNG'!$F18)*MIN(1,((YEAR($A76)-YEAR('Assump - LNG'!$D18))*12+MONTH($A76)-MONTH('Assump - LNG'!$D18))/MAX('Assump - LNG'!$E18,1)))*INDEX('Assump - LNG'!$J$38:$J$49,MONTH($A76))))</f>
        <v/>
      </c>
      <c r="I76" s="14">
        <f>IF('Assump - LNG'!$D19="",0,IF($A76&lt;'Assump - LNG'!$D19,0,'Assump - LNG'!$C19*('Assump - LNG'!$F19+('Assump - LNG'!$G19-'Assump - LNG'!$F19)*MIN(1,((YEAR($A76)-YEAR('Assump - LNG'!$D19))*12+MONTH($A76)-MONTH('Assump - LNG'!$D19))/MAX('Assump - LNG'!$E19,1)))*INDEX('Assump - LNG'!$J$38:$J$49,MONTH($A76))))</f>
        <v/>
      </c>
      <c r="J76" s="14">
        <f>IF('Assump - LNG'!$D20="",0,IF($A76&lt;'Assump - LNG'!$D20,0,'Assump - LNG'!$C20*('Assump - LNG'!$F20+('Assump - LNG'!$G20-'Assump - LNG'!$F20)*MIN(1,((YEAR($A76)-YEAR('Assump - LNG'!$D20))*12+MONTH($A76)-MONTH('Assump - LNG'!$D20))/MAX('Assump - LNG'!$E20,1)))*INDEX('Assump - LNG'!$J$38:$J$49,MONTH($A76))))</f>
        <v/>
      </c>
      <c r="K76" s="14">
        <f>IF('Assump - LNG'!$D21="",0,IF($A76&lt;'Assump - LNG'!$D21,0,'Assump - LNG'!$C21*('Assump - LNG'!$F21+('Assump - LNG'!$G21-'Assump - LNG'!$F21)*MIN(1,((YEAR($A76)-YEAR('Assump - LNG'!$D21))*12+MONTH($A76)-MONTH('Assump - LNG'!$D21))/MAX('Assump - LNG'!$E21,1)))*INDEX('Assump - LNG'!$J$38:$J$49,MONTH($A76))))</f>
        <v/>
      </c>
      <c r="L76" s="14">
        <f>IF('Assump - LNG'!$D22="",0,IF($A76&lt;'Assump - LNG'!$D22,0,'Assump - LNG'!$C22*('Assump - LNG'!$F22+('Assump - LNG'!$G22-'Assump - LNG'!$F22)*MIN(1,((YEAR($A76)-YEAR('Assump - LNG'!$D22))*12+MONTH($A76)-MONTH('Assump - LNG'!$D22))/MAX('Assump - LNG'!$E22,1)))*INDEX('Assump - LNG'!$J$38:$J$49,MONTH($A76))))</f>
        <v/>
      </c>
      <c r="M76" s="14">
        <f>IF('Assump - LNG'!$D23="",0,IF($A76&lt;'Assump - LNG'!$D23,0,'Assump - LNG'!$C23*('Assump - LNG'!$F23+('Assump - LNG'!$G23-'Assump - LNG'!$F23)*MIN(1,((YEAR($A76)-YEAR('Assump - LNG'!$D23))*12+MONTH($A76)-MONTH('Assump - LNG'!$D23))/MAX('Assump - LNG'!$E23,1)))*INDEX('Assump - LNG'!$J$38:$J$49,MONTH($A76))))</f>
        <v/>
      </c>
      <c r="N76" s="14">
        <f>IF('Assump - LNG'!$D24="",0,IF($A76&lt;'Assump - LNG'!$D24,0,'Assump - LNG'!$C24*('Assump - LNG'!$F24+('Assump - LNG'!$G24-'Assump - LNG'!$F24)*MIN(1,((YEAR($A76)-YEAR('Assump - LNG'!$D24))*12+MONTH($A76)-MONTH('Assump - LNG'!$D24))/MAX('Assump - LNG'!$E24,1)))*INDEX('Assump - LNG'!$J$38:$J$49,MONTH($A76))))</f>
        <v/>
      </c>
      <c r="O76" s="14">
        <f>IF('Assump - LNG'!$D25="",0,IF($A76&lt;'Assump - LNG'!$D25,0,'Assump - LNG'!$C25*('Assump - LNG'!$F25+('Assump - LNG'!$G25-'Assump - LNG'!$F25)*MIN(1,((YEAR($A76)-YEAR('Assump - LNG'!$D25))*12+MONTH($A76)-MONTH('Assump - LNG'!$D25))/MAX('Assump - LNG'!$E25,1)))*INDEX('Assump - LNG'!$J$38:$J$49,MONTH($A76))))</f>
        <v/>
      </c>
      <c r="P76" s="14">
        <f>IF('Assump - LNG'!$D26="",0,IF($A76&lt;'Assump - LNG'!$D26,0,'Assump - LNG'!$C26*('Assump - LNG'!$F26+('Assump - LNG'!$G26-'Assump - LNG'!$F26)*MIN(1,((YEAR($A76)-YEAR('Assump - LNG'!$D26))*12+MONTH($A76)-MONTH('Assump - LNG'!$D26))/MAX('Assump - LNG'!$E26,1)))*INDEX('Assump - LNG'!$J$38:$J$49,MONTH($A76))))</f>
        <v/>
      </c>
      <c r="Q76" s="14">
        <f>IF('Assump - LNG'!$D27="",0,IF($A76&lt;'Assump - LNG'!$D27,0,'Assump - LNG'!$C27*('Assump - LNG'!$F27+('Assump - LNG'!$G27-'Assump - LNG'!$F27)*MIN(1,((YEAR($A76)-YEAR('Assump - LNG'!$D27))*12+MONTH($A76)-MONTH('Assump - LNG'!$D27))/MAX('Assump - LNG'!$E27,1)))*INDEX('Assump - LNG'!$J$38:$J$49,MONTH($A76))))</f>
        <v/>
      </c>
      <c r="R76" s="14">
        <f>IF('Assump - LNG'!$D28="",0,IF($A76&lt;'Assump - LNG'!$D28,0,'Assump - LNG'!$C28*('Assump - LNG'!$F28+('Assump - LNG'!$G28-'Assump - LNG'!$F28)*MIN(1,((YEAR($A76)-YEAR('Assump - LNG'!$D28))*12+MONTH($A76)-MONTH('Assump - LNG'!$D28))/MAX('Assump - LNG'!$E28,1)))*INDEX('Assump - LNG'!$J$38:$J$49,MONTH($A76))))</f>
        <v/>
      </c>
      <c r="S76" s="14">
        <f>IF('Assump - LNG'!$D29="",0,IF($A76&lt;'Assump - LNG'!$D29,0,'Assump - LNG'!$C29*('Assump - LNG'!$F29+('Assump - LNG'!$G29-'Assump - LNG'!$F29)*MIN(1,((YEAR($A76)-YEAR('Assump - LNG'!$D29))*12+MONTH($A76)-MONTH('Assump - LNG'!$D29))/MAX('Assump - LNG'!$E29,1)))*INDEX('Assump - LNG'!$J$38:$J$49,MONTH($A76))))</f>
        <v/>
      </c>
      <c r="T76" s="14">
        <f>IF('Assump - LNG'!$D30="",0,IF($A76&lt;'Assump - LNG'!$D30,0,'Assump - LNG'!$C30*('Assump - LNG'!$F30+('Assump - LNG'!$G30-'Assump - LNG'!$F30)*MIN(1,((YEAR($A76)-YEAR('Assump - LNG'!$D30))*12+MONTH($A76)-MONTH('Assump - LNG'!$D30))/MAX('Assump - LNG'!$E30,1)))*INDEX('Assump - LNG'!$J$38:$J$49,MONTH($A76))))</f>
        <v/>
      </c>
      <c r="U76" s="14">
        <f>IF('Assump - LNG'!$D31="",0,IF($A76&lt;'Assump - LNG'!$D31,0,'Assump - LNG'!$C31*('Assump - LNG'!$F31+('Assump - LNG'!$G31-'Assump - LNG'!$F31)*MIN(1,((YEAR($A76)-YEAR('Assump - LNG'!$D31))*12+MONTH($A76)-MONTH('Assump - LNG'!$D31))/MAX('Assump - LNG'!$E31,1)))*INDEX('Assump - LNG'!$J$38:$J$49,MONTH($A76))))</f>
        <v/>
      </c>
      <c r="V76" s="14">
        <f>IF('Assump - LNG'!$D12="",0,IF($A76&lt;IF('Assump - LNG'!$D12&gt;='Assump - LNG'!$B$6,EDATE('Assump - LNG'!$D12,'Assump - LNG'!$B$4),'Assump - LNG'!$D12),0,'Assump - LNG'!$C12*('Assump - LNG'!$F12+('Assump - LNG'!$G12-'Assump - LNG'!$F12)*MIN(1,((YEAR($A76)-YEAR(IF('Assump - LNG'!$D12&gt;='Assump - LNG'!$B$6,EDATE('Assump - LNG'!$D12,'Assump - LNG'!$B$4),'Assump - LNG'!$D12)))*12+MONTH($A76)-MONTH(IF('Assump - LNG'!$D12&gt;='Assump - LNG'!$B$6,EDATE('Assump - LNG'!$D12,'Assump - LNG'!$B$4),'Assump - LNG'!$D12)))/MAX('Assump - LNG'!$E12,1)))*INDEX('Assump - LNG'!$J$38:$J$49,MONTH($A76))))</f>
        <v/>
      </c>
      <c r="W76" s="14">
        <f>IF('Assump - LNG'!$D13="",0,IF($A76&lt;IF('Assump - LNG'!$D13&gt;='Assump - LNG'!$B$6,EDATE('Assump - LNG'!$D13,'Assump - LNG'!$B$4),'Assump - LNG'!$D13),0,'Assump - LNG'!$C13*('Assump - LNG'!$F13+('Assump - LNG'!$G13-'Assump - LNG'!$F13)*MIN(1,((YEAR($A76)-YEAR(IF('Assump - LNG'!$D13&gt;='Assump - LNG'!$B$6,EDATE('Assump - LNG'!$D13,'Assump - LNG'!$B$4),'Assump - LNG'!$D13)))*12+MONTH($A76)-MONTH(IF('Assump - LNG'!$D13&gt;='Assump - LNG'!$B$6,EDATE('Assump - LNG'!$D13,'Assump - LNG'!$B$4),'Assump - LNG'!$D13)))/MAX('Assump - LNG'!$E13,1)))*INDEX('Assump - LNG'!$J$38:$J$49,MONTH($A76))))</f>
        <v/>
      </c>
      <c r="X76" s="14">
        <f>IF('Assump - LNG'!$D14="",0,IF($A76&lt;IF('Assump - LNG'!$D14&gt;='Assump - LNG'!$B$6,EDATE('Assump - LNG'!$D14,'Assump - LNG'!$B$4),'Assump - LNG'!$D14),0,'Assump - LNG'!$C14*('Assump - LNG'!$F14+('Assump - LNG'!$G14-'Assump - LNG'!$F14)*MIN(1,((YEAR($A76)-YEAR(IF('Assump - LNG'!$D14&gt;='Assump - LNG'!$B$6,EDATE('Assump - LNG'!$D14,'Assump - LNG'!$B$4),'Assump - LNG'!$D14)))*12+MONTH($A76)-MONTH(IF('Assump - LNG'!$D14&gt;='Assump - LNG'!$B$6,EDATE('Assump - LNG'!$D14,'Assump - LNG'!$B$4),'Assump - LNG'!$D14)))/MAX('Assump - LNG'!$E14,1)))*INDEX('Assump - LNG'!$J$38:$J$49,MONTH($A76))))</f>
        <v/>
      </c>
      <c r="Y76" s="14">
        <f>IF('Assump - LNG'!$D15="",0,IF($A76&lt;IF('Assump - LNG'!$D15&gt;='Assump - LNG'!$B$6,EDATE('Assump - LNG'!$D15,'Assump - LNG'!$B$4),'Assump - LNG'!$D15),0,'Assump - LNG'!$C15*('Assump - LNG'!$F15+('Assump - LNG'!$G15-'Assump - LNG'!$F15)*MIN(1,((YEAR($A76)-YEAR(IF('Assump - LNG'!$D15&gt;='Assump - LNG'!$B$6,EDATE('Assump - LNG'!$D15,'Assump - LNG'!$B$4),'Assump - LNG'!$D15)))*12+MONTH($A76)-MONTH(IF('Assump - LNG'!$D15&gt;='Assump - LNG'!$B$6,EDATE('Assump - LNG'!$D15,'Assump - LNG'!$B$4),'Assump - LNG'!$D15)))/MAX('Assump - LNG'!$E15,1)))*INDEX('Assump - LNG'!$J$38:$J$49,MONTH($A76))))</f>
        <v/>
      </c>
      <c r="Z76" s="14">
        <f>IF('Assump - LNG'!$D16="",0,IF($A76&lt;IF('Assump - LNG'!$D16&gt;='Assump - LNG'!$B$6,EDATE('Assump - LNG'!$D16,'Assump - LNG'!$B$4),'Assump - LNG'!$D16),0,'Assump - LNG'!$C16*('Assump - LNG'!$F16+('Assump - LNG'!$G16-'Assump - LNG'!$F16)*MIN(1,((YEAR($A76)-YEAR(IF('Assump - LNG'!$D16&gt;='Assump - LNG'!$B$6,EDATE('Assump - LNG'!$D16,'Assump - LNG'!$B$4),'Assump - LNG'!$D16)))*12+MONTH($A76)-MONTH(IF('Assump - LNG'!$D16&gt;='Assump - LNG'!$B$6,EDATE('Assump - LNG'!$D16,'Assump - LNG'!$B$4),'Assump - LNG'!$D16)))/MAX('Assump - LNG'!$E16,1)))*INDEX('Assump - LNG'!$J$38:$J$49,MONTH($A76))))</f>
        <v/>
      </c>
      <c r="AA76" s="14">
        <f>IF('Assump - LNG'!$D17="",0,IF($A76&lt;IF('Assump - LNG'!$D17&gt;='Assump - LNG'!$B$6,EDATE('Assump - LNG'!$D17,'Assump - LNG'!$B$4),'Assump - LNG'!$D17),0,'Assump - LNG'!$C17*('Assump - LNG'!$F17+('Assump - LNG'!$G17-'Assump - LNG'!$F17)*MIN(1,((YEAR($A76)-YEAR(IF('Assump - LNG'!$D17&gt;='Assump - LNG'!$B$6,EDATE('Assump - LNG'!$D17,'Assump - LNG'!$B$4),'Assump - LNG'!$D17)))*12+MONTH($A76)-MONTH(IF('Assump - LNG'!$D17&gt;='Assump - LNG'!$B$6,EDATE('Assump - LNG'!$D17,'Assump - LNG'!$B$4),'Assump - LNG'!$D17)))/MAX('Assump - LNG'!$E17,1)))*INDEX('Assump - LNG'!$J$38:$J$49,MONTH($A76))))</f>
        <v/>
      </c>
      <c r="AB76" s="14">
        <f>IF('Assump - LNG'!$D18="",0,IF($A76&lt;IF('Assump - LNG'!$D18&gt;='Assump - LNG'!$B$6,EDATE('Assump - LNG'!$D18,'Assump - LNG'!$B$4),'Assump - LNG'!$D18),0,'Assump - LNG'!$C18*('Assump - LNG'!$F18+('Assump - LNG'!$G18-'Assump - LNG'!$F18)*MIN(1,((YEAR($A76)-YEAR(IF('Assump - LNG'!$D18&gt;='Assump - LNG'!$B$6,EDATE('Assump - LNG'!$D18,'Assump - LNG'!$B$4),'Assump - LNG'!$D18)))*12+MONTH($A76)-MONTH(IF('Assump - LNG'!$D18&gt;='Assump - LNG'!$B$6,EDATE('Assump - LNG'!$D18,'Assump - LNG'!$B$4),'Assump - LNG'!$D18)))/MAX('Assump - LNG'!$E18,1)))*INDEX('Assump - LNG'!$J$38:$J$49,MONTH($A76))))</f>
        <v/>
      </c>
      <c r="AC76" s="14">
        <f>IF('Assump - LNG'!$D19="",0,IF($A76&lt;IF('Assump - LNG'!$D19&gt;='Assump - LNG'!$B$6,EDATE('Assump - LNG'!$D19,'Assump - LNG'!$B$4),'Assump - LNG'!$D19),0,'Assump - LNG'!$C19*('Assump - LNG'!$F19+('Assump - LNG'!$G19-'Assump - LNG'!$F19)*MIN(1,((YEAR($A76)-YEAR(IF('Assump - LNG'!$D19&gt;='Assump - LNG'!$B$6,EDATE('Assump - LNG'!$D19,'Assump - LNG'!$B$4),'Assump - LNG'!$D19)))*12+MONTH($A76)-MONTH(IF('Assump - LNG'!$D19&gt;='Assump - LNG'!$B$6,EDATE('Assump - LNG'!$D19,'Assump - LNG'!$B$4),'Assump - LNG'!$D19)))/MAX('Assump - LNG'!$E19,1)))*INDEX('Assump - LNG'!$J$38:$J$49,MONTH($A76))))</f>
        <v/>
      </c>
      <c r="AD76" s="14">
        <f>IF('Assump - LNG'!$D20="",0,IF($A76&lt;IF('Assump - LNG'!$D20&gt;='Assump - LNG'!$B$6,EDATE('Assump - LNG'!$D20,'Assump - LNG'!$B$4),'Assump - LNG'!$D20),0,'Assump - LNG'!$C20*('Assump - LNG'!$F20+('Assump - LNG'!$G20-'Assump - LNG'!$F20)*MIN(1,((YEAR($A76)-YEAR(IF('Assump - LNG'!$D20&gt;='Assump - LNG'!$B$6,EDATE('Assump - LNG'!$D20,'Assump - LNG'!$B$4),'Assump - LNG'!$D20)))*12+MONTH($A76)-MONTH(IF('Assump - LNG'!$D20&gt;='Assump - LNG'!$B$6,EDATE('Assump - LNG'!$D20,'Assump - LNG'!$B$4),'Assump - LNG'!$D20)))/MAX('Assump - LNG'!$E20,1)))*INDEX('Assump - LNG'!$J$38:$J$49,MONTH($A76))))</f>
        <v/>
      </c>
      <c r="AE76" s="14">
        <f>IF('Assump - LNG'!$D21="",0,IF($A76&lt;IF('Assump - LNG'!$D21&gt;='Assump - LNG'!$B$6,EDATE('Assump - LNG'!$D21,'Assump - LNG'!$B$4),'Assump - LNG'!$D21),0,'Assump - LNG'!$C21*('Assump - LNG'!$F21+('Assump - LNG'!$G21-'Assump - LNG'!$F21)*MIN(1,((YEAR($A76)-YEAR(IF('Assump - LNG'!$D21&gt;='Assump - LNG'!$B$6,EDATE('Assump - LNG'!$D21,'Assump - LNG'!$B$4),'Assump - LNG'!$D21)))*12+MONTH($A76)-MONTH(IF('Assump - LNG'!$D21&gt;='Assump - LNG'!$B$6,EDATE('Assump - LNG'!$D21,'Assump - LNG'!$B$4),'Assump - LNG'!$D21)))/MAX('Assump - LNG'!$E21,1)))*INDEX('Assump - LNG'!$J$38:$J$49,MONTH($A76))))</f>
        <v/>
      </c>
      <c r="AF76" s="14">
        <f>IF('Assump - LNG'!$D22="",0,IF($A76&lt;IF('Assump - LNG'!$D22&gt;='Assump - LNG'!$B$6,EDATE('Assump - LNG'!$D22,'Assump - LNG'!$B$4),'Assump - LNG'!$D22),0,'Assump - LNG'!$C22*('Assump - LNG'!$F22+('Assump - LNG'!$G22-'Assump - LNG'!$F22)*MIN(1,((YEAR($A76)-YEAR(IF('Assump - LNG'!$D22&gt;='Assump - LNG'!$B$6,EDATE('Assump - LNG'!$D22,'Assump - LNG'!$B$4),'Assump - LNG'!$D22)))*12+MONTH($A76)-MONTH(IF('Assump - LNG'!$D22&gt;='Assump - LNG'!$B$6,EDATE('Assump - LNG'!$D22,'Assump - LNG'!$B$4),'Assump - LNG'!$D22)))/MAX('Assump - LNG'!$E22,1)))*INDEX('Assump - LNG'!$J$38:$J$49,MONTH($A76))))</f>
        <v/>
      </c>
      <c r="AG76" s="14">
        <f>IF('Assump - LNG'!$D23="",0,IF($A76&lt;IF('Assump - LNG'!$D23&gt;='Assump - LNG'!$B$6,EDATE('Assump - LNG'!$D23,'Assump - LNG'!$B$4),'Assump - LNG'!$D23),0,'Assump - LNG'!$C23*('Assump - LNG'!$F23+('Assump - LNG'!$G23-'Assump - LNG'!$F23)*MIN(1,((YEAR($A76)-YEAR(IF('Assump - LNG'!$D23&gt;='Assump - LNG'!$B$6,EDATE('Assump - LNG'!$D23,'Assump - LNG'!$B$4),'Assump - LNG'!$D23)))*12+MONTH($A76)-MONTH(IF('Assump - LNG'!$D23&gt;='Assump - LNG'!$B$6,EDATE('Assump - LNG'!$D23,'Assump - LNG'!$B$4),'Assump - LNG'!$D23)))/MAX('Assump - LNG'!$E23,1)))*INDEX('Assump - LNG'!$J$38:$J$49,MONTH($A76))))</f>
        <v/>
      </c>
      <c r="AH76" s="14">
        <f>IF('Assump - LNG'!$D24="",0,IF($A76&lt;IF('Assump - LNG'!$D24&gt;='Assump - LNG'!$B$6,EDATE('Assump - LNG'!$D24,'Assump - LNG'!$B$4),'Assump - LNG'!$D24),0,'Assump - LNG'!$C24*('Assump - LNG'!$F24+('Assump - LNG'!$G24-'Assump - LNG'!$F24)*MIN(1,((YEAR($A76)-YEAR(IF('Assump - LNG'!$D24&gt;='Assump - LNG'!$B$6,EDATE('Assump - LNG'!$D24,'Assump - LNG'!$B$4),'Assump - LNG'!$D24)))*12+MONTH($A76)-MONTH(IF('Assump - LNG'!$D24&gt;='Assump - LNG'!$B$6,EDATE('Assump - LNG'!$D24,'Assump - LNG'!$B$4),'Assump - LNG'!$D24)))/MAX('Assump - LNG'!$E24,1)))*INDEX('Assump - LNG'!$J$38:$J$49,MONTH($A76))))</f>
        <v/>
      </c>
      <c r="AI76" s="14">
        <f>IF('Assump - LNG'!$D25="",0,IF($A76&lt;IF('Assump - LNG'!$D25&gt;='Assump - LNG'!$B$6,EDATE('Assump - LNG'!$D25,'Assump - LNG'!$B$4),'Assump - LNG'!$D25),0,'Assump - LNG'!$C25*('Assump - LNG'!$F25+('Assump - LNG'!$G25-'Assump - LNG'!$F25)*MIN(1,((YEAR($A76)-YEAR(IF('Assump - LNG'!$D25&gt;='Assump - LNG'!$B$6,EDATE('Assump - LNG'!$D25,'Assump - LNG'!$B$4),'Assump - LNG'!$D25)))*12+MONTH($A76)-MONTH(IF('Assump - LNG'!$D25&gt;='Assump - LNG'!$B$6,EDATE('Assump - LNG'!$D25,'Assump - LNG'!$B$4),'Assump - LNG'!$D25)))/MAX('Assump - LNG'!$E25,1)))*INDEX('Assump - LNG'!$J$38:$J$49,MONTH($A76))))</f>
        <v/>
      </c>
      <c r="AJ76" s="14">
        <f>IF('Assump - LNG'!$D26="",0,IF($A76&lt;IF('Assump - LNG'!$D26&gt;='Assump - LNG'!$B$6,EDATE('Assump - LNG'!$D26,'Assump - LNG'!$B$4),'Assump - LNG'!$D26),0,'Assump - LNG'!$C26*('Assump - LNG'!$F26+('Assump - LNG'!$G26-'Assump - LNG'!$F26)*MIN(1,((YEAR($A76)-YEAR(IF('Assump - LNG'!$D26&gt;='Assump - LNG'!$B$6,EDATE('Assump - LNG'!$D26,'Assump - LNG'!$B$4),'Assump - LNG'!$D26)))*12+MONTH($A76)-MONTH(IF('Assump - LNG'!$D26&gt;='Assump - LNG'!$B$6,EDATE('Assump - LNG'!$D26,'Assump - LNG'!$B$4),'Assump - LNG'!$D26)))/MAX('Assump - LNG'!$E26,1)))*INDEX('Assump - LNG'!$J$38:$J$49,MONTH($A76))))</f>
        <v/>
      </c>
      <c r="AK76" s="14">
        <f>IF('Assump - LNG'!$D27="",0,IF($A76&lt;IF('Assump - LNG'!$D27&gt;='Assump - LNG'!$B$6,EDATE('Assump - LNG'!$D27,'Assump - LNG'!$B$4),'Assump - LNG'!$D27),0,'Assump - LNG'!$C27*('Assump - LNG'!$F27+('Assump - LNG'!$G27-'Assump - LNG'!$F27)*MIN(1,((YEAR($A76)-YEAR(IF('Assump - LNG'!$D27&gt;='Assump - LNG'!$B$6,EDATE('Assump - LNG'!$D27,'Assump - LNG'!$B$4),'Assump - LNG'!$D27)))*12+MONTH($A76)-MONTH(IF('Assump - LNG'!$D27&gt;='Assump - LNG'!$B$6,EDATE('Assump - LNG'!$D27,'Assump - LNG'!$B$4),'Assump - LNG'!$D27)))/MAX('Assump - LNG'!$E27,1)))*INDEX('Assump - LNG'!$J$38:$J$49,MONTH($A76))))</f>
        <v/>
      </c>
      <c r="AL76" s="14">
        <f>IF('Assump - LNG'!$D28="",0,IF($A76&lt;IF('Assump - LNG'!$D28&gt;='Assump - LNG'!$B$6,EDATE('Assump - LNG'!$D28,'Assump - LNG'!$B$4),'Assump - LNG'!$D28),0,'Assump - LNG'!$C28*('Assump - LNG'!$F28+('Assump - LNG'!$G28-'Assump - LNG'!$F28)*MIN(1,((YEAR($A76)-YEAR(IF('Assump - LNG'!$D28&gt;='Assump - LNG'!$B$6,EDATE('Assump - LNG'!$D28,'Assump - LNG'!$B$4),'Assump - LNG'!$D28)))*12+MONTH($A76)-MONTH(IF('Assump - LNG'!$D28&gt;='Assump - LNG'!$B$6,EDATE('Assump - LNG'!$D28,'Assump - LNG'!$B$4),'Assump - LNG'!$D28)))/MAX('Assump - LNG'!$E28,1)))*INDEX('Assump - LNG'!$J$38:$J$49,MONTH($A76))))</f>
        <v/>
      </c>
      <c r="AM76" s="14">
        <f>IF('Assump - LNG'!$D29="",0,IF($A76&lt;IF('Assump - LNG'!$D29&gt;='Assump - LNG'!$B$6,EDATE('Assump - LNG'!$D29,'Assump - LNG'!$B$4),'Assump - LNG'!$D29),0,'Assump - LNG'!$C29*('Assump - LNG'!$F29+('Assump - LNG'!$G29-'Assump - LNG'!$F29)*MIN(1,((YEAR($A76)-YEAR(IF('Assump - LNG'!$D29&gt;='Assump - LNG'!$B$6,EDATE('Assump - LNG'!$D29,'Assump - LNG'!$B$4),'Assump - LNG'!$D29)))*12+MONTH($A76)-MONTH(IF('Assump - LNG'!$D29&gt;='Assump - LNG'!$B$6,EDATE('Assump - LNG'!$D29,'Assump - LNG'!$B$4),'Assump - LNG'!$D29)))/MAX('Assump - LNG'!$E29,1)))*INDEX('Assump - LNG'!$J$38:$J$49,MONTH($A76))))</f>
        <v/>
      </c>
      <c r="AN76" s="14">
        <f>IF('Assump - LNG'!$D30="",0,IF($A76&lt;IF('Assump - LNG'!$D30&gt;='Assump - LNG'!$B$6,EDATE('Assump - LNG'!$D30,'Assump - LNG'!$B$4),'Assump - LNG'!$D30),0,'Assump - LNG'!$C30*('Assump - LNG'!$F30+('Assump - LNG'!$G30-'Assump - LNG'!$F30)*MIN(1,((YEAR($A76)-YEAR(IF('Assump - LNG'!$D30&gt;='Assump - LNG'!$B$6,EDATE('Assump - LNG'!$D30,'Assump - LNG'!$B$4),'Assump - LNG'!$D30)))*12+MONTH($A76)-MONTH(IF('Assump - LNG'!$D30&gt;='Assump - LNG'!$B$6,EDATE('Assump - LNG'!$D30,'Assump - LNG'!$B$4),'Assump - LNG'!$D30)))/MAX('Assump - LNG'!$E30,1)))*INDEX('Assump - LNG'!$J$38:$J$49,MONTH($A76))))</f>
        <v/>
      </c>
      <c r="AO76" s="14">
        <f>IF('Assump - LNG'!$D31="",0,IF($A76&lt;IF('Assump - LNG'!$D31&gt;='Assump - LNG'!$B$6,EDATE('Assump - LNG'!$D31,'Assump - LNG'!$B$4),'Assump - LNG'!$D31),0,'Assump - LNG'!$C31*('Assump - LNG'!$F31+('Assump - LNG'!$G31-'Assump - LNG'!$F31)*MIN(1,((YEAR($A76)-YEAR(IF('Assump - LNG'!$D31&gt;='Assump - LNG'!$B$6,EDATE('Assump - LNG'!$D31,'Assump - LNG'!$B$4),'Assump - LNG'!$D31)))*12+MONTH($A76)-MONTH(IF('Assump - LNG'!$D31&gt;='Assump - LNG'!$B$6,EDATE('Assump - LNG'!$D31,'Assump - LNG'!$B$4),'Assump - LNG'!$D31)))/MAX('Assump - LNG'!$E31,1)))*INDEX('Assump - LNG'!$J$38:$J$49,MONTH($A76))))</f>
        <v/>
      </c>
    </row>
    <row r="77">
      <c r="A77" s="12" t="n">
        <v>46357</v>
      </c>
      <c r="B77" s="14">
        <f>IF('Assump - LNG'!$D12="",0,IF($A77&lt;'Assump - LNG'!$D12,0,'Assump - LNG'!$C12*('Assump - LNG'!$F12+('Assump - LNG'!$G12-'Assump - LNG'!$F12)*MIN(1,((YEAR($A77)-YEAR('Assump - LNG'!$D12))*12+MONTH($A77)-MONTH('Assump - LNG'!$D12))/MAX('Assump - LNG'!$E12,1)))*INDEX('Assump - LNG'!$J$38:$J$49,MONTH($A77))))</f>
        <v/>
      </c>
      <c r="C77" s="14">
        <f>IF('Assump - LNG'!$D13="",0,IF($A77&lt;'Assump - LNG'!$D13,0,'Assump - LNG'!$C13*('Assump - LNG'!$F13+('Assump - LNG'!$G13-'Assump - LNG'!$F13)*MIN(1,((YEAR($A77)-YEAR('Assump - LNG'!$D13))*12+MONTH($A77)-MONTH('Assump - LNG'!$D13))/MAX('Assump - LNG'!$E13,1)))*INDEX('Assump - LNG'!$J$38:$J$49,MONTH($A77))))</f>
        <v/>
      </c>
      <c r="D77" s="14">
        <f>IF('Assump - LNG'!$D14="",0,IF($A77&lt;'Assump - LNG'!$D14,0,'Assump - LNG'!$C14*('Assump - LNG'!$F14+('Assump - LNG'!$G14-'Assump - LNG'!$F14)*MIN(1,((YEAR($A77)-YEAR('Assump - LNG'!$D14))*12+MONTH($A77)-MONTH('Assump - LNG'!$D14))/MAX('Assump - LNG'!$E14,1)))*INDEX('Assump - LNG'!$J$38:$J$49,MONTH($A77))))</f>
        <v/>
      </c>
      <c r="E77" s="14">
        <f>IF('Assump - LNG'!$D15="",0,IF($A77&lt;'Assump - LNG'!$D15,0,'Assump - LNG'!$C15*('Assump - LNG'!$F15+('Assump - LNG'!$G15-'Assump - LNG'!$F15)*MIN(1,((YEAR($A77)-YEAR('Assump - LNG'!$D15))*12+MONTH($A77)-MONTH('Assump - LNG'!$D15))/MAX('Assump - LNG'!$E15,1)))*INDEX('Assump - LNG'!$J$38:$J$49,MONTH($A77))))</f>
        <v/>
      </c>
      <c r="F77" s="14">
        <f>IF('Assump - LNG'!$D16="",0,IF($A77&lt;'Assump - LNG'!$D16,0,'Assump - LNG'!$C16*('Assump - LNG'!$F16+('Assump - LNG'!$G16-'Assump - LNG'!$F16)*MIN(1,((YEAR($A77)-YEAR('Assump - LNG'!$D16))*12+MONTH($A77)-MONTH('Assump - LNG'!$D16))/MAX('Assump - LNG'!$E16,1)))*INDEX('Assump - LNG'!$J$38:$J$49,MONTH($A77))))</f>
        <v/>
      </c>
      <c r="G77" s="14">
        <f>IF('Assump - LNG'!$D17="",0,IF($A77&lt;'Assump - LNG'!$D17,0,'Assump - LNG'!$C17*('Assump - LNG'!$F17+('Assump - LNG'!$G17-'Assump - LNG'!$F17)*MIN(1,((YEAR($A77)-YEAR('Assump - LNG'!$D17))*12+MONTH($A77)-MONTH('Assump - LNG'!$D17))/MAX('Assump - LNG'!$E17,1)))*INDEX('Assump - LNG'!$J$38:$J$49,MONTH($A77))))</f>
        <v/>
      </c>
      <c r="H77" s="14">
        <f>IF('Assump - LNG'!$D18="",0,IF($A77&lt;'Assump - LNG'!$D18,0,'Assump - LNG'!$C18*('Assump - LNG'!$F18+('Assump - LNG'!$G18-'Assump - LNG'!$F18)*MIN(1,((YEAR($A77)-YEAR('Assump - LNG'!$D18))*12+MONTH($A77)-MONTH('Assump - LNG'!$D18))/MAX('Assump - LNG'!$E18,1)))*INDEX('Assump - LNG'!$J$38:$J$49,MONTH($A77))))</f>
        <v/>
      </c>
      <c r="I77" s="14">
        <f>IF('Assump - LNG'!$D19="",0,IF($A77&lt;'Assump - LNG'!$D19,0,'Assump - LNG'!$C19*('Assump - LNG'!$F19+('Assump - LNG'!$G19-'Assump - LNG'!$F19)*MIN(1,((YEAR($A77)-YEAR('Assump - LNG'!$D19))*12+MONTH($A77)-MONTH('Assump - LNG'!$D19))/MAX('Assump - LNG'!$E19,1)))*INDEX('Assump - LNG'!$J$38:$J$49,MONTH($A77))))</f>
        <v/>
      </c>
      <c r="J77" s="14">
        <f>IF('Assump - LNG'!$D20="",0,IF($A77&lt;'Assump - LNG'!$D20,0,'Assump - LNG'!$C20*('Assump - LNG'!$F20+('Assump - LNG'!$G20-'Assump - LNG'!$F20)*MIN(1,((YEAR($A77)-YEAR('Assump - LNG'!$D20))*12+MONTH($A77)-MONTH('Assump - LNG'!$D20))/MAX('Assump - LNG'!$E20,1)))*INDEX('Assump - LNG'!$J$38:$J$49,MONTH($A77))))</f>
        <v/>
      </c>
      <c r="K77" s="14">
        <f>IF('Assump - LNG'!$D21="",0,IF($A77&lt;'Assump - LNG'!$D21,0,'Assump - LNG'!$C21*('Assump - LNG'!$F21+('Assump - LNG'!$G21-'Assump - LNG'!$F21)*MIN(1,((YEAR($A77)-YEAR('Assump - LNG'!$D21))*12+MONTH($A77)-MONTH('Assump - LNG'!$D21))/MAX('Assump - LNG'!$E21,1)))*INDEX('Assump - LNG'!$J$38:$J$49,MONTH($A77))))</f>
        <v/>
      </c>
      <c r="L77" s="14">
        <f>IF('Assump - LNG'!$D22="",0,IF($A77&lt;'Assump - LNG'!$D22,0,'Assump - LNG'!$C22*('Assump - LNG'!$F22+('Assump - LNG'!$G22-'Assump - LNG'!$F22)*MIN(1,((YEAR($A77)-YEAR('Assump - LNG'!$D22))*12+MONTH($A77)-MONTH('Assump - LNG'!$D22))/MAX('Assump - LNG'!$E22,1)))*INDEX('Assump - LNG'!$J$38:$J$49,MONTH($A77))))</f>
        <v/>
      </c>
      <c r="M77" s="14">
        <f>IF('Assump - LNG'!$D23="",0,IF($A77&lt;'Assump - LNG'!$D23,0,'Assump - LNG'!$C23*('Assump - LNG'!$F23+('Assump - LNG'!$G23-'Assump - LNG'!$F23)*MIN(1,((YEAR($A77)-YEAR('Assump - LNG'!$D23))*12+MONTH($A77)-MONTH('Assump - LNG'!$D23))/MAX('Assump - LNG'!$E23,1)))*INDEX('Assump - LNG'!$J$38:$J$49,MONTH($A77))))</f>
        <v/>
      </c>
      <c r="N77" s="14">
        <f>IF('Assump - LNG'!$D24="",0,IF($A77&lt;'Assump - LNG'!$D24,0,'Assump - LNG'!$C24*('Assump - LNG'!$F24+('Assump - LNG'!$G24-'Assump - LNG'!$F24)*MIN(1,((YEAR($A77)-YEAR('Assump - LNG'!$D24))*12+MONTH($A77)-MONTH('Assump - LNG'!$D24))/MAX('Assump - LNG'!$E24,1)))*INDEX('Assump - LNG'!$J$38:$J$49,MONTH($A77))))</f>
        <v/>
      </c>
      <c r="O77" s="14">
        <f>IF('Assump - LNG'!$D25="",0,IF($A77&lt;'Assump - LNG'!$D25,0,'Assump - LNG'!$C25*('Assump - LNG'!$F25+('Assump - LNG'!$G25-'Assump - LNG'!$F25)*MIN(1,((YEAR($A77)-YEAR('Assump - LNG'!$D25))*12+MONTH($A77)-MONTH('Assump - LNG'!$D25))/MAX('Assump - LNG'!$E25,1)))*INDEX('Assump - LNG'!$J$38:$J$49,MONTH($A77))))</f>
        <v/>
      </c>
      <c r="P77" s="14">
        <f>IF('Assump - LNG'!$D26="",0,IF($A77&lt;'Assump - LNG'!$D26,0,'Assump - LNG'!$C26*('Assump - LNG'!$F26+('Assump - LNG'!$G26-'Assump - LNG'!$F26)*MIN(1,((YEAR($A77)-YEAR('Assump - LNG'!$D26))*12+MONTH($A77)-MONTH('Assump - LNG'!$D26))/MAX('Assump - LNG'!$E26,1)))*INDEX('Assump - LNG'!$J$38:$J$49,MONTH($A77))))</f>
        <v/>
      </c>
      <c r="Q77" s="14">
        <f>IF('Assump - LNG'!$D27="",0,IF($A77&lt;'Assump - LNG'!$D27,0,'Assump - LNG'!$C27*('Assump - LNG'!$F27+('Assump - LNG'!$G27-'Assump - LNG'!$F27)*MIN(1,((YEAR($A77)-YEAR('Assump - LNG'!$D27))*12+MONTH($A77)-MONTH('Assump - LNG'!$D27))/MAX('Assump - LNG'!$E27,1)))*INDEX('Assump - LNG'!$J$38:$J$49,MONTH($A77))))</f>
        <v/>
      </c>
      <c r="R77" s="14">
        <f>IF('Assump - LNG'!$D28="",0,IF($A77&lt;'Assump - LNG'!$D28,0,'Assump - LNG'!$C28*('Assump - LNG'!$F28+('Assump - LNG'!$G28-'Assump - LNG'!$F28)*MIN(1,((YEAR($A77)-YEAR('Assump - LNG'!$D28))*12+MONTH($A77)-MONTH('Assump - LNG'!$D28))/MAX('Assump - LNG'!$E28,1)))*INDEX('Assump - LNG'!$J$38:$J$49,MONTH($A77))))</f>
        <v/>
      </c>
      <c r="S77" s="14">
        <f>IF('Assump - LNG'!$D29="",0,IF($A77&lt;'Assump - LNG'!$D29,0,'Assump - LNG'!$C29*('Assump - LNG'!$F29+('Assump - LNG'!$G29-'Assump - LNG'!$F29)*MIN(1,((YEAR($A77)-YEAR('Assump - LNG'!$D29))*12+MONTH($A77)-MONTH('Assump - LNG'!$D29))/MAX('Assump - LNG'!$E29,1)))*INDEX('Assump - LNG'!$J$38:$J$49,MONTH($A77))))</f>
        <v/>
      </c>
      <c r="T77" s="14">
        <f>IF('Assump - LNG'!$D30="",0,IF($A77&lt;'Assump - LNG'!$D30,0,'Assump - LNG'!$C30*('Assump - LNG'!$F30+('Assump - LNG'!$G30-'Assump - LNG'!$F30)*MIN(1,((YEAR($A77)-YEAR('Assump - LNG'!$D30))*12+MONTH($A77)-MONTH('Assump - LNG'!$D30))/MAX('Assump - LNG'!$E30,1)))*INDEX('Assump - LNG'!$J$38:$J$49,MONTH($A77))))</f>
        <v/>
      </c>
      <c r="U77" s="14">
        <f>IF('Assump - LNG'!$D31="",0,IF($A77&lt;'Assump - LNG'!$D31,0,'Assump - LNG'!$C31*('Assump - LNG'!$F31+('Assump - LNG'!$G31-'Assump - LNG'!$F31)*MIN(1,((YEAR($A77)-YEAR('Assump - LNG'!$D31))*12+MONTH($A77)-MONTH('Assump - LNG'!$D31))/MAX('Assump - LNG'!$E31,1)))*INDEX('Assump - LNG'!$J$38:$J$49,MONTH($A77))))</f>
        <v/>
      </c>
      <c r="V77" s="14">
        <f>IF('Assump - LNG'!$D12="",0,IF($A77&lt;IF('Assump - LNG'!$D12&gt;='Assump - LNG'!$B$6,EDATE('Assump - LNG'!$D12,'Assump - LNG'!$B$4),'Assump - LNG'!$D12),0,'Assump - LNG'!$C12*('Assump - LNG'!$F12+('Assump - LNG'!$G12-'Assump - LNG'!$F12)*MIN(1,((YEAR($A77)-YEAR(IF('Assump - LNG'!$D12&gt;='Assump - LNG'!$B$6,EDATE('Assump - LNG'!$D12,'Assump - LNG'!$B$4),'Assump - LNG'!$D12)))*12+MONTH($A77)-MONTH(IF('Assump - LNG'!$D12&gt;='Assump - LNG'!$B$6,EDATE('Assump - LNG'!$D12,'Assump - LNG'!$B$4),'Assump - LNG'!$D12)))/MAX('Assump - LNG'!$E12,1)))*INDEX('Assump - LNG'!$J$38:$J$49,MONTH($A77))))</f>
        <v/>
      </c>
      <c r="W77" s="14">
        <f>IF('Assump - LNG'!$D13="",0,IF($A77&lt;IF('Assump - LNG'!$D13&gt;='Assump - LNG'!$B$6,EDATE('Assump - LNG'!$D13,'Assump - LNG'!$B$4),'Assump - LNG'!$D13),0,'Assump - LNG'!$C13*('Assump - LNG'!$F13+('Assump - LNG'!$G13-'Assump - LNG'!$F13)*MIN(1,((YEAR($A77)-YEAR(IF('Assump - LNG'!$D13&gt;='Assump - LNG'!$B$6,EDATE('Assump - LNG'!$D13,'Assump - LNG'!$B$4),'Assump - LNG'!$D13)))*12+MONTH($A77)-MONTH(IF('Assump - LNG'!$D13&gt;='Assump - LNG'!$B$6,EDATE('Assump - LNG'!$D13,'Assump - LNG'!$B$4),'Assump - LNG'!$D13)))/MAX('Assump - LNG'!$E13,1)))*INDEX('Assump - LNG'!$J$38:$J$49,MONTH($A77))))</f>
        <v/>
      </c>
      <c r="X77" s="14">
        <f>IF('Assump - LNG'!$D14="",0,IF($A77&lt;IF('Assump - LNG'!$D14&gt;='Assump - LNG'!$B$6,EDATE('Assump - LNG'!$D14,'Assump - LNG'!$B$4),'Assump - LNG'!$D14),0,'Assump - LNG'!$C14*('Assump - LNG'!$F14+('Assump - LNG'!$G14-'Assump - LNG'!$F14)*MIN(1,((YEAR($A77)-YEAR(IF('Assump - LNG'!$D14&gt;='Assump - LNG'!$B$6,EDATE('Assump - LNG'!$D14,'Assump - LNG'!$B$4),'Assump - LNG'!$D14)))*12+MONTH($A77)-MONTH(IF('Assump - LNG'!$D14&gt;='Assump - LNG'!$B$6,EDATE('Assump - LNG'!$D14,'Assump - LNG'!$B$4),'Assump - LNG'!$D14)))/MAX('Assump - LNG'!$E14,1)))*INDEX('Assump - LNG'!$J$38:$J$49,MONTH($A77))))</f>
        <v/>
      </c>
      <c r="Y77" s="14">
        <f>IF('Assump - LNG'!$D15="",0,IF($A77&lt;IF('Assump - LNG'!$D15&gt;='Assump - LNG'!$B$6,EDATE('Assump - LNG'!$D15,'Assump - LNG'!$B$4),'Assump - LNG'!$D15),0,'Assump - LNG'!$C15*('Assump - LNG'!$F15+('Assump - LNG'!$G15-'Assump - LNG'!$F15)*MIN(1,((YEAR($A77)-YEAR(IF('Assump - LNG'!$D15&gt;='Assump - LNG'!$B$6,EDATE('Assump - LNG'!$D15,'Assump - LNG'!$B$4),'Assump - LNG'!$D15)))*12+MONTH($A77)-MONTH(IF('Assump - LNG'!$D15&gt;='Assump - LNG'!$B$6,EDATE('Assump - LNG'!$D15,'Assump - LNG'!$B$4),'Assump - LNG'!$D15)))/MAX('Assump - LNG'!$E15,1)))*INDEX('Assump - LNG'!$J$38:$J$49,MONTH($A77))))</f>
        <v/>
      </c>
      <c r="Z77" s="14">
        <f>IF('Assump - LNG'!$D16="",0,IF($A77&lt;IF('Assump - LNG'!$D16&gt;='Assump - LNG'!$B$6,EDATE('Assump - LNG'!$D16,'Assump - LNG'!$B$4),'Assump - LNG'!$D16),0,'Assump - LNG'!$C16*('Assump - LNG'!$F16+('Assump - LNG'!$G16-'Assump - LNG'!$F16)*MIN(1,((YEAR($A77)-YEAR(IF('Assump - LNG'!$D16&gt;='Assump - LNG'!$B$6,EDATE('Assump - LNG'!$D16,'Assump - LNG'!$B$4),'Assump - LNG'!$D16)))*12+MONTH($A77)-MONTH(IF('Assump - LNG'!$D16&gt;='Assump - LNG'!$B$6,EDATE('Assump - LNG'!$D16,'Assump - LNG'!$B$4),'Assump - LNG'!$D16)))/MAX('Assump - LNG'!$E16,1)))*INDEX('Assump - LNG'!$J$38:$J$49,MONTH($A77))))</f>
        <v/>
      </c>
      <c r="AA77" s="14">
        <f>IF('Assump - LNG'!$D17="",0,IF($A77&lt;IF('Assump - LNG'!$D17&gt;='Assump - LNG'!$B$6,EDATE('Assump - LNG'!$D17,'Assump - LNG'!$B$4),'Assump - LNG'!$D17),0,'Assump - LNG'!$C17*('Assump - LNG'!$F17+('Assump - LNG'!$G17-'Assump - LNG'!$F17)*MIN(1,((YEAR($A77)-YEAR(IF('Assump - LNG'!$D17&gt;='Assump - LNG'!$B$6,EDATE('Assump - LNG'!$D17,'Assump - LNG'!$B$4),'Assump - LNG'!$D17)))*12+MONTH($A77)-MONTH(IF('Assump - LNG'!$D17&gt;='Assump - LNG'!$B$6,EDATE('Assump - LNG'!$D17,'Assump - LNG'!$B$4),'Assump - LNG'!$D17)))/MAX('Assump - LNG'!$E17,1)))*INDEX('Assump - LNG'!$J$38:$J$49,MONTH($A77))))</f>
        <v/>
      </c>
      <c r="AB77" s="14">
        <f>IF('Assump - LNG'!$D18="",0,IF($A77&lt;IF('Assump - LNG'!$D18&gt;='Assump - LNG'!$B$6,EDATE('Assump - LNG'!$D18,'Assump - LNG'!$B$4),'Assump - LNG'!$D18),0,'Assump - LNG'!$C18*('Assump - LNG'!$F18+('Assump - LNG'!$G18-'Assump - LNG'!$F18)*MIN(1,((YEAR($A77)-YEAR(IF('Assump - LNG'!$D18&gt;='Assump - LNG'!$B$6,EDATE('Assump - LNG'!$D18,'Assump - LNG'!$B$4),'Assump - LNG'!$D18)))*12+MONTH($A77)-MONTH(IF('Assump - LNG'!$D18&gt;='Assump - LNG'!$B$6,EDATE('Assump - LNG'!$D18,'Assump - LNG'!$B$4),'Assump - LNG'!$D18)))/MAX('Assump - LNG'!$E18,1)))*INDEX('Assump - LNG'!$J$38:$J$49,MONTH($A77))))</f>
        <v/>
      </c>
      <c r="AC77" s="14">
        <f>IF('Assump - LNG'!$D19="",0,IF($A77&lt;IF('Assump - LNG'!$D19&gt;='Assump - LNG'!$B$6,EDATE('Assump - LNG'!$D19,'Assump - LNG'!$B$4),'Assump - LNG'!$D19),0,'Assump - LNG'!$C19*('Assump - LNG'!$F19+('Assump - LNG'!$G19-'Assump - LNG'!$F19)*MIN(1,((YEAR($A77)-YEAR(IF('Assump - LNG'!$D19&gt;='Assump - LNG'!$B$6,EDATE('Assump - LNG'!$D19,'Assump - LNG'!$B$4),'Assump - LNG'!$D19)))*12+MONTH($A77)-MONTH(IF('Assump - LNG'!$D19&gt;='Assump - LNG'!$B$6,EDATE('Assump - LNG'!$D19,'Assump - LNG'!$B$4),'Assump - LNG'!$D19)))/MAX('Assump - LNG'!$E19,1)))*INDEX('Assump - LNG'!$J$38:$J$49,MONTH($A77))))</f>
        <v/>
      </c>
      <c r="AD77" s="14">
        <f>IF('Assump - LNG'!$D20="",0,IF($A77&lt;IF('Assump - LNG'!$D20&gt;='Assump - LNG'!$B$6,EDATE('Assump - LNG'!$D20,'Assump - LNG'!$B$4),'Assump - LNG'!$D20),0,'Assump - LNG'!$C20*('Assump - LNG'!$F20+('Assump - LNG'!$G20-'Assump - LNG'!$F20)*MIN(1,((YEAR($A77)-YEAR(IF('Assump - LNG'!$D20&gt;='Assump - LNG'!$B$6,EDATE('Assump - LNG'!$D20,'Assump - LNG'!$B$4),'Assump - LNG'!$D20)))*12+MONTH($A77)-MONTH(IF('Assump - LNG'!$D20&gt;='Assump - LNG'!$B$6,EDATE('Assump - LNG'!$D20,'Assump - LNG'!$B$4),'Assump - LNG'!$D20)))/MAX('Assump - LNG'!$E20,1)))*INDEX('Assump - LNG'!$J$38:$J$49,MONTH($A77))))</f>
        <v/>
      </c>
      <c r="AE77" s="14">
        <f>IF('Assump - LNG'!$D21="",0,IF($A77&lt;IF('Assump - LNG'!$D21&gt;='Assump - LNG'!$B$6,EDATE('Assump - LNG'!$D21,'Assump - LNG'!$B$4),'Assump - LNG'!$D21),0,'Assump - LNG'!$C21*('Assump - LNG'!$F21+('Assump - LNG'!$G21-'Assump - LNG'!$F21)*MIN(1,((YEAR($A77)-YEAR(IF('Assump - LNG'!$D21&gt;='Assump - LNG'!$B$6,EDATE('Assump - LNG'!$D21,'Assump - LNG'!$B$4),'Assump - LNG'!$D21)))*12+MONTH($A77)-MONTH(IF('Assump - LNG'!$D21&gt;='Assump - LNG'!$B$6,EDATE('Assump - LNG'!$D21,'Assump - LNG'!$B$4),'Assump - LNG'!$D21)))/MAX('Assump - LNG'!$E21,1)))*INDEX('Assump - LNG'!$J$38:$J$49,MONTH($A77))))</f>
        <v/>
      </c>
      <c r="AF77" s="14">
        <f>IF('Assump - LNG'!$D22="",0,IF($A77&lt;IF('Assump - LNG'!$D22&gt;='Assump - LNG'!$B$6,EDATE('Assump - LNG'!$D22,'Assump - LNG'!$B$4),'Assump - LNG'!$D22),0,'Assump - LNG'!$C22*('Assump - LNG'!$F22+('Assump - LNG'!$G22-'Assump - LNG'!$F22)*MIN(1,((YEAR($A77)-YEAR(IF('Assump - LNG'!$D22&gt;='Assump - LNG'!$B$6,EDATE('Assump - LNG'!$D22,'Assump - LNG'!$B$4),'Assump - LNG'!$D22)))*12+MONTH($A77)-MONTH(IF('Assump - LNG'!$D22&gt;='Assump - LNG'!$B$6,EDATE('Assump - LNG'!$D22,'Assump - LNG'!$B$4),'Assump - LNG'!$D22)))/MAX('Assump - LNG'!$E22,1)))*INDEX('Assump - LNG'!$J$38:$J$49,MONTH($A77))))</f>
        <v/>
      </c>
      <c r="AG77" s="14">
        <f>IF('Assump - LNG'!$D23="",0,IF($A77&lt;IF('Assump - LNG'!$D23&gt;='Assump - LNG'!$B$6,EDATE('Assump - LNG'!$D23,'Assump - LNG'!$B$4),'Assump - LNG'!$D23),0,'Assump - LNG'!$C23*('Assump - LNG'!$F23+('Assump - LNG'!$G23-'Assump - LNG'!$F23)*MIN(1,((YEAR($A77)-YEAR(IF('Assump - LNG'!$D23&gt;='Assump - LNG'!$B$6,EDATE('Assump - LNG'!$D23,'Assump - LNG'!$B$4),'Assump - LNG'!$D23)))*12+MONTH($A77)-MONTH(IF('Assump - LNG'!$D23&gt;='Assump - LNG'!$B$6,EDATE('Assump - LNG'!$D23,'Assump - LNG'!$B$4),'Assump - LNG'!$D23)))/MAX('Assump - LNG'!$E23,1)))*INDEX('Assump - LNG'!$J$38:$J$49,MONTH($A77))))</f>
        <v/>
      </c>
      <c r="AH77" s="14">
        <f>IF('Assump - LNG'!$D24="",0,IF($A77&lt;IF('Assump - LNG'!$D24&gt;='Assump - LNG'!$B$6,EDATE('Assump - LNG'!$D24,'Assump - LNG'!$B$4),'Assump - LNG'!$D24),0,'Assump - LNG'!$C24*('Assump - LNG'!$F24+('Assump - LNG'!$G24-'Assump - LNG'!$F24)*MIN(1,((YEAR($A77)-YEAR(IF('Assump - LNG'!$D24&gt;='Assump - LNG'!$B$6,EDATE('Assump - LNG'!$D24,'Assump - LNG'!$B$4),'Assump - LNG'!$D24)))*12+MONTH($A77)-MONTH(IF('Assump - LNG'!$D24&gt;='Assump - LNG'!$B$6,EDATE('Assump - LNG'!$D24,'Assump - LNG'!$B$4),'Assump - LNG'!$D24)))/MAX('Assump - LNG'!$E24,1)))*INDEX('Assump - LNG'!$J$38:$J$49,MONTH($A77))))</f>
        <v/>
      </c>
      <c r="AI77" s="14">
        <f>IF('Assump - LNG'!$D25="",0,IF($A77&lt;IF('Assump - LNG'!$D25&gt;='Assump - LNG'!$B$6,EDATE('Assump - LNG'!$D25,'Assump - LNG'!$B$4),'Assump - LNG'!$D25),0,'Assump - LNG'!$C25*('Assump - LNG'!$F25+('Assump - LNG'!$G25-'Assump - LNG'!$F25)*MIN(1,((YEAR($A77)-YEAR(IF('Assump - LNG'!$D25&gt;='Assump - LNG'!$B$6,EDATE('Assump - LNG'!$D25,'Assump - LNG'!$B$4),'Assump - LNG'!$D25)))*12+MONTH($A77)-MONTH(IF('Assump - LNG'!$D25&gt;='Assump - LNG'!$B$6,EDATE('Assump - LNG'!$D25,'Assump - LNG'!$B$4),'Assump - LNG'!$D25)))/MAX('Assump - LNG'!$E25,1)))*INDEX('Assump - LNG'!$J$38:$J$49,MONTH($A77))))</f>
        <v/>
      </c>
      <c r="AJ77" s="14">
        <f>IF('Assump - LNG'!$D26="",0,IF($A77&lt;IF('Assump - LNG'!$D26&gt;='Assump - LNG'!$B$6,EDATE('Assump - LNG'!$D26,'Assump - LNG'!$B$4),'Assump - LNG'!$D26),0,'Assump - LNG'!$C26*('Assump - LNG'!$F26+('Assump - LNG'!$G26-'Assump - LNG'!$F26)*MIN(1,((YEAR($A77)-YEAR(IF('Assump - LNG'!$D26&gt;='Assump - LNG'!$B$6,EDATE('Assump - LNG'!$D26,'Assump - LNG'!$B$4),'Assump - LNG'!$D26)))*12+MONTH($A77)-MONTH(IF('Assump - LNG'!$D26&gt;='Assump - LNG'!$B$6,EDATE('Assump - LNG'!$D26,'Assump - LNG'!$B$4),'Assump - LNG'!$D26)))/MAX('Assump - LNG'!$E26,1)))*INDEX('Assump - LNG'!$J$38:$J$49,MONTH($A77))))</f>
        <v/>
      </c>
      <c r="AK77" s="14">
        <f>IF('Assump - LNG'!$D27="",0,IF($A77&lt;IF('Assump - LNG'!$D27&gt;='Assump - LNG'!$B$6,EDATE('Assump - LNG'!$D27,'Assump - LNG'!$B$4),'Assump - LNG'!$D27),0,'Assump - LNG'!$C27*('Assump - LNG'!$F27+('Assump - LNG'!$G27-'Assump - LNG'!$F27)*MIN(1,((YEAR($A77)-YEAR(IF('Assump - LNG'!$D27&gt;='Assump - LNG'!$B$6,EDATE('Assump - LNG'!$D27,'Assump - LNG'!$B$4),'Assump - LNG'!$D27)))*12+MONTH($A77)-MONTH(IF('Assump - LNG'!$D27&gt;='Assump - LNG'!$B$6,EDATE('Assump - LNG'!$D27,'Assump - LNG'!$B$4),'Assump - LNG'!$D27)))/MAX('Assump - LNG'!$E27,1)))*INDEX('Assump - LNG'!$J$38:$J$49,MONTH($A77))))</f>
        <v/>
      </c>
      <c r="AL77" s="14">
        <f>IF('Assump - LNG'!$D28="",0,IF($A77&lt;IF('Assump - LNG'!$D28&gt;='Assump - LNG'!$B$6,EDATE('Assump - LNG'!$D28,'Assump - LNG'!$B$4),'Assump - LNG'!$D28),0,'Assump - LNG'!$C28*('Assump - LNG'!$F28+('Assump - LNG'!$G28-'Assump - LNG'!$F28)*MIN(1,((YEAR($A77)-YEAR(IF('Assump - LNG'!$D28&gt;='Assump - LNG'!$B$6,EDATE('Assump - LNG'!$D28,'Assump - LNG'!$B$4),'Assump - LNG'!$D28)))*12+MONTH($A77)-MONTH(IF('Assump - LNG'!$D28&gt;='Assump - LNG'!$B$6,EDATE('Assump - LNG'!$D28,'Assump - LNG'!$B$4),'Assump - LNG'!$D28)))/MAX('Assump - LNG'!$E28,1)))*INDEX('Assump - LNG'!$J$38:$J$49,MONTH($A77))))</f>
        <v/>
      </c>
      <c r="AM77" s="14">
        <f>IF('Assump - LNG'!$D29="",0,IF($A77&lt;IF('Assump - LNG'!$D29&gt;='Assump - LNG'!$B$6,EDATE('Assump - LNG'!$D29,'Assump - LNG'!$B$4),'Assump - LNG'!$D29),0,'Assump - LNG'!$C29*('Assump - LNG'!$F29+('Assump - LNG'!$G29-'Assump - LNG'!$F29)*MIN(1,((YEAR($A77)-YEAR(IF('Assump - LNG'!$D29&gt;='Assump - LNG'!$B$6,EDATE('Assump - LNG'!$D29,'Assump - LNG'!$B$4),'Assump - LNG'!$D29)))*12+MONTH($A77)-MONTH(IF('Assump - LNG'!$D29&gt;='Assump - LNG'!$B$6,EDATE('Assump - LNG'!$D29,'Assump - LNG'!$B$4),'Assump - LNG'!$D29)))/MAX('Assump - LNG'!$E29,1)))*INDEX('Assump - LNG'!$J$38:$J$49,MONTH($A77))))</f>
        <v/>
      </c>
      <c r="AN77" s="14">
        <f>IF('Assump - LNG'!$D30="",0,IF($A77&lt;IF('Assump - LNG'!$D30&gt;='Assump - LNG'!$B$6,EDATE('Assump - LNG'!$D30,'Assump - LNG'!$B$4),'Assump - LNG'!$D30),0,'Assump - LNG'!$C30*('Assump - LNG'!$F30+('Assump - LNG'!$G30-'Assump - LNG'!$F30)*MIN(1,((YEAR($A77)-YEAR(IF('Assump - LNG'!$D30&gt;='Assump - LNG'!$B$6,EDATE('Assump - LNG'!$D30,'Assump - LNG'!$B$4),'Assump - LNG'!$D30)))*12+MONTH($A77)-MONTH(IF('Assump - LNG'!$D30&gt;='Assump - LNG'!$B$6,EDATE('Assump - LNG'!$D30,'Assump - LNG'!$B$4),'Assump - LNG'!$D30)))/MAX('Assump - LNG'!$E30,1)))*INDEX('Assump - LNG'!$J$38:$J$49,MONTH($A77))))</f>
        <v/>
      </c>
      <c r="AO77" s="14">
        <f>IF('Assump - LNG'!$D31="",0,IF($A77&lt;IF('Assump - LNG'!$D31&gt;='Assump - LNG'!$B$6,EDATE('Assump - LNG'!$D31,'Assump - LNG'!$B$4),'Assump - LNG'!$D31),0,'Assump - LNG'!$C31*('Assump - LNG'!$F31+('Assump - LNG'!$G31-'Assump - LNG'!$F31)*MIN(1,((YEAR($A77)-YEAR(IF('Assump - LNG'!$D31&gt;='Assump - LNG'!$B$6,EDATE('Assump - LNG'!$D31,'Assump - LNG'!$B$4),'Assump - LNG'!$D31)))*12+MONTH($A77)-MONTH(IF('Assump - LNG'!$D31&gt;='Assump - LNG'!$B$6,EDATE('Assump - LNG'!$D31,'Assump - LNG'!$B$4),'Assump - LNG'!$D31)))/MAX('Assump - LNG'!$E31,1)))*INDEX('Assump - LNG'!$J$38:$J$49,MONTH($A77))))</f>
        <v/>
      </c>
    </row>
    <row r="78">
      <c r="A78" s="12" t="n">
        <v>46388</v>
      </c>
      <c r="B78" s="14">
        <f>IF('Assump - LNG'!$D12="",0,IF($A78&lt;'Assump - LNG'!$D12,0,'Assump - LNG'!$C12*('Assump - LNG'!$F12+('Assump - LNG'!$G12-'Assump - LNG'!$F12)*MIN(1,((YEAR($A78)-YEAR('Assump - LNG'!$D12))*12+MONTH($A78)-MONTH('Assump - LNG'!$D12))/MAX('Assump - LNG'!$E12,1)))*INDEX('Assump - LNG'!$J$38:$J$49,MONTH($A78))))</f>
        <v/>
      </c>
      <c r="C78" s="14">
        <f>IF('Assump - LNG'!$D13="",0,IF($A78&lt;'Assump - LNG'!$D13,0,'Assump - LNG'!$C13*('Assump - LNG'!$F13+('Assump - LNG'!$G13-'Assump - LNG'!$F13)*MIN(1,((YEAR($A78)-YEAR('Assump - LNG'!$D13))*12+MONTH($A78)-MONTH('Assump - LNG'!$D13))/MAX('Assump - LNG'!$E13,1)))*INDEX('Assump - LNG'!$J$38:$J$49,MONTH($A78))))</f>
        <v/>
      </c>
      <c r="D78" s="14">
        <f>IF('Assump - LNG'!$D14="",0,IF($A78&lt;'Assump - LNG'!$D14,0,'Assump - LNG'!$C14*('Assump - LNG'!$F14+('Assump - LNG'!$G14-'Assump - LNG'!$F14)*MIN(1,((YEAR($A78)-YEAR('Assump - LNG'!$D14))*12+MONTH($A78)-MONTH('Assump - LNG'!$D14))/MAX('Assump - LNG'!$E14,1)))*INDEX('Assump - LNG'!$J$38:$J$49,MONTH($A78))))</f>
        <v/>
      </c>
      <c r="E78" s="14">
        <f>IF('Assump - LNG'!$D15="",0,IF($A78&lt;'Assump - LNG'!$D15,0,'Assump - LNG'!$C15*('Assump - LNG'!$F15+('Assump - LNG'!$G15-'Assump - LNG'!$F15)*MIN(1,((YEAR($A78)-YEAR('Assump - LNG'!$D15))*12+MONTH($A78)-MONTH('Assump - LNG'!$D15))/MAX('Assump - LNG'!$E15,1)))*INDEX('Assump - LNG'!$J$38:$J$49,MONTH($A78))))</f>
        <v/>
      </c>
      <c r="F78" s="14">
        <f>IF('Assump - LNG'!$D16="",0,IF($A78&lt;'Assump - LNG'!$D16,0,'Assump - LNG'!$C16*('Assump - LNG'!$F16+('Assump - LNG'!$G16-'Assump - LNG'!$F16)*MIN(1,((YEAR($A78)-YEAR('Assump - LNG'!$D16))*12+MONTH($A78)-MONTH('Assump - LNG'!$D16))/MAX('Assump - LNG'!$E16,1)))*INDEX('Assump - LNG'!$J$38:$J$49,MONTH($A78))))</f>
        <v/>
      </c>
      <c r="G78" s="14">
        <f>IF('Assump - LNG'!$D17="",0,IF($A78&lt;'Assump - LNG'!$D17,0,'Assump - LNG'!$C17*('Assump - LNG'!$F17+('Assump - LNG'!$G17-'Assump - LNG'!$F17)*MIN(1,((YEAR($A78)-YEAR('Assump - LNG'!$D17))*12+MONTH($A78)-MONTH('Assump - LNG'!$D17))/MAX('Assump - LNG'!$E17,1)))*INDEX('Assump - LNG'!$J$38:$J$49,MONTH($A78))))</f>
        <v/>
      </c>
      <c r="H78" s="14">
        <f>IF('Assump - LNG'!$D18="",0,IF($A78&lt;'Assump - LNG'!$D18,0,'Assump - LNG'!$C18*('Assump - LNG'!$F18+('Assump - LNG'!$G18-'Assump - LNG'!$F18)*MIN(1,((YEAR($A78)-YEAR('Assump - LNG'!$D18))*12+MONTH($A78)-MONTH('Assump - LNG'!$D18))/MAX('Assump - LNG'!$E18,1)))*INDEX('Assump - LNG'!$J$38:$J$49,MONTH($A78))))</f>
        <v/>
      </c>
      <c r="I78" s="14">
        <f>IF('Assump - LNG'!$D19="",0,IF($A78&lt;'Assump - LNG'!$D19,0,'Assump - LNG'!$C19*('Assump - LNG'!$F19+('Assump - LNG'!$G19-'Assump - LNG'!$F19)*MIN(1,((YEAR($A78)-YEAR('Assump - LNG'!$D19))*12+MONTH($A78)-MONTH('Assump - LNG'!$D19))/MAX('Assump - LNG'!$E19,1)))*INDEX('Assump - LNG'!$J$38:$J$49,MONTH($A78))))</f>
        <v/>
      </c>
      <c r="J78" s="14">
        <f>IF('Assump - LNG'!$D20="",0,IF($A78&lt;'Assump - LNG'!$D20,0,'Assump - LNG'!$C20*('Assump - LNG'!$F20+('Assump - LNG'!$G20-'Assump - LNG'!$F20)*MIN(1,((YEAR($A78)-YEAR('Assump - LNG'!$D20))*12+MONTH($A78)-MONTH('Assump - LNG'!$D20))/MAX('Assump - LNG'!$E20,1)))*INDEX('Assump - LNG'!$J$38:$J$49,MONTH($A78))))</f>
        <v/>
      </c>
      <c r="K78" s="14">
        <f>IF('Assump - LNG'!$D21="",0,IF($A78&lt;'Assump - LNG'!$D21,0,'Assump - LNG'!$C21*('Assump - LNG'!$F21+('Assump - LNG'!$G21-'Assump - LNG'!$F21)*MIN(1,((YEAR($A78)-YEAR('Assump - LNG'!$D21))*12+MONTH($A78)-MONTH('Assump - LNG'!$D21))/MAX('Assump - LNG'!$E21,1)))*INDEX('Assump - LNG'!$J$38:$J$49,MONTH($A78))))</f>
        <v/>
      </c>
      <c r="L78" s="14">
        <f>IF('Assump - LNG'!$D22="",0,IF($A78&lt;'Assump - LNG'!$D22,0,'Assump - LNG'!$C22*('Assump - LNG'!$F22+('Assump - LNG'!$G22-'Assump - LNG'!$F22)*MIN(1,((YEAR($A78)-YEAR('Assump - LNG'!$D22))*12+MONTH($A78)-MONTH('Assump - LNG'!$D22))/MAX('Assump - LNG'!$E22,1)))*INDEX('Assump - LNG'!$J$38:$J$49,MONTH($A78))))</f>
        <v/>
      </c>
      <c r="M78" s="14">
        <f>IF('Assump - LNG'!$D23="",0,IF($A78&lt;'Assump - LNG'!$D23,0,'Assump - LNG'!$C23*('Assump - LNG'!$F23+('Assump - LNG'!$G23-'Assump - LNG'!$F23)*MIN(1,((YEAR($A78)-YEAR('Assump - LNG'!$D23))*12+MONTH($A78)-MONTH('Assump - LNG'!$D23))/MAX('Assump - LNG'!$E23,1)))*INDEX('Assump - LNG'!$J$38:$J$49,MONTH($A78))))</f>
        <v/>
      </c>
      <c r="N78" s="14">
        <f>IF('Assump - LNG'!$D24="",0,IF($A78&lt;'Assump - LNG'!$D24,0,'Assump - LNG'!$C24*('Assump - LNG'!$F24+('Assump - LNG'!$G24-'Assump - LNG'!$F24)*MIN(1,((YEAR($A78)-YEAR('Assump - LNG'!$D24))*12+MONTH($A78)-MONTH('Assump - LNG'!$D24))/MAX('Assump - LNG'!$E24,1)))*INDEX('Assump - LNG'!$J$38:$J$49,MONTH($A78))))</f>
        <v/>
      </c>
      <c r="O78" s="14">
        <f>IF('Assump - LNG'!$D25="",0,IF($A78&lt;'Assump - LNG'!$D25,0,'Assump - LNG'!$C25*('Assump - LNG'!$F25+('Assump - LNG'!$G25-'Assump - LNG'!$F25)*MIN(1,((YEAR($A78)-YEAR('Assump - LNG'!$D25))*12+MONTH($A78)-MONTH('Assump - LNG'!$D25))/MAX('Assump - LNG'!$E25,1)))*INDEX('Assump - LNG'!$J$38:$J$49,MONTH($A78))))</f>
        <v/>
      </c>
      <c r="P78" s="14">
        <f>IF('Assump - LNG'!$D26="",0,IF($A78&lt;'Assump - LNG'!$D26,0,'Assump - LNG'!$C26*('Assump - LNG'!$F26+('Assump - LNG'!$G26-'Assump - LNG'!$F26)*MIN(1,((YEAR($A78)-YEAR('Assump - LNG'!$D26))*12+MONTH($A78)-MONTH('Assump - LNG'!$D26))/MAX('Assump - LNG'!$E26,1)))*INDEX('Assump - LNG'!$J$38:$J$49,MONTH($A78))))</f>
        <v/>
      </c>
      <c r="Q78" s="14">
        <f>IF('Assump - LNG'!$D27="",0,IF($A78&lt;'Assump - LNG'!$D27,0,'Assump - LNG'!$C27*('Assump - LNG'!$F27+('Assump - LNG'!$G27-'Assump - LNG'!$F27)*MIN(1,((YEAR($A78)-YEAR('Assump - LNG'!$D27))*12+MONTH($A78)-MONTH('Assump - LNG'!$D27))/MAX('Assump - LNG'!$E27,1)))*INDEX('Assump - LNG'!$J$38:$J$49,MONTH($A78))))</f>
        <v/>
      </c>
      <c r="R78" s="14">
        <f>IF('Assump - LNG'!$D28="",0,IF($A78&lt;'Assump - LNG'!$D28,0,'Assump - LNG'!$C28*('Assump - LNG'!$F28+('Assump - LNG'!$G28-'Assump - LNG'!$F28)*MIN(1,((YEAR($A78)-YEAR('Assump - LNG'!$D28))*12+MONTH($A78)-MONTH('Assump - LNG'!$D28))/MAX('Assump - LNG'!$E28,1)))*INDEX('Assump - LNG'!$J$38:$J$49,MONTH($A78))))</f>
        <v/>
      </c>
      <c r="S78" s="14">
        <f>IF('Assump - LNG'!$D29="",0,IF($A78&lt;'Assump - LNG'!$D29,0,'Assump - LNG'!$C29*('Assump - LNG'!$F29+('Assump - LNG'!$G29-'Assump - LNG'!$F29)*MIN(1,((YEAR($A78)-YEAR('Assump - LNG'!$D29))*12+MONTH($A78)-MONTH('Assump - LNG'!$D29))/MAX('Assump - LNG'!$E29,1)))*INDEX('Assump - LNG'!$J$38:$J$49,MONTH($A78))))</f>
        <v/>
      </c>
      <c r="T78" s="14">
        <f>IF('Assump - LNG'!$D30="",0,IF($A78&lt;'Assump - LNG'!$D30,0,'Assump - LNG'!$C30*('Assump - LNG'!$F30+('Assump - LNG'!$G30-'Assump - LNG'!$F30)*MIN(1,((YEAR($A78)-YEAR('Assump - LNG'!$D30))*12+MONTH($A78)-MONTH('Assump - LNG'!$D30))/MAX('Assump - LNG'!$E30,1)))*INDEX('Assump - LNG'!$J$38:$J$49,MONTH($A78))))</f>
        <v/>
      </c>
      <c r="U78" s="14">
        <f>IF('Assump - LNG'!$D31="",0,IF($A78&lt;'Assump - LNG'!$D31,0,'Assump - LNG'!$C31*('Assump - LNG'!$F31+('Assump - LNG'!$G31-'Assump - LNG'!$F31)*MIN(1,((YEAR($A78)-YEAR('Assump - LNG'!$D31))*12+MONTH($A78)-MONTH('Assump - LNG'!$D31))/MAX('Assump - LNG'!$E31,1)))*INDEX('Assump - LNG'!$J$38:$J$49,MONTH($A78))))</f>
        <v/>
      </c>
      <c r="V78" s="14">
        <f>IF('Assump - LNG'!$D12="",0,IF($A78&lt;IF('Assump - LNG'!$D12&gt;='Assump - LNG'!$B$6,EDATE('Assump - LNG'!$D12,'Assump - LNG'!$B$4),'Assump - LNG'!$D12),0,'Assump - LNG'!$C12*('Assump - LNG'!$F12+('Assump - LNG'!$G12-'Assump - LNG'!$F12)*MIN(1,((YEAR($A78)-YEAR(IF('Assump - LNG'!$D12&gt;='Assump - LNG'!$B$6,EDATE('Assump - LNG'!$D12,'Assump - LNG'!$B$4),'Assump - LNG'!$D12)))*12+MONTH($A78)-MONTH(IF('Assump - LNG'!$D12&gt;='Assump - LNG'!$B$6,EDATE('Assump - LNG'!$D12,'Assump - LNG'!$B$4),'Assump - LNG'!$D12)))/MAX('Assump - LNG'!$E12,1)))*INDEX('Assump - LNG'!$J$38:$J$49,MONTH($A78))))</f>
        <v/>
      </c>
      <c r="W78" s="14">
        <f>IF('Assump - LNG'!$D13="",0,IF($A78&lt;IF('Assump - LNG'!$D13&gt;='Assump - LNG'!$B$6,EDATE('Assump - LNG'!$D13,'Assump - LNG'!$B$4),'Assump - LNG'!$D13),0,'Assump - LNG'!$C13*('Assump - LNG'!$F13+('Assump - LNG'!$G13-'Assump - LNG'!$F13)*MIN(1,((YEAR($A78)-YEAR(IF('Assump - LNG'!$D13&gt;='Assump - LNG'!$B$6,EDATE('Assump - LNG'!$D13,'Assump - LNG'!$B$4),'Assump - LNG'!$D13)))*12+MONTH($A78)-MONTH(IF('Assump - LNG'!$D13&gt;='Assump - LNG'!$B$6,EDATE('Assump - LNG'!$D13,'Assump - LNG'!$B$4),'Assump - LNG'!$D13)))/MAX('Assump - LNG'!$E13,1)))*INDEX('Assump - LNG'!$J$38:$J$49,MONTH($A78))))</f>
        <v/>
      </c>
      <c r="X78" s="14">
        <f>IF('Assump - LNG'!$D14="",0,IF($A78&lt;IF('Assump - LNG'!$D14&gt;='Assump - LNG'!$B$6,EDATE('Assump - LNG'!$D14,'Assump - LNG'!$B$4),'Assump - LNG'!$D14),0,'Assump - LNG'!$C14*('Assump - LNG'!$F14+('Assump - LNG'!$G14-'Assump - LNG'!$F14)*MIN(1,((YEAR($A78)-YEAR(IF('Assump - LNG'!$D14&gt;='Assump - LNG'!$B$6,EDATE('Assump - LNG'!$D14,'Assump - LNG'!$B$4),'Assump - LNG'!$D14)))*12+MONTH($A78)-MONTH(IF('Assump - LNG'!$D14&gt;='Assump - LNG'!$B$6,EDATE('Assump - LNG'!$D14,'Assump - LNG'!$B$4),'Assump - LNG'!$D14)))/MAX('Assump - LNG'!$E14,1)))*INDEX('Assump - LNG'!$J$38:$J$49,MONTH($A78))))</f>
        <v/>
      </c>
      <c r="Y78" s="14">
        <f>IF('Assump - LNG'!$D15="",0,IF($A78&lt;IF('Assump - LNG'!$D15&gt;='Assump - LNG'!$B$6,EDATE('Assump - LNG'!$D15,'Assump - LNG'!$B$4),'Assump - LNG'!$D15),0,'Assump - LNG'!$C15*('Assump - LNG'!$F15+('Assump - LNG'!$G15-'Assump - LNG'!$F15)*MIN(1,((YEAR($A78)-YEAR(IF('Assump - LNG'!$D15&gt;='Assump - LNG'!$B$6,EDATE('Assump - LNG'!$D15,'Assump - LNG'!$B$4),'Assump - LNG'!$D15)))*12+MONTH($A78)-MONTH(IF('Assump - LNG'!$D15&gt;='Assump - LNG'!$B$6,EDATE('Assump - LNG'!$D15,'Assump - LNG'!$B$4),'Assump - LNG'!$D15)))/MAX('Assump - LNG'!$E15,1)))*INDEX('Assump - LNG'!$J$38:$J$49,MONTH($A78))))</f>
        <v/>
      </c>
      <c r="Z78" s="14">
        <f>IF('Assump - LNG'!$D16="",0,IF($A78&lt;IF('Assump - LNG'!$D16&gt;='Assump - LNG'!$B$6,EDATE('Assump - LNG'!$D16,'Assump - LNG'!$B$4),'Assump - LNG'!$D16),0,'Assump - LNG'!$C16*('Assump - LNG'!$F16+('Assump - LNG'!$G16-'Assump - LNG'!$F16)*MIN(1,((YEAR($A78)-YEAR(IF('Assump - LNG'!$D16&gt;='Assump - LNG'!$B$6,EDATE('Assump - LNG'!$D16,'Assump - LNG'!$B$4),'Assump - LNG'!$D16)))*12+MONTH($A78)-MONTH(IF('Assump - LNG'!$D16&gt;='Assump - LNG'!$B$6,EDATE('Assump - LNG'!$D16,'Assump - LNG'!$B$4),'Assump - LNG'!$D16)))/MAX('Assump - LNG'!$E16,1)))*INDEX('Assump - LNG'!$J$38:$J$49,MONTH($A78))))</f>
        <v/>
      </c>
      <c r="AA78" s="14">
        <f>IF('Assump - LNG'!$D17="",0,IF($A78&lt;IF('Assump - LNG'!$D17&gt;='Assump - LNG'!$B$6,EDATE('Assump - LNG'!$D17,'Assump - LNG'!$B$4),'Assump - LNG'!$D17),0,'Assump - LNG'!$C17*('Assump - LNG'!$F17+('Assump - LNG'!$G17-'Assump - LNG'!$F17)*MIN(1,((YEAR($A78)-YEAR(IF('Assump - LNG'!$D17&gt;='Assump - LNG'!$B$6,EDATE('Assump - LNG'!$D17,'Assump - LNG'!$B$4),'Assump - LNG'!$D17)))*12+MONTH($A78)-MONTH(IF('Assump - LNG'!$D17&gt;='Assump - LNG'!$B$6,EDATE('Assump - LNG'!$D17,'Assump - LNG'!$B$4),'Assump - LNG'!$D17)))/MAX('Assump - LNG'!$E17,1)))*INDEX('Assump - LNG'!$J$38:$J$49,MONTH($A78))))</f>
        <v/>
      </c>
      <c r="AB78" s="14">
        <f>IF('Assump - LNG'!$D18="",0,IF($A78&lt;IF('Assump - LNG'!$D18&gt;='Assump - LNG'!$B$6,EDATE('Assump - LNG'!$D18,'Assump - LNG'!$B$4),'Assump - LNG'!$D18),0,'Assump - LNG'!$C18*('Assump - LNG'!$F18+('Assump - LNG'!$G18-'Assump - LNG'!$F18)*MIN(1,((YEAR($A78)-YEAR(IF('Assump - LNG'!$D18&gt;='Assump - LNG'!$B$6,EDATE('Assump - LNG'!$D18,'Assump - LNG'!$B$4),'Assump - LNG'!$D18)))*12+MONTH($A78)-MONTH(IF('Assump - LNG'!$D18&gt;='Assump - LNG'!$B$6,EDATE('Assump - LNG'!$D18,'Assump - LNG'!$B$4),'Assump - LNG'!$D18)))/MAX('Assump - LNG'!$E18,1)))*INDEX('Assump - LNG'!$J$38:$J$49,MONTH($A78))))</f>
        <v/>
      </c>
      <c r="AC78" s="14">
        <f>IF('Assump - LNG'!$D19="",0,IF($A78&lt;IF('Assump - LNG'!$D19&gt;='Assump - LNG'!$B$6,EDATE('Assump - LNG'!$D19,'Assump - LNG'!$B$4),'Assump - LNG'!$D19),0,'Assump - LNG'!$C19*('Assump - LNG'!$F19+('Assump - LNG'!$G19-'Assump - LNG'!$F19)*MIN(1,((YEAR($A78)-YEAR(IF('Assump - LNG'!$D19&gt;='Assump - LNG'!$B$6,EDATE('Assump - LNG'!$D19,'Assump - LNG'!$B$4),'Assump - LNG'!$D19)))*12+MONTH($A78)-MONTH(IF('Assump - LNG'!$D19&gt;='Assump - LNG'!$B$6,EDATE('Assump - LNG'!$D19,'Assump - LNG'!$B$4),'Assump - LNG'!$D19)))/MAX('Assump - LNG'!$E19,1)))*INDEX('Assump - LNG'!$J$38:$J$49,MONTH($A78))))</f>
        <v/>
      </c>
      <c r="AD78" s="14">
        <f>IF('Assump - LNG'!$D20="",0,IF($A78&lt;IF('Assump - LNG'!$D20&gt;='Assump - LNG'!$B$6,EDATE('Assump - LNG'!$D20,'Assump - LNG'!$B$4),'Assump - LNG'!$D20),0,'Assump - LNG'!$C20*('Assump - LNG'!$F20+('Assump - LNG'!$G20-'Assump - LNG'!$F20)*MIN(1,((YEAR($A78)-YEAR(IF('Assump - LNG'!$D20&gt;='Assump - LNG'!$B$6,EDATE('Assump - LNG'!$D20,'Assump - LNG'!$B$4),'Assump - LNG'!$D20)))*12+MONTH($A78)-MONTH(IF('Assump - LNG'!$D20&gt;='Assump - LNG'!$B$6,EDATE('Assump - LNG'!$D20,'Assump - LNG'!$B$4),'Assump - LNG'!$D20)))/MAX('Assump - LNG'!$E20,1)))*INDEX('Assump - LNG'!$J$38:$J$49,MONTH($A78))))</f>
        <v/>
      </c>
      <c r="AE78" s="14">
        <f>IF('Assump - LNG'!$D21="",0,IF($A78&lt;IF('Assump - LNG'!$D21&gt;='Assump - LNG'!$B$6,EDATE('Assump - LNG'!$D21,'Assump - LNG'!$B$4),'Assump - LNG'!$D21),0,'Assump - LNG'!$C21*('Assump - LNG'!$F21+('Assump - LNG'!$G21-'Assump - LNG'!$F21)*MIN(1,((YEAR($A78)-YEAR(IF('Assump - LNG'!$D21&gt;='Assump - LNG'!$B$6,EDATE('Assump - LNG'!$D21,'Assump - LNG'!$B$4),'Assump - LNG'!$D21)))*12+MONTH($A78)-MONTH(IF('Assump - LNG'!$D21&gt;='Assump - LNG'!$B$6,EDATE('Assump - LNG'!$D21,'Assump - LNG'!$B$4),'Assump - LNG'!$D21)))/MAX('Assump - LNG'!$E21,1)))*INDEX('Assump - LNG'!$J$38:$J$49,MONTH($A78))))</f>
        <v/>
      </c>
      <c r="AF78" s="14">
        <f>IF('Assump - LNG'!$D22="",0,IF($A78&lt;IF('Assump - LNG'!$D22&gt;='Assump - LNG'!$B$6,EDATE('Assump - LNG'!$D22,'Assump - LNG'!$B$4),'Assump - LNG'!$D22),0,'Assump - LNG'!$C22*('Assump - LNG'!$F22+('Assump - LNG'!$G22-'Assump - LNG'!$F22)*MIN(1,((YEAR($A78)-YEAR(IF('Assump - LNG'!$D22&gt;='Assump - LNG'!$B$6,EDATE('Assump - LNG'!$D22,'Assump - LNG'!$B$4),'Assump - LNG'!$D22)))*12+MONTH($A78)-MONTH(IF('Assump - LNG'!$D22&gt;='Assump - LNG'!$B$6,EDATE('Assump - LNG'!$D22,'Assump - LNG'!$B$4),'Assump - LNG'!$D22)))/MAX('Assump - LNG'!$E22,1)))*INDEX('Assump - LNG'!$J$38:$J$49,MONTH($A78))))</f>
        <v/>
      </c>
      <c r="AG78" s="14">
        <f>IF('Assump - LNG'!$D23="",0,IF($A78&lt;IF('Assump - LNG'!$D23&gt;='Assump - LNG'!$B$6,EDATE('Assump - LNG'!$D23,'Assump - LNG'!$B$4),'Assump - LNG'!$D23),0,'Assump - LNG'!$C23*('Assump - LNG'!$F23+('Assump - LNG'!$G23-'Assump - LNG'!$F23)*MIN(1,((YEAR($A78)-YEAR(IF('Assump - LNG'!$D23&gt;='Assump - LNG'!$B$6,EDATE('Assump - LNG'!$D23,'Assump - LNG'!$B$4),'Assump - LNG'!$D23)))*12+MONTH($A78)-MONTH(IF('Assump - LNG'!$D23&gt;='Assump - LNG'!$B$6,EDATE('Assump - LNG'!$D23,'Assump - LNG'!$B$4),'Assump - LNG'!$D23)))/MAX('Assump - LNG'!$E23,1)))*INDEX('Assump - LNG'!$J$38:$J$49,MONTH($A78))))</f>
        <v/>
      </c>
      <c r="AH78" s="14">
        <f>IF('Assump - LNG'!$D24="",0,IF($A78&lt;IF('Assump - LNG'!$D24&gt;='Assump - LNG'!$B$6,EDATE('Assump - LNG'!$D24,'Assump - LNG'!$B$4),'Assump - LNG'!$D24),0,'Assump - LNG'!$C24*('Assump - LNG'!$F24+('Assump - LNG'!$G24-'Assump - LNG'!$F24)*MIN(1,((YEAR($A78)-YEAR(IF('Assump - LNG'!$D24&gt;='Assump - LNG'!$B$6,EDATE('Assump - LNG'!$D24,'Assump - LNG'!$B$4),'Assump - LNG'!$D24)))*12+MONTH($A78)-MONTH(IF('Assump - LNG'!$D24&gt;='Assump - LNG'!$B$6,EDATE('Assump - LNG'!$D24,'Assump - LNG'!$B$4),'Assump - LNG'!$D24)))/MAX('Assump - LNG'!$E24,1)))*INDEX('Assump - LNG'!$J$38:$J$49,MONTH($A78))))</f>
        <v/>
      </c>
      <c r="AI78" s="14">
        <f>IF('Assump - LNG'!$D25="",0,IF($A78&lt;IF('Assump - LNG'!$D25&gt;='Assump - LNG'!$B$6,EDATE('Assump - LNG'!$D25,'Assump - LNG'!$B$4),'Assump - LNG'!$D25),0,'Assump - LNG'!$C25*('Assump - LNG'!$F25+('Assump - LNG'!$G25-'Assump - LNG'!$F25)*MIN(1,((YEAR($A78)-YEAR(IF('Assump - LNG'!$D25&gt;='Assump - LNG'!$B$6,EDATE('Assump - LNG'!$D25,'Assump - LNG'!$B$4),'Assump - LNG'!$D25)))*12+MONTH($A78)-MONTH(IF('Assump - LNG'!$D25&gt;='Assump - LNG'!$B$6,EDATE('Assump - LNG'!$D25,'Assump - LNG'!$B$4),'Assump - LNG'!$D25)))/MAX('Assump - LNG'!$E25,1)))*INDEX('Assump - LNG'!$J$38:$J$49,MONTH($A78))))</f>
        <v/>
      </c>
      <c r="AJ78" s="14">
        <f>IF('Assump - LNG'!$D26="",0,IF($A78&lt;IF('Assump - LNG'!$D26&gt;='Assump - LNG'!$B$6,EDATE('Assump - LNG'!$D26,'Assump - LNG'!$B$4),'Assump - LNG'!$D26),0,'Assump - LNG'!$C26*('Assump - LNG'!$F26+('Assump - LNG'!$G26-'Assump - LNG'!$F26)*MIN(1,((YEAR($A78)-YEAR(IF('Assump - LNG'!$D26&gt;='Assump - LNG'!$B$6,EDATE('Assump - LNG'!$D26,'Assump - LNG'!$B$4),'Assump - LNG'!$D26)))*12+MONTH($A78)-MONTH(IF('Assump - LNG'!$D26&gt;='Assump - LNG'!$B$6,EDATE('Assump - LNG'!$D26,'Assump - LNG'!$B$4),'Assump - LNG'!$D26)))/MAX('Assump - LNG'!$E26,1)))*INDEX('Assump - LNG'!$J$38:$J$49,MONTH($A78))))</f>
        <v/>
      </c>
      <c r="AK78" s="14">
        <f>IF('Assump - LNG'!$D27="",0,IF($A78&lt;IF('Assump - LNG'!$D27&gt;='Assump - LNG'!$B$6,EDATE('Assump - LNG'!$D27,'Assump - LNG'!$B$4),'Assump - LNG'!$D27),0,'Assump - LNG'!$C27*('Assump - LNG'!$F27+('Assump - LNG'!$G27-'Assump - LNG'!$F27)*MIN(1,((YEAR($A78)-YEAR(IF('Assump - LNG'!$D27&gt;='Assump - LNG'!$B$6,EDATE('Assump - LNG'!$D27,'Assump - LNG'!$B$4),'Assump - LNG'!$D27)))*12+MONTH($A78)-MONTH(IF('Assump - LNG'!$D27&gt;='Assump - LNG'!$B$6,EDATE('Assump - LNG'!$D27,'Assump - LNG'!$B$4),'Assump - LNG'!$D27)))/MAX('Assump - LNG'!$E27,1)))*INDEX('Assump - LNG'!$J$38:$J$49,MONTH($A78))))</f>
        <v/>
      </c>
      <c r="AL78" s="14">
        <f>IF('Assump - LNG'!$D28="",0,IF($A78&lt;IF('Assump - LNG'!$D28&gt;='Assump - LNG'!$B$6,EDATE('Assump - LNG'!$D28,'Assump - LNG'!$B$4),'Assump - LNG'!$D28),0,'Assump - LNG'!$C28*('Assump - LNG'!$F28+('Assump - LNG'!$G28-'Assump - LNG'!$F28)*MIN(1,((YEAR($A78)-YEAR(IF('Assump - LNG'!$D28&gt;='Assump - LNG'!$B$6,EDATE('Assump - LNG'!$D28,'Assump - LNG'!$B$4),'Assump - LNG'!$D28)))*12+MONTH($A78)-MONTH(IF('Assump - LNG'!$D28&gt;='Assump - LNG'!$B$6,EDATE('Assump - LNG'!$D28,'Assump - LNG'!$B$4),'Assump - LNG'!$D28)))/MAX('Assump - LNG'!$E28,1)))*INDEX('Assump - LNG'!$J$38:$J$49,MONTH($A78))))</f>
        <v/>
      </c>
      <c r="AM78" s="14">
        <f>IF('Assump - LNG'!$D29="",0,IF($A78&lt;IF('Assump - LNG'!$D29&gt;='Assump - LNG'!$B$6,EDATE('Assump - LNG'!$D29,'Assump - LNG'!$B$4),'Assump - LNG'!$D29),0,'Assump - LNG'!$C29*('Assump - LNG'!$F29+('Assump - LNG'!$G29-'Assump - LNG'!$F29)*MIN(1,((YEAR($A78)-YEAR(IF('Assump - LNG'!$D29&gt;='Assump - LNG'!$B$6,EDATE('Assump - LNG'!$D29,'Assump - LNG'!$B$4),'Assump - LNG'!$D29)))*12+MONTH($A78)-MONTH(IF('Assump - LNG'!$D29&gt;='Assump - LNG'!$B$6,EDATE('Assump - LNG'!$D29,'Assump - LNG'!$B$4),'Assump - LNG'!$D29)))/MAX('Assump - LNG'!$E29,1)))*INDEX('Assump - LNG'!$J$38:$J$49,MONTH($A78))))</f>
        <v/>
      </c>
      <c r="AN78" s="14">
        <f>IF('Assump - LNG'!$D30="",0,IF($A78&lt;IF('Assump - LNG'!$D30&gt;='Assump - LNG'!$B$6,EDATE('Assump - LNG'!$D30,'Assump - LNG'!$B$4),'Assump - LNG'!$D30),0,'Assump - LNG'!$C30*('Assump - LNG'!$F30+('Assump - LNG'!$G30-'Assump - LNG'!$F30)*MIN(1,((YEAR($A78)-YEAR(IF('Assump - LNG'!$D30&gt;='Assump - LNG'!$B$6,EDATE('Assump - LNG'!$D30,'Assump - LNG'!$B$4),'Assump - LNG'!$D30)))*12+MONTH($A78)-MONTH(IF('Assump - LNG'!$D30&gt;='Assump - LNG'!$B$6,EDATE('Assump - LNG'!$D30,'Assump - LNG'!$B$4),'Assump - LNG'!$D30)))/MAX('Assump - LNG'!$E30,1)))*INDEX('Assump - LNG'!$J$38:$J$49,MONTH($A78))))</f>
        <v/>
      </c>
      <c r="AO78" s="14">
        <f>IF('Assump - LNG'!$D31="",0,IF($A78&lt;IF('Assump - LNG'!$D31&gt;='Assump - LNG'!$B$6,EDATE('Assump - LNG'!$D31,'Assump - LNG'!$B$4),'Assump - LNG'!$D31),0,'Assump - LNG'!$C31*('Assump - LNG'!$F31+('Assump - LNG'!$G31-'Assump - LNG'!$F31)*MIN(1,((YEAR($A78)-YEAR(IF('Assump - LNG'!$D31&gt;='Assump - LNG'!$B$6,EDATE('Assump - LNG'!$D31,'Assump - LNG'!$B$4),'Assump - LNG'!$D31)))*12+MONTH($A78)-MONTH(IF('Assump - LNG'!$D31&gt;='Assump - LNG'!$B$6,EDATE('Assump - LNG'!$D31,'Assump - LNG'!$B$4),'Assump - LNG'!$D31)))/MAX('Assump - LNG'!$E31,1)))*INDEX('Assump - LNG'!$J$38:$J$49,MONTH($A78))))</f>
        <v/>
      </c>
    </row>
    <row r="79">
      <c r="A79" s="12" t="n">
        <v>46419</v>
      </c>
      <c r="B79" s="14">
        <f>IF('Assump - LNG'!$D12="",0,IF($A79&lt;'Assump - LNG'!$D12,0,'Assump - LNG'!$C12*('Assump - LNG'!$F12+('Assump - LNG'!$G12-'Assump - LNG'!$F12)*MIN(1,((YEAR($A79)-YEAR('Assump - LNG'!$D12))*12+MONTH($A79)-MONTH('Assump - LNG'!$D12))/MAX('Assump - LNG'!$E12,1)))*INDEX('Assump - LNG'!$J$38:$J$49,MONTH($A79))))</f>
        <v/>
      </c>
      <c r="C79" s="14">
        <f>IF('Assump - LNG'!$D13="",0,IF($A79&lt;'Assump - LNG'!$D13,0,'Assump - LNG'!$C13*('Assump - LNG'!$F13+('Assump - LNG'!$G13-'Assump - LNG'!$F13)*MIN(1,((YEAR($A79)-YEAR('Assump - LNG'!$D13))*12+MONTH($A79)-MONTH('Assump - LNG'!$D13))/MAX('Assump - LNG'!$E13,1)))*INDEX('Assump - LNG'!$J$38:$J$49,MONTH($A79))))</f>
        <v/>
      </c>
      <c r="D79" s="14">
        <f>IF('Assump - LNG'!$D14="",0,IF($A79&lt;'Assump - LNG'!$D14,0,'Assump - LNG'!$C14*('Assump - LNG'!$F14+('Assump - LNG'!$G14-'Assump - LNG'!$F14)*MIN(1,((YEAR($A79)-YEAR('Assump - LNG'!$D14))*12+MONTH($A79)-MONTH('Assump - LNG'!$D14))/MAX('Assump - LNG'!$E14,1)))*INDEX('Assump - LNG'!$J$38:$J$49,MONTH($A79))))</f>
        <v/>
      </c>
      <c r="E79" s="14">
        <f>IF('Assump - LNG'!$D15="",0,IF($A79&lt;'Assump - LNG'!$D15,0,'Assump - LNG'!$C15*('Assump - LNG'!$F15+('Assump - LNG'!$G15-'Assump - LNG'!$F15)*MIN(1,((YEAR($A79)-YEAR('Assump - LNG'!$D15))*12+MONTH($A79)-MONTH('Assump - LNG'!$D15))/MAX('Assump - LNG'!$E15,1)))*INDEX('Assump - LNG'!$J$38:$J$49,MONTH($A79))))</f>
        <v/>
      </c>
      <c r="F79" s="14">
        <f>IF('Assump - LNG'!$D16="",0,IF($A79&lt;'Assump - LNG'!$D16,0,'Assump - LNG'!$C16*('Assump - LNG'!$F16+('Assump - LNG'!$G16-'Assump - LNG'!$F16)*MIN(1,((YEAR($A79)-YEAR('Assump - LNG'!$D16))*12+MONTH($A79)-MONTH('Assump - LNG'!$D16))/MAX('Assump - LNG'!$E16,1)))*INDEX('Assump - LNG'!$J$38:$J$49,MONTH($A79))))</f>
        <v/>
      </c>
      <c r="G79" s="14">
        <f>IF('Assump - LNG'!$D17="",0,IF($A79&lt;'Assump - LNG'!$D17,0,'Assump - LNG'!$C17*('Assump - LNG'!$F17+('Assump - LNG'!$G17-'Assump - LNG'!$F17)*MIN(1,((YEAR($A79)-YEAR('Assump - LNG'!$D17))*12+MONTH($A79)-MONTH('Assump - LNG'!$D17))/MAX('Assump - LNG'!$E17,1)))*INDEX('Assump - LNG'!$J$38:$J$49,MONTH($A79))))</f>
        <v/>
      </c>
      <c r="H79" s="14">
        <f>IF('Assump - LNG'!$D18="",0,IF($A79&lt;'Assump - LNG'!$D18,0,'Assump - LNG'!$C18*('Assump - LNG'!$F18+('Assump - LNG'!$G18-'Assump - LNG'!$F18)*MIN(1,((YEAR($A79)-YEAR('Assump - LNG'!$D18))*12+MONTH($A79)-MONTH('Assump - LNG'!$D18))/MAX('Assump - LNG'!$E18,1)))*INDEX('Assump - LNG'!$J$38:$J$49,MONTH($A79))))</f>
        <v/>
      </c>
      <c r="I79" s="14">
        <f>IF('Assump - LNG'!$D19="",0,IF($A79&lt;'Assump - LNG'!$D19,0,'Assump - LNG'!$C19*('Assump - LNG'!$F19+('Assump - LNG'!$G19-'Assump - LNG'!$F19)*MIN(1,((YEAR($A79)-YEAR('Assump - LNG'!$D19))*12+MONTH($A79)-MONTH('Assump - LNG'!$D19))/MAX('Assump - LNG'!$E19,1)))*INDEX('Assump - LNG'!$J$38:$J$49,MONTH($A79))))</f>
        <v/>
      </c>
      <c r="J79" s="14">
        <f>IF('Assump - LNG'!$D20="",0,IF($A79&lt;'Assump - LNG'!$D20,0,'Assump - LNG'!$C20*('Assump - LNG'!$F20+('Assump - LNG'!$G20-'Assump - LNG'!$F20)*MIN(1,((YEAR($A79)-YEAR('Assump - LNG'!$D20))*12+MONTH($A79)-MONTH('Assump - LNG'!$D20))/MAX('Assump - LNG'!$E20,1)))*INDEX('Assump - LNG'!$J$38:$J$49,MONTH($A79))))</f>
        <v/>
      </c>
      <c r="K79" s="14">
        <f>IF('Assump - LNG'!$D21="",0,IF($A79&lt;'Assump - LNG'!$D21,0,'Assump - LNG'!$C21*('Assump - LNG'!$F21+('Assump - LNG'!$G21-'Assump - LNG'!$F21)*MIN(1,((YEAR($A79)-YEAR('Assump - LNG'!$D21))*12+MONTH($A79)-MONTH('Assump - LNG'!$D21))/MAX('Assump - LNG'!$E21,1)))*INDEX('Assump - LNG'!$J$38:$J$49,MONTH($A79))))</f>
        <v/>
      </c>
      <c r="L79" s="14">
        <f>IF('Assump - LNG'!$D22="",0,IF($A79&lt;'Assump - LNG'!$D22,0,'Assump - LNG'!$C22*('Assump - LNG'!$F22+('Assump - LNG'!$G22-'Assump - LNG'!$F22)*MIN(1,((YEAR($A79)-YEAR('Assump - LNG'!$D22))*12+MONTH($A79)-MONTH('Assump - LNG'!$D22))/MAX('Assump - LNG'!$E22,1)))*INDEX('Assump - LNG'!$J$38:$J$49,MONTH($A79))))</f>
        <v/>
      </c>
      <c r="M79" s="14">
        <f>IF('Assump - LNG'!$D23="",0,IF($A79&lt;'Assump - LNG'!$D23,0,'Assump - LNG'!$C23*('Assump - LNG'!$F23+('Assump - LNG'!$G23-'Assump - LNG'!$F23)*MIN(1,((YEAR($A79)-YEAR('Assump - LNG'!$D23))*12+MONTH($A79)-MONTH('Assump - LNG'!$D23))/MAX('Assump - LNG'!$E23,1)))*INDEX('Assump - LNG'!$J$38:$J$49,MONTH($A79))))</f>
        <v/>
      </c>
      <c r="N79" s="14">
        <f>IF('Assump - LNG'!$D24="",0,IF($A79&lt;'Assump - LNG'!$D24,0,'Assump - LNG'!$C24*('Assump - LNG'!$F24+('Assump - LNG'!$G24-'Assump - LNG'!$F24)*MIN(1,((YEAR($A79)-YEAR('Assump - LNG'!$D24))*12+MONTH($A79)-MONTH('Assump - LNG'!$D24))/MAX('Assump - LNG'!$E24,1)))*INDEX('Assump - LNG'!$J$38:$J$49,MONTH($A79))))</f>
        <v/>
      </c>
      <c r="O79" s="14">
        <f>IF('Assump - LNG'!$D25="",0,IF($A79&lt;'Assump - LNG'!$D25,0,'Assump - LNG'!$C25*('Assump - LNG'!$F25+('Assump - LNG'!$G25-'Assump - LNG'!$F25)*MIN(1,((YEAR($A79)-YEAR('Assump - LNG'!$D25))*12+MONTH($A79)-MONTH('Assump - LNG'!$D25))/MAX('Assump - LNG'!$E25,1)))*INDEX('Assump - LNG'!$J$38:$J$49,MONTH($A79))))</f>
        <v/>
      </c>
      <c r="P79" s="14">
        <f>IF('Assump - LNG'!$D26="",0,IF($A79&lt;'Assump - LNG'!$D26,0,'Assump - LNG'!$C26*('Assump - LNG'!$F26+('Assump - LNG'!$G26-'Assump - LNG'!$F26)*MIN(1,((YEAR($A79)-YEAR('Assump - LNG'!$D26))*12+MONTH($A79)-MONTH('Assump - LNG'!$D26))/MAX('Assump - LNG'!$E26,1)))*INDEX('Assump - LNG'!$J$38:$J$49,MONTH($A79))))</f>
        <v/>
      </c>
      <c r="Q79" s="14">
        <f>IF('Assump - LNG'!$D27="",0,IF($A79&lt;'Assump - LNG'!$D27,0,'Assump - LNG'!$C27*('Assump - LNG'!$F27+('Assump - LNG'!$G27-'Assump - LNG'!$F27)*MIN(1,((YEAR($A79)-YEAR('Assump - LNG'!$D27))*12+MONTH($A79)-MONTH('Assump - LNG'!$D27))/MAX('Assump - LNG'!$E27,1)))*INDEX('Assump - LNG'!$J$38:$J$49,MONTH($A79))))</f>
        <v/>
      </c>
      <c r="R79" s="14">
        <f>IF('Assump - LNG'!$D28="",0,IF($A79&lt;'Assump - LNG'!$D28,0,'Assump - LNG'!$C28*('Assump - LNG'!$F28+('Assump - LNG'!$G28-'Assump - LNG'!$F28)*MIN(1,((YEAR($A79)-YEAR('Assump - LNG'!$D28))*12+MONTH($A79)-MONTH('Assump - LNG'!$D28))/MAX('Assump - LNG'!$E28,1)))*INDEX('Assump - LNG'!$J$38:$J$49,MONTH($A79))))</f>
        <v/>
      </c>
      <c r="S79" s="14">
        <f>IF('Assump - LNG'!$D29="",0,IF($A79&lt;'Assump - LNG'!$D29,0,'Assump - LNG'!$C29*('Assump - LNG'!$F29+('Assump - LNG'!$G29-'Assump - LNG'!$F29)*MIN(1,((YEAR($A79)-YEAR('Assump - LNG'!$D29))*12+MONTH($A79)-MONTH('Assump - LNG'!$D29))/MAX('Assump - LNG'!$E29,1)))*INDEX('Assump - LNG'!$J$38:$J$49,MONTH($A79))))</f>
        <v/>
      </c>
      <c r="T79" s="14">
        <f>IF('Assump - LNG'!$D30="",0,IF($A79&lt;'Assump - LNG'!$D30,0,'Assump - LNG'!$C30*('Assump - LNG'!$F30+('Assump - LNG'!$G30-'Assump - LNG'!$F30)*MIN(1,((YEAR($A79)-YEAR('Assump - LNG'!$D30))*12+MONTH($A79)-MONTH('Assump - LNG'!$D30))/MAX('Assump - LNG'!$E30,1)))*INDEX('Assump - LNG'!$J$38:$J$49,MONTH($A79))))</f>
        <v/>
      </c>
      <c r="U79" s="14">
        <f>IF('Assump - LNG'!$D31="",0,IF($A79&lt;'Assump - LNG'!$D31,0,'Assump - LNG'!$C31*('Assump - LNG'!$F31+('Assump - LNG'!$G31-'Assump - LNG'!$F31)*MIN(1,((YEAR($A79)-YEAR('Assump - LNG'!$D31))*12+MONTH($A79)-MONTH('Assump - LNG'!$D31))/MAX('Assump - LNG'!$E31,1)))*INDEX('Assump - LNG'!$J$38:$J$49,MONTH($A79))))</f>
        <v/>
      </c>
      <c r="V79" s="14">
        <f>IF('Assump - LNG'!$D12="",0,IF($A79&lt;IF('Assump - LNG'!$D12&gt;='Assump - LNG'!$B$6,EDATE('Assump - LNG'!$D12,'Assump - LNG'!$B$4),'Assump - LNG'!$D12),0,'Assump - LNG'!$C12*('Assump - LNG'!$F12+('Assump - LNG'!$G12-'Assump - LNG'!$F12)*MIN(1,((YEAR($A79)-YEAR(IF('Assump - LNG'!$D12&gt;='Assump - LNG'!$B$6,EDATE('Assump - LNG'!$D12,'Assump - LNG'!$B$4),'Assump - LNG'!$D12)))*12+MONTH($A79)-MONTH(IF('Assump - LNG'!$D12&gt;='Assump - LNG'!$B$6,EDATE('Assump - LNG'!$D12,'Assump - LNG'!$B$4),'Assump - LNG'!$D12)))/MAX('Assump - LNG'!$E12,1)))*INDEX('Assump - LNG'!$J$38:$J$49,MONTH($A79))))</f>
        <v/>
      </c>
      <c r="W79" s="14">
        <f>IF('Assump - LNG'!$D13="",0,IF($A79&lt;IF('Assump - LNG'!$D13&gt;='Assump - LNG'!$B$6,EDATE('Assump - LNG'!$D13,'Assump - LNG'!$B$4),'Assump - LNG'!$D13),0,'Assump - LNG'!$C13*('Assump - LNG'!$F13+('Assump - LNG'!$G13-'Assump - LNG'!$F13)*MIN(1,((YEAR($A79)-YEAR(IF('Assump - LNG'!$D13&gt;='Assump - LNG'!$B$6,EDATE('Assump - LNG'!$D13,'Assump - LNG'!$B$4),'Assump - LNG'!$D13)))*12+MONTH($A79)-MONTH(IF('Assump - LNG'!$D13&gt;='Assump - LNG'!$B$6,EDATE('Assump - LNG'!$D13,'Assump - LNG'!$B$4),'Assump - LNG'!$D13)))/MAX('Assump - LNG'!$E13,1)))*INDEX('Assump - LNG'!$J$38:$J$49,MONTH($A79))))</f>
        <v/>
      </c>
      <c r="X79" s="14">
        <f>IF('Assump - LNG'!$D14="",0,IF($A79&lt;IF('Assump - LNG'!$D14&gt;='Assump - LNG'!$B$6,EDATE('Assump - LNG'!$D14,'Assump - LNG'!$B$4),'Assump - LNG'!$D14),0,'Assump - LNG'!$C14*('Assump - LNG'!$F14+('Assump - LNG'!$G14-'Assump - LNG'!$F14)*MIN(1,((YEAR($A79)-YEAR(IF('Assump - LNG'!$D14&gt;='Assump - LNG'!$B$6,EDATE('Assump - LNG'!$D14,'Assump - LNG'!$B$4),'Assump - LNG'!$D14)))*12+MONTH($A79)-MONTH(IF('Assump - LNG'!$D14&gt;='Assump - LNG'!$B$6,EDATE('Assump - LNG'!$D14,'Assump - LNG'!$B$4),'Assump - LNG'!$D14)))/MAX('Assump - LNG'!$E14,1)))*INDEX('Assump - LNG'!$J$38:$J$49,MONTH($A79))))</f>
        <v/>
      </c>
      <c r="Y79" s="14">
        <f>IF('Assump - LNG'!$D15="",0,IF($A79&lt;IF('Assump - LNG'!$D15&gt;='Assump - LNG'!$B$6,EDATE('Assump - LNG'!$D15,'Assump - LNG'!$B$4),'Assump - LNG'!$D15),0,'Assump - LNG'!$C15*('Assump - LNG'!$F15+('Assump - LNG'!$G15-'Assump - LNG'!$F15)*MIN(1,((YEAR($A79)-YEAR(IF('Assump - LNG'!$D15&gt;='Assump - LNG'!$B$6,EDATE('Assump - LNG'!$D15,'Assump - LNG'!$B$4),'Assump - LNG'!$D15)))*12+MONTH($A79)-MONTH(IF('Assump - LNG'!$D15&gt;='Assump - LNG'!$B$6,EDATE('Assump - LNG'!$D15,'Assump - LNG'!$B$4),'Assump - LNG'!$D15)))/MAX('Assump - LNG'!$E15,1)))*INDEX('Assump - LNG'!$J$38:$J$49,MONTH($A79))))</f>
        <v/>
      </c>
      <c r="Z79" s="14">
        <f>IF('Assump - LNG'!$D16="",0,IF($A79&lt;IF('Assump - LNG'!$D16&gt;='Assump - LNG'!$B$6,EDATE('Assump - LNG'!$D16,'Assump - LNG'!$B$4),'Assump - LNG'!$D16),0,'Assump - LNG'!$C16*('Assump - LNG'!$F16+('Assump - LNG'!$G16-'Assump - LNG'!$F16)*MIN(1,((YEAR($A79)-YEAR(IF('Assump - LNG'!$D16&gt;='Assump - LNG'!$B$6,EDATE('Assump - LNG'!$D16,'Assump - LNG'!$B$4),'Assump - LNG'!$D16)))*12+MONTH($A79)-MONTH(IF('Assump - LNG'!$D16&gt;='Assump - LNG'!$B$6,EDATE('Assump - LNG'!$D16,'Assump - LNG'!$B$4),'Assump - LNG'!$D16)))/MAX('Assump - LNG'!$E16,1)))*INDEX('Assump - LNG'!$J$38:$J$49,MONTH($A79))))</f>
        <v/>
      </c>
      <c r="AA79" s="14">
        <f>IF('Assump - LNG'!$D17="",0,IF($A79&lt;IF('Assump - LNG'!$D17&gt;='Assump - LNG'!$B$6,EDATE('Assump - LNG'!$D17,'Assump - LNG'!$B$4),'Assump - LNG'!$D17),0,'Assump - LNG'!$C17*('Assump - LNG'!$F17+('Assump - LNG'!$G17-'Assump - LNG'!$F17)*MIN(1,((YEAR($A79)-YEAR(IF('Assump - LNG'!$D17&gt;='Assump - LNG'!$B$6,EDATE('Assump - LNG'!$D17,'Assump - LNG'!$B$4),'Assump - LNG'!$D17)))*12+MONTH($A79)-MONTH(IF('Assump - LNG'!$D17&gt;='Assump - LNG'!$B$6,EDATE('Assump - LNG'!$D17,'Assump - LNG'!$B$4),'Assump - LNG'!$D17)))/MAX('Assump - LNG'!$E17,1)))*INDEX('Assump - LNG'!$J$38:$J$49,MONTH($A79))))</f>
        <v/>
      </c>
      <c r="AB79" s="14">
        <f>IF('Assump - LNG'!$D18="",0,IF($A79&lt;IF('Assump - LNG'!$D18&gt;='Assump - LNG'!$B$6,EDATE('Assump - LNG'!$D18,'Assump - LNG'!$B$4),'Assump - LNG'!$D18),0,'Assump - LNG'!$C18*('Assump - LNG'!$F18+('Assump - LNG'!$G18-'Assump - LNG'!$F18)*MIN(1,((YEAR($A79)-YEAR(IF('Assump - LNG'!$D18&gt;='Assump - LNG'!$B$6,EDATE('Assump - LNG'!$D18,'Assump - LNG'!$B$4),'Assump - LNG'!$D18)))*12+MONTH($A79)-MONTH(IF('Assump - LNG'!$D18&gt;='Assump - LNG'!$B$6,EDATE('Assump - LNG'!$D18,'Assump - LNG'!$B$4),'Assump - LNG'!$D18)))/MAX('Assump - LNG'!$E18,1)))*INDEX('Assump - LNG'!$J$38:$J$49,MONTH($A79))))</f>
        <v/>
      </c>
      <c r="AC79" s="14">
        <f>IF('Assump - LNG'!$D19="",0,IF($A79&lt;IF('Assump - LNG'!$D19&gt;='Assump - LNG'!$B$6,EDATE('Assump - LNG'!$D19,'Assump - LNG'!$B$4),'Assump - LNG'!$D19),0,'Assump - LNG'!$C19*('Assump - LNG'!$F19+('Assump - LNG'!$G19-'Assump - LNG'!$F19)*MIN(1,((YEAR($A79)-YEAR(IF('Assump - LNG'!$D19&gt;='Assump - LNG'!$B$6,EDATE('Assump - LNG'!$D19,'Assump - LNG'!$B$4),'Assump - LNG'!$D19)))*12+MONTH($A79)-MONTH(IF('Assump - LNG'!$D19&gt;='Assump - LNG'!$B$6,EDATE('Assump - LNG'!$D19,'Assump - LNG'!$B$4),'Assump - LNG'!$D19)))/MAX('Assump - LNG'!$E19,1)))*INDEX('Assump - LNG'!$J$38:$J$49,MONTH($A79))))</f>
        <v/>
      </c>
      <c r="AD79" s="14">
        <f>IF('Assump - LNG'!$D20="",0,IF($A79&lt;IF('Assump - LNG'!$D20&gt;='Assump - LNG'!$B$6,EDATE('Assump - LNG'!$D20,'Assump - LNG'!$B$4),'Assump - LNG'!$D20),0,'Assump - LNG'!$C20*('Assump - LNG'!$F20+('Assump - LNG'!$G20-'Assump - LNG'!$F20)*MIN(1,((YEAR($A79)-YEAR(IF('Assump - LNG'!$D20&gt;='Assump - LNG'!$B$6,EDATE('Assump - LNG'!$D20,'Assump - LNG'!$B$4),'Assump - LNG'!$D20)))*12+MONTH($A79)-MONTH(IF('Assump - LNG'!$D20&gt;='Assump - LNG'!$B$6,EDATE('Assump - LNG'!$D20,'Assump - LNG'!$B$4),'Assump - LNG'!$D20)))/MAX('Assump - LNG'!$E20,1)))*INDEX('Assump - LNG'!$J$38:$J$49,MONTH($A79))))</f>
        <v/>
      </c>
      <c r="AE79" s="14">
        <f>IF('Assump - LNG'!$D21="",0,IF($A79&lt;IF('Assump - LNG'!$D21&gt;='Assump - LNG'!$B$6,EDATE('Assump - LNG'!$D21,'Assump - LNG'!$B$4),'Assump - LNG'!$D21),0,'Assump - LNG'!$C21*('Assump - LNG'!$F21+('Assump - LNG'!$G21-'Assump - LNG'!$F21)*MIN(1,((YEAR($A79)-YEAR(IF('Assump - LNG'!$D21&gt;='Assump - LNG'!$B$6,EDATE('Assump - LNG'!$D21,'Assump - LNG'!$B$4),'Assump - LNG'!$D21)))*12+MONTH($A79)-MONTH(IF('Assump - LNG'!$D21&gt;='Assump - LNG'!$B$6,EDATE('Assump - LNG'!$D21,'Assump - LNG'!$B$4),'Assump - LNG'!$D21)))/MAX('Assump - LNG'!$E21,1)))*INDEX('Assump - LNG'!$J$38:$J$49,MONTH($A79))))</f>
        <v/>
      </c>
      <c r="AF79" s="14">
        <f>IF('Assump - LNG'!$D22="",0,IF($A79&lt;IF('Assump - LNG'!$D22&gt;='Assump - LNG'!$B$6,EDATE('Assump - LNG'!$D22,'Assump - LNG'!$B$4),'Assump - LNG'!$D22),0,'Assump - LNG'!$C22*('Assump - LNG'!$F22+('Assump - LNG'!$G22-'Assump - LNG'!$F22)*MIN(1,((YEAR($A79)-YEAR(IF('Assump - LNG'!$D22&gt;='Assump - LNG'!$B$6,EDATE('Assump - LNG'!$D22,'Assump - LNG'!$B$4),'Assump - LNG'!$D22)))*12+MONTH($A79)-MONTH(IF('Assump - LNG'!$D22&gt;='Assump - LNG'!$B$6,EDATE('Assump - LNG'!$D22,'Assump - LNG'!$B$4),'Assump - LNG'!$D22)))/MAX('Assump - LNG'!$E22,1)))*INDEX('Assump - LNG'!$J$38:$J$49,MONTH($A79))))</f>
        <v/>
      </c>
      <c r="AG79" s="14">
        <f>IF('Assump - LNG'!$D23="",0,IF($A79&lt;IF('Assump - LNG'!$D23&gt;='Assump - LNG'!$B$6,EDATE('Assump - LNG'!$D23,'Assump - LNG'!$B$4),'Assump - LNG'!$D23),0,'Assump - LNG'!$C23*('Assump - LNG'!$F23+('Assump - LNG'!$G23-'Assump - LNG'!$F23)*MIN(1,((YEAR($A79)-YEAR(IF('Assump - LNG'!$D23&gt;='Assump - LNG'!$B$6,EDATE('Assump - LNG'!$D23,'Assump - LNG'!$B$4),'Assump - LNG'!$D23)))*12+MONTH($A79)-MONTH(IF('Assump - LNG'!$D23&gt;='Assump - LNG'!$B$6,EDATE('Assump - LNG'!$D23,'Assump - LNG'!$B$4),'Assump - LNG'!$D23)))/MAX('Assump - LNG'!$E23,1)))*INDEX('Assump - LNG'!$J$38:$J$49,MONTH($A79))))</f>
        <v/>
      </c>
      <c r="AH79" s="14">
        <f>IF('Assump - LNG'!$D24="",0,IF($A79&lt;IF('Assump - LNG'!$D24&gt;='Assump - LNG'!$B$6,EDATE('Assump - LNG'!$D24,'Assump - LNG'!$B$4),'Assump - LNG'!$D24),0,'Assump - LNG'!$C24*('Assump - LNG'!$F24+('Assump - LNG'!$G24-'Assump - LNG'!$F24)*MIN(1,((YEAR($A79)-YEAR(IF('Assump - LNG'!$D24&gt;='Assump - LNG'!$B$6,EDATE('Assump - LNG'!$D24,'Assump - LNG'!$B$4),'Assump - LNG'!$D24)))*12+MONTH($A79)-MONTH(IF('Assump - LNG'!$D24&gt;='Assump - LNG'!$B$6,EDATE('Assump - LNG'!$D24,'Assump - LNG'!$B$4),'Assump - LNG'!$D24)))/MAX('Assump - LNG'!$E24,1)))*INDEX('Assump - LNG'!$J$38:$J$49,MONTH($A79))))</f>
        <v/>
      </c>
      <c r="AI79" s="14">
        <f>IF('Assump - LNG'!$D25="",0,IF($A79&lt;IF('Assump - LNG'!$D25&gt;='Assump - LNG'!$B$6,EDATE('Assump - LNG'!$D25,'Assump - LNG'!$B$4),'Assump - LNG'!$D25),0,'Assump - LNG'!$C25*('Assump - LNG'!$F25+('Assump - LNG'!$G25-'Assump - LNG'!$F25)*MIN(1,((YEAR($A79)-YEAR(IF('Assump - LNG'!$D25&gt;='Assump - LNG'!$B$6,EDATE('Assump - LNG'!$D25,'Assump - LNG'!$B$4),'Assump - LNG'!$D25)))*12+MONTH($A79)-MONTH(IF('Assump - LNG'!$D25&gt;='Assump - LNG'!$B$6,EDATE('Assump - LNG'!$D25,'Assump - LNG'!$B$4),'Assump - LNG'!$D25)))/MAX('Assump - LNG'!$E25,1)))*INDEX('Assump - LNG'!$J$38:$J$49,MONTH($A79))))</f>
        <v/>
      </c>
      <c r="AJ79" s="14">
        <f>IF('Assump - LNG'!$D26="",0,IF($A79&lt;IF('Assump - LNG'!$D26&gt;='Assump - LNG'!$B$6,EDATE('Assump - LNG'!$D26,'Assump - LNG'!$B$4),'Assump - LNG'!$D26),0,'Assump - LNG'!$C26*('Assump - LNG'!$F26+('Assump - LNG'!$G26-'Assump - LNG'!$F26)*MIN(1,((YEAR($A79)-YEAR(IF('Assump - LNG'!$D26&gt;='Assump - LNG'!$B$6,EDATE('Assump - LNG'!$D26,'Assump - LNG'!$B$4),'Assump - LNG'!$D26)))*12+MONTH($A79)-MONTH(IF('Assump - LNG'!$D26&gt;='Assump - LNG'!$B$6,EDATE('Assump - LNG'!$D26,'Assump - LNG'!$B$4),'Assump - LNG'!$D26)))/MAX('Assump - LNG'!$E26,1)))*INDEX('Assump - LNG'!$J$38:$J$49,MONTH($A79))))</f>
        <v/>
      </c>
      <c r="AK79" s="14">
        <f>IF('Assump - LNG'!$D27="",0,IF($A79&lt;IF('Assump - LNG'!$D27&gt;='Assump - LNG'!$B$6,EDATE('Assump - LNG'!$D27,'Assump - LNG'!$B$4),'Assump - LNG'!$D27),0,'Assump - LNG'!$C27*('Assump - LNG'!$F27+('Assump - LNG'!$G27-'Assump - LNG'!$F27)*MIN(1,((YEAR($A79)-YEAR(IF('Assump - LNG'!$D27&gt;='Assump - LNG'!$B$6,EDATE('Assump - LNG'!$D27,'Assump - LNG'!$B$4),'Assump - LNG'!$D27)))*12+MONTH($A79)-MONTH(IF('Assump - LNG'!$D27&gt;='Assump - LNG'!$B$6,EDATE('Assump - LNG'!$D27,'Assump - LNG'!$B$4),'Assump - LNG'!$D27)))/MAX('Assump - LNG'!$E27,1)))*INDEX('Assump - LNG'!$J$38:$J$49,MONTH($A79))))</f>
        <v/>
      </c>
      <c r="AL79" s="14">
        <f>IF('Assump - LNG'!$D28="",0,IF($A79&lt;IF('Assump - LNG'!$D28&gt;='Assump - LNG'!$B$6,EDATE('Assump - LNG'!$D28,'Assump - LNG'!$B$4),'Assump - LNG'!$D28),0,'Assump - LNG'!$C28*('Assump - LNG'!$F28+('Assump - LNG'!$G28-'Assump - LNG'!$F28)*MIN(1,((YEAR($A79)-YEAR(IF('Assump - LNG'!$D28&gt;='Assump - LNG'!$B$6,EDATE('Assump - LNG'!$D28,'Assump - LNG'!$B$4),'Assump - LNG'!$D28)))*12+MONTH($A79)-MONTH(IF('Assump - LNG'!$D28&gt;='Assump - LNG'!$B$6,EDATE('Assump - LNG'!$D28,'Assump - LNG'!$B$4),'Assump - LNG'!$D28)))/MAX('Assump - LNG'!$E28,1)))*INDEX('Assump - LNG'!$J$38:$J$49,MONTH($A79))))</f>
        <v/>
      </c>
      <c r="AM79" s="14">
        <f>IF('Assump - LNG'!$D29="",0,IF($A79&lt;IF('Assump - LNG'!$D29&gt;='Assump - LNG'!$B$6,EDATE('Assump - LNG'!$D29,'Assump - LNG'!$B$4),'Assump - LNG'!$D29),0,'Assump - LNG'!$C29*('Assump - LNG'!$F29+('Assump - LNG'!$G29-'Assump - LNG'!$F29)*MIN(1,((YEAR($A79)-YEAR(IF('Assump - LNG'!$D29&gt;='Assump - LNG'!$B$6,EDATE('Assump - LNG'!$D29,'Assump - LNG'!$B$4),'Assump - LNG'!$D29)))*12+MONTH($A79)-MONTH(IF('Assump - LNG'!$D29&gt;='Assump - LNG'!$B$6,EDATE('Assump - LNG'!$D29,'Assump - LNG'!$B$4),'Assump - LNG'!$D29)))/MAX('Assump - LNG'!$E29,1)))*INDEX('Assump - LNG'!$J$38:$J$49,MONTH($A79))))</f>
        <v/>
      </c>
      <c r="AN79" s="14">
        <f>IF('Assump - LNG'!$D30="",0,IF($A79&lt;IF('Assump - LNG'!$D30&gt;='Assump - LNG'!$B$6,EDATE('Assump - LNG'!$D30,'Assump - LNG'!$B$4),'Assump - LNG'!$D30),0,'Assump - LNG'!$C30*('Assump - LNG'!$F30+('Assump - LNG'!$G30-'Assump - LNG'!$F30)*MIN(1,((YEAR($A79)-YEAR(IF('Assump - LNG'!$D30&gt;='Assump - LNG'!$B$6,EDATE('Assump - LNG'!$D30,'Assump - LNG'!$B$4),'Assump - LNG'!$D30)))*12+MONTH($A79)-MONTH(IF('Assump - LNG'!$D30&gt;='Assump - LNG'!$B$6,EDATE('Assump - LNG'!$D30,'Assump - LNG'!$B$4),'Assump - LNG'!$D30)))/MAX('Assump - LNG'!$E30,1)))*INDEX('Assump - LNG'!$J$38:$J$49,MONTH($A79))))</f>
        <v/>
      </c>
      <c r="AO79" s="14">
        <f>IF('Assump - LNG'!$D31="",0,IF($A79&lt;IF('Assump - LNG'!$D31&gt;='Assump - LNG'!$B$6,EDATE('Assump - LNG'!$D31,'Assump - LNG'!$B$4),'Assump - LNG'!$D31),0,'Assump - LNG'!$C31*('Assump - LNG'!$F31+('Assump - LNG'!$G31-'Assump - LNG'!$F31)*MIN(1,((YEAR($A79)-YEAR(IF('Assump - LNG'!$D31&gt;='Assump - LNG'!$B$6,EDATE('Assump - LNG'!$D31,'Assump - LNG'!$B$4),'Assump - LNG'!$D31)))*12+MONTH($A79)-MONTH(IF('Assump - LNG'!$D31&gt;='Assump - LNG'!$B$6,EDATE('Assump - LNG'!$D31,'Assump - LNG'!$B$4),'Assump - LNG'!$D31)))/MAX('Assump - LNG'!$E31,1)))*INDEX('Assump - LNG'!$J$38:$J$49,MONTH($A79))))</f>
        <v/>
      </c>
    </row>
    <row r="80">
      <c r="A80" s="12" t="n">
        <v>46447</v>
      </c>
      <c r="B80" s="14">
        <f>IF('Assump - LNG'!$D12="",0,IF($A80&lt;'Assump - LNG'!$D12,0,'Assump - LNG'!$C12*('Assump - LNG'!$F12+('Assump - LNG'!$G12-'Assump - LNG'!$F12)*MIN(1,((YEAR($A80)-YEAR('Assump - LNG'!$D12))*12+MONTH($A80)-MONTH('Assump - LNG'!$D12))/MAX('Assump - LNG'!$E12,1)))*INDEX('Assump - LNG'!$J$38:$J$49,MONTH($A80))))</f>
        <v/>
      </c>
      <c r="C80" s="14">
        <f>IF('Assump - LNG'!$D13="",0,IF($A80&lt;'Assump - LNG'!$D13,0,'Assump - LNG'!$C13*('Assump - LNG'!$F13+('Assump - LNG'!$G13-'Assump - LNG'!$F13)*MIN(1,((YEAR($A80)-YEAR('Assump - LNG'!$D13))*12+MONTH($A80)-MONTH('Assump - LNG'!$D13))/MAX('Assump - LNG'!$E13,1)))*INDEX('Assump - LNG'!$J$38:$J$49,MONTH($A80))))</f>
        <v/>
      </c>
      <c r="D80" s="14">
        <f>IF('Assump - LNG'!$D14="",0,IF($A80&lt;'Assump - LNG'!$D14,0,'Assump - LNG'!$C14*('Assump - LNG'!$F14+('Assump - LNG'!$G14-'Assump - LNG'!$F14)*MIN(1,((YEAR($A80)-YEAR('Assump - LNG'!$D14))*12+MONTH($A80)-MONTH('Assump - LNG'!$D14))/MAX('Assump - LNG'!$E14,1)))*INDEX('Assump - LNG'!$J$38:$J$49,MONTH($A80))))</f>
        <v/>
      </c>
      <c r="E80" s="14">
        <f>IF('Assump - LNG'!$D15="",0,IF($A80&lt;'Assump - LNG'!$D15,0,'Assump - LNG'!$C15*('Assump - LNG'!$F15+('Assump - LNG'!$G15-'Assump - LNG'!$F15)*MIN(1,((YEAR($A80)-YEAR('Assump - LNG'!$D15))*12+MONTH($A80)-MONTH('Assump - LNG'!$D15))/MAX('Assump - LNG'!$E15,1)))*INDEX('Assump - LNG'!$J$38:$J$49,MONTH($A80))))</f>
        <v/>
      </c>
      <c r="F80" s="14">
        <f>IF('Assump - LNG'!$D16="",0,IF($A80&lt;'Assump - LNG'!$D16,0,'Assump - LNG'!$C16*('Assump - LNG'!$F16+('Assump - LNG'!$G16-'Assump - LNG'!$F16)*MIN(1,((YEAR($A80)-YEAR('Assump - LNG'!$D16))*12+MONTH($A80)-MONTH('Assump - LNG'!$D16))/MAX('Assump - LNG'!$E16,1)))*INDEX('Assump - LNG'!$J$38:$J$49,MONTH($A80))))</f>
        <v/>
      </c>
      <c r="G80" s="14">
        <f>IF('Assump - LNG'!$D17="",0,IF($A80&lt;'Assump - LNG'!$D17,0,'Assump - LNG'!$C17*('Assump - LNG'!$F17+('Assump - LNG'!$G17-'Assump - LNG'!$F17)*MIN(1,((YEAR($A80)-YEAR('Assump - LNG'!$D17))*12+MONTH($A80)-MONTH('Assump - LNG'!$D17))/MAX('Assump - LNG'!$E17,1)))*INDEX('Assump - LNG'!$J$38:$J$49,MONTH($A80))))</f>
        <v/>
      </c>
      <c r="H80" s="14">
        <f>IF('Assump - LNG'!$D18="",0,IF($A80&lt;'Assump - LNG'!$D18,0,'Assump - LNG'!$C18*('Assump - LNG'!$F18+('Assump - LNG'!$G18-'Assump - LNG'!$F18)*MIN(1,((YEAR($A80)-YEAR('Assump - LNG'!$D18))*12+MONTH($A80)-MONTH('Assump - LNG'!$D18))/MAX('Assump - LNG'!$E18,1)))*INDEX('Assump - LNG'!$J$38:$J$49,MONTH($A80))))</f>
        <v/>
      </c>
      <c r="I80" s="14">
        <f>IF('Assump - LNG'!$D19="",0,IF($A80&lt;'Assump - LNG'!$D19,0,'Assump - LNG'!$C19*('Assump - LNG'!$F19+('Assump - LNG'!$G19-'Assump - LNG'!$F19)*MIN(1,((YEAR($A80)-YEAR('Assump - LNG'!$D19))*12+MONTH($A80)-MONTH('Assump - LNG'!$D19))/MAX('Assump - LNG'!$E19,1)))*INDEX('Assump - LNG'!$J$38:$J$49,MONTH($A80))))</f>
        <v/>
      </c>
      <c r="J80" s="14">
        <f>IF('Assump - LNG'!$D20="",0,IF($A80&lt;'Assump - LNG'!$D20,0,'Assump - LNG'!$C20*('Assump - LNG'!$F20+('Assump - LNG'!$G20-'Assump - LNG'!$F20)*MIN(1,((YEAR($A80)-YEAR('Assump - LNG'!$D20))*12+MONTH($A80)-MONTH('Assump - LNG'!$D20))/MAX('Assump - LNG'!$E20,1)))*INDEX('Assump - LNG'!$J$38:$J$49,MONTH($A80))))</f>
        <v/>
      </c>
      <c r="K80" s="14">
        <f>IF('Assump - LNG'!$D21="",0,IF($A80&lt;'Assump - LNG'!$D21,0,'Assump - LNG'!$C21*('Assump - LNG'!$F21+('Assump - LNG'!$G21-'Assump - LNG'!$F21)*MIN(1,((YEAR($A80)-YEAR('Assump - LNG'!$D21))*12+MONTH($A80)-MONTH('Assump - LNG'!$D21))/MAX('Assump - LNG'!$E21,1)))*INDEX('Assump - LNG'!$J$38:$J$49,MONTH($A80))))</f>
        <v/>
      </c>
      <c r="L80" s="14">
        <f>IF('Assump - LNG'!$D22="",0,IF($A80&lt;'Assump - LNG'!$D22,0,'Assump - LNG'!$C22*('Assump - LNG'!$F22+('Assump - LNG'!$G22-'Assump - LNG'!$F22)*MIN(1,((YEAR($A80)-YEAR('Assump - LNG'!$D22))*12+MONTH($A80)-MONTH('Assump - LNG'!$D22))/MAX('Assump - LNG'!$E22,1)))*INDEX('Assump - LNG'!$J$38:$J$49,MONTH($A80))))</f>
        <v/>
      </c>
      <c r="M80" s="14">
        <f>IF('Assump - LNG'!$D23="",0,IF($A80&lt;'Assump - LNG'!$D23,0,'Assump - LNG'!$C23*('Assump - LNG'!$F23+('Assump - LNG'!$G23-'Assump - LNG'!$F23)*MIN(1,((YEAR($A80)-YEAR('Assump - LNG'!$D23))*12+MONTH($A80)-MONTH('Assump - LNG'!$D23))/MAX('Assump - LNG'!$E23,1)))*INDEX('Assump - LNG'!$J$38:$J$49,MONTH($A80))))</f>
        <v/>
      </c>
      <c r="N80" s="14">
        <f>IF('Assump - LNG'!$D24="",0,IF($A80&lt;'Assump - LNG'!$D24,0,'Assump - LNG'!$C24*('Assump - LNG'!$F24+('Assump - LNG'!$G24-'Assump - LNG'!$F24)*MIN(1,((YEAR($A80)-YEAR('Assump - LNG'!$D24))*12+MONTH($A80)-MONTH('Assump - LNG'!$D24))/MAX('Assump - LNG'!$E24,1)))*INDEX('Assump - LNG'!$J$38:$J$49,MONTH($A80))))</f>
        <v/>
      </c>
      <c r="O80" s="14">
        <f>IF('Assump - LNG'!$D25="",0,IF($A80&lt;'Assump - LNG'!$D25,0,'Assump - LNG'!$C25*('Assump - LNG'!$F25+('Assump - LNG'!$G25-'Assump - LNG'!$F25)*MIN(1,((YEAR($A80)-YEAR('Assump - LNG'!$D25))*12+MONTH($A80)-MONTH('Assump - LNG'!$D25))/MAX('Assump - LNG'!$E25,1)))*INDEX('Assump - LNG'!$J$38:$J$49,MONTH($A80))))</f>
        <v/>
      </c>
      <c r="P80" s="14">
        <f>IF('Assump - LNG'!$D26="",0,IF($A80&lt;'Assump - LNG'!$D26,0,'Assump - LNG'!$C26*('Assump - LNG'!$F26+('Assump - LNG'!$G26-'Assump - LNG'!$F26)*MIN(1,((YEAR($A80)-YEAR('Assump - LNG'!$D26))*12+MONTH($A80)-MONTH('Assump - LNG'!$D26))/MAX('Assump - LNG'!$E26,1)))*INDEX('Assump - LNG'!$J$38:$J$49,MONTH($A80))))</f>
        <v/>
      </c>
      <c r="Q80" s="14">
        <f>IF('Assump - LNG'!$D27="",0,IF($A80&lt;'Assump - LNG'!$D27,0,'Assump - LNG'!$C27*('Assump - LNG'!$F27+('Assump - LNG'!$G27-'Assump - LNG'!$F27)*MIN(1,((YEAR($A80)-YEAR('Assump - LNG'!$D27))*12+MONTH($A80)-MONTH('Assump - LNG'!$D27))/MAX('Assump - LNG'!$E27,1)))*INDEX('Assump - LNG'!$J$38:$J$49,MONTH($A80))))</f>
        <v/>
      </c>
      <c r="R80" s="14">
        <f>IF('Assump - LNG'!$D28="",0,IF($A80&lt;'Assump - LNG'!$D28,0,'Assump - LNG'!$C28*('Assump - LNG'!$F28+('Assump - LNG'!$G28-'Assump - LNG'!$F28)*MIN(1,((YEAR($A80)-YEAR('Assump - LNG'!$D28))*12+MONTH($A80)-MONTH('Assump - LNG'!$D28))/MAX('Assump - LNG'!$E28,1)))*INDEX('Assump - LNG'!$J$38:$J$49,MONTH($A80))))</f>
        <v/>
      </c>
      <c r="S80" s="14">
        <f>IF('Assump - LNG'!$D29="",0,IF($A80&lt;'Assump - LNG'!$D29,0,'Assump - LNG'!$C29*('Assump - LNG'!$F29+('Assump - LNG'!$G29-'Assump - LNG'!$F29)*MIN(1,((YEAR($A80)-YEAR('Assump - LNG'!$D29))*12+MONTH($A80)-MONTH('Assump - LNG'!$D29))/MAX('Assump - LNG'!$E29,1)))*INDEX('Assump - LNG'!$J$38:$J$49,MONTH($A80))))</f>
        <v/>
      </c>
      <c r="T80" s="14">
        <f>IF('Assump - LNG'!$D30="",0,IF($A80&lt;'Assump - LNG'!$D30,0,'Assump - LNG'!$C30*('Assump - LNG'!$F30+('Assump - LNG'!$G30-'Assump - LNG'!$F30)*MIN(1,((YEAR($A80)-YEAR('Assump - LNG'!$D30))*12+MONTH($A80)-MONTH('Assump - LNG'!$D30))/MAX('Assump - LNG'!$E30,1)))*INDEX('Assump - LNG'!$J$38:$J$49,MONTH($A80))))</f>
        <v/>
      </c>
      <c r="U80" s="14">
        <f>IF('Assump - LNG'!$D31="",0,IF($A80&lt;'Assump - LNG'!$D31,0,'Assump - LNG'!$C31*('Assump - LNG'!$F31+('Assump - LNG'!$G31-'Assump - LNG'!$F31)*MIN(1,((YEAR($A80)-YEAR('Assump - LNG'!$D31))*12+MONTH($A80)-MONTH('Assump - LNG'!$D31))/MAX('Assump - LNG'!$E31,1)))*INDEX('Assump - LNG'!$J$38:$J$49,MONTH($A80))))</f>
        <v/>
      </c>
      <c r="V80" s="14">
        <f>IF('Assump - LNG'!$D12="",0,IF($A80&lt;IF('Assump - LNG'!$D12&gt;='Assump - LNG'!$B$6,EDATE('Assump - LNG'!$D12,'Assump - LNG'!$B$4),'Assump - LNG'!$D12),0,'Assump - LNG'!$C12*('Assump - LNG'!$F12+('Assump - LNG'!$G12-'Assump - LNG'!$F12)*MIN(1,((YEAR($A80)-YEAR(IF('Assump - LNG'!$D12&gt;='Assump - LNG'!$B$6,EDATE('Assump - LNG'!$D12,'Assump - LNG'!$B$4),'Assump - LNG'!$D12)))*12+MONTH($A80)-MONTH(IF('Assump - LNG'!$D12&gt;='Assump - LNG'!$B$6,EDATE('Assump - LNG'!$D12,'Assump - LNG'!$B$4),'Assump - LNG'!$D12)))/MAX('Assump - LNG'!$E12,1)))*INDEX('Assump - LNG'!$J$38:$J$49,MONTH($A80))))</f>
        <v/>
      </c>
      <c r="W80" s="14">
        <f>IF('Assump - LNG'!$D13="",0,IF($A80&lt;IF('Assump - LNG'!$D13&gt;='Assump - LNG'!$B$6,EDATE('Assump - LNG'!$D13,'Assump - LNG'!$B$4),'Assump - LNG'!$D13),0,'Assump - LNG'!$C13*('Assump - LNG'!$F13+('Assump - LNG'!$G13-'Assump - LNG'!$F13)*MIN(1,((YEAR($A80)-YEAR(IF('Assump - LNG'!$D13&gt;='Assump - LNG'!$B$6,EDATE('Assump - LNG'!$D13,'Assump - LNG'!$B$4),'Assump - LNG'!$D13)))*12+MONTH($A80)-MONTH(IF('Assump - LNG'!$D13&gt;='Assump - LNG'!$B$6,EDATE('Assump - LNG'!$D13,'Assump - LNG'!$B$4),'Assump - LNG'!$D13)))/MAX('Assump - LNG'!$E13,1)))*INDEX('Assump - LNG'!$J$38:$J$49,MONTH($A80))))</f>
        <v/>
      </c>
      <c r="X80" s="14">
        <f>IF('Assump - LNG'!$D14="",0,IF($A80&lt;IF('Assump - LNG'!$D14&gt;='Assump - LNG'!$B$6,EDATE('Assump - LNG'!$D14,'Assump - LNG'!$B$4),'Assump - LNG'!$D14),0,'Assump - LNG'!$C14*('Assump - LNG'!$F14+('Assump - LNG'!$G14-'Assump - LNG'!$F14)*MIN(1,((YEAR($A80)-YEAR(IF('Assump - LNG'!$D14&gt;='Assump - LNG'!$B$6,EDATE('Assump - LNG'!$D14,'Assump - LNG'!$B$4),'Assump - LNG'!$D14)))*12+MONTH($A80)-MONTH(IF('Assump - LNG'!$D14&gt;='Assump - LNG'!$B$6,EDATE('Assump - LNG'!$D14,'Assump - LNG'!$B$4),'Assump - LNG'!$D14)))/MAX('Assump - LNG'!$E14,1)))*INDEX('Assump - LNG'!$J$38:$J$49,MONTH($A80))))</f>
        <v/>
      </c>
      <c r="Y80" s="14">
        <f>IF('Assump - LNG'!$D15="",0,IF($A80&lt;IF('Assump - LNG'!$D15&gt;='Assump - LNG'!$B$6,EDATE('Assump - LNG'!$D15,'Assump - LNG'!$B$4),'Assump - LNG'!$D15),0,'Assump - LNG'!$C15*('Assump - LNG'!$F15+('Assump - LNG'!$G15-'Assump - LNG'!$F15)*MIN(1,((YEAR($A80)-YEAR(IF('Assump - LNG'!$D15&gt;='Assump - LNG'!$B$6,EDATE('Assump - LNG'!$D15,'Assump - LNG'!$B$4),'Assump - LNG'!$D15)))*12+MONTH($A80)-MONTH(IF('Assump - LNG'!$D15&gt;='Assump - LNG'!$B$6,EDATE('Assump - LNG'!$D15,'Assump - LNG'!$B$4),'Assump - LNG'!$D15)))/MAX('Assump - LNG'!$E15,1)))*INDEX('Assump - LNG'!$J$38:$J$49,MONTH($A80))))</f>
        <v/>
      </c>
      <c r="Z80" s="14">
        <f>IF('Assump - LNG'!$D16="",0,IF($A80&lt;IF('Assump - LNG'!$D16&gt;='Assump - LNG'!$B$6,EDATE('Assump - LNG'!$D16,'Assump - LNG'!$B$4),'Assump - LNG'!$D16),0,'Assump - LNG'!$C16*('Assump - LNG'!$F16+('Assump - LNG'!$G16-'Assump - LNG'!$F16)*MIN(1,((YEAR($A80)-YEAR(IF('Assump - LNG'!$D16&gt;='Assump - LNG'!$B$6,EDATE('Assump - LNG'!$D16,'Assump - LNG'!$B$4),'Assump - LNG'!$D16)))*12+MONTH($A80)-MONTH(IF('Assump - LNG'!$D16&gt;='Assump - LNG'!$B$6,EDATE('Assump - LNG'!$D16,'Assump - LNG'!$B$4),'Assump - LNG'!$D16)))/MAX('Assump - LNG'!$E16,1)))*INDEX('Assump - LNG'!$J$38:$J$49,MONTH($A80))))</f>
        <v/>
      </c>
      <c r="AA80" s="14">
        <f>IF('Assump - LNG'!$D17="",0,IF($A80&lt;IF('Assump - LNG'!$D17&gt;='Assump - LNG'!$B$6,EDATE('Assump - LNG'!$D17,'Assump - LNG'!$B$4),'Assump - LNG'!$D17),0,'Assump - LNG'!$C17*('Assump - LNG'!$F17+('Assump - LNG'!$G17-'Assump - LNG'!$F17)*MIN(1,((YEAR($A80)-YEAR(IF('Assump - LNG'!$D17&gt;='Assump - LNG'!$B$6,EDATE('Assump - LNG'!$D17,'Assump - LNG'!$B$4),'Assump - LNG'!$D17)))*12+MONTH($A80)-MONTH(IF('Assump - LNG'!$D17&gt;='Assump - LNG'!$B$6,EDATE('Assump - LNG'!$D17,'Assump - LNG'!$B$4),'Assump - LNG'!$D17)))/MAX('Assump - LNG'!$E17,1)))*INDEX('Assump - LNG'!$J$38:$J$49,MONTH($A80))))</f>
        <v/>
      </c>
      <c r="AB80" s="14">
        <f>IF('Assump - LNG'!$D18="",0,IF($A80&lt;IF('Assump - LNG'!$D18&gt;='Assump - LNG'!$B$6,EDATE('Assump - LNG'!$D18,'Assump - LNG'!$B$4),'Assump - LNG'!$D18),0,'Assump - LNG'!$C18*('Assump - LNG'!$F18+('Assump - LNG'!$G18-'Assump - LNG'!$F18)*MIN(1,((YEAR($A80)-YEAR(IF('Assump - LNG'!$D18&gt;='Assump - LNG'!$B$6,EDATE('Assump - LNG'!$D18,'Assump - LNG'!$B$4),'Assump - LNG'!$D18)))*12+MONTH($A80)-MONTH(IF('Assump - LNG'!$D18&gt;='Assump - LNG'!$B$6,EDATE('Assump - LNG'!$D18,'Assump - LNG'!$B$4),'Assump - LNG'!$D18)))/MAX('Assump - LNG'!$E18,1)))*INDEX('Assump - LNG'!$J$38:$J$49,MONTH($A80))))</f>
        <v/>
      </c>
      <c r="AC80" s="14">
        <f>IF('Assump - LNG'!$D19="",0,IF($A80&lt;IF('Assump - LNG'!$D19&gt;='Assump - LNG'!$B$6,EDATE('Assump - LNG'!$D19,'Assump - LNG'!$B$4),'Assump - LNG'!$D19),0,'Assump - LNG'!$C19*('Assump - LNG'!$F19+('Assump - LNG'!$G19-'Assump - LNG'!$F19)*MIN(1,((YEAR($A80)-YEAR(IF('Assump - LNG'!$D19&gt;='Assump - LNG'!$B$6,EDATE('Assump - LNG'!$D19,'Assump - LNG'!$B$4),'Assump - LNG'!$D19)))*12+MONTH($A80)-MONTH(IF('Assump - LNG'!$D19&gt;='Assump - LNG'!$B$6,EDATE('Assump - LNG'!$D19,'Assump - LNG'!$B$4),'Assump - LNG'!$D19)))/MAX('Assump - LNG'!$E19,1)))*INDEX('Assump - LNG'!$J$38:$J$49,MONTH($A80))))</f>
        <v/>
      </c>
      <c r="AD80" s="14">
        <f>IF('Assump - LNG'!$D20="",0,IF($A80&lt;IF('Assump - LNG'!$D20&gt;='Assump - LNG'!$B$6,EDATE('Assump - LNG'!$D20,'Assump - LNG'!$B$4),'Assump - LNG'!$D20),0,'Assump - LNG'!$C20*('Assump - LNG'!$F20+('Assump - LNG'!$G20-'Assump - LNG'!$F20)*MIN(1,((YEAR($A80)-YEAR(IF('Assump - LNG'!$D20&gt;='Assump - LNG'!$B$6,EDATE('Assump - LNG'!$D20,'Assump - LNG'!$B$4),'Assump - LNG'!$D20)))*12+MONTH($A80)-MONTH(IF('Assump - LNG'!$D20&gt;='Assump - LNG'!$B$6,EDATE('Assump - LNG'!$D20,'Assump - LNG'!$B$4),'Assump - LNG'!$D20)))/MAX('Assump - LNG'!$E20,1)))*INDEX('Assump - LNG'!$J$38:$J$49,MONTH($A80))))</f>
        <v/>
      </c>
      <c r="AE80" s="14">
        <f>IF('Assump - LNG'!$D21="",0,IF($A80&lt;IF('Assump - LNG'!$D21&gt;='Assump - LNG'!$B$6,EDATE('Assump - LNG'!$D21,'Assump - LNG'!$B$4),'Assump - LNG'!$D21),0,'Assump - LNG'!$C21*('Assump - LNG'!$F21+('Assump - LNG'!$G21-'Assump - LNG'!$F21)*MIN(1,((YEAR($A80)-YEAR(IF('Assump - LNG'!$D21&gt;='Assump - LNG'!$B$6,EDATE('Assump - LNG'!$D21,'Assump - LNG'!$B$4),'Assump - LNG'!$D21)))*12+MONTH($A80)-MONTH(IF('Assump - LNG'!$D21&gt;='Assump - LNG'!$B$6,EDATE('Assump - LNG'!$D21,'Assump - LNG'!$B$4),'Assump - LNG'!$D21)))/MAX('Assump - LNG'!$E21,1)))*INDEX('Assump - LNG'!$J$38:$J$49,MONTH($A80))))</f>
        <v/>
      </c>
      <c r="AF80" s="14">
        <f>IF('Assump - LNG'!$D22="",0,IF($A80&lt;IF('Assump - LNG'!$D22&gt;='Assump - LNG'!$B$6,EDATE('Assump - LNG'!$D22,'Assump - LNG'!$B$4),'Assump - LNG'!$D22),0,'Assump - LNG'!$C22*('Assump - LNG'!$F22+('Assump - LNG'!$G22-'Assump - LNG'!$F22)*MIN(1,((YEAR($A80)-YEAR(IF('Assump - LNG'!$D22&gt;='Assump - LNG'!$B$6,EDATE('Assump - LNG'!$D22,'Assump - LNG'!$B$4),'Assump - LNG'!$D22)))*12+MONTH($A80)-MONTH(IF('Assump - LNG'!$D22&gt;='Assump - LNG'!$B$6,EDATE('Assump - LNG'!$D22,'Assump - LNG'!$B$4),'Assump - LNG'!$D22)))/MAX('Assump - LNG'!$E22,1)))*INDEX('Assump - LNG'!$J$38:$J$49,MONTH($A80))))</f>
        <v/>
      </c>
      <c r="AG80" s="14">
        <f>IF('Assump - LNG'!$D23="",0,IF($A80&lt;IF('Assump - LNG'!$D23&gt;='Assump - LNG'!$B$6,EDATE('Assump - LNG'!$D23,'Assump - LNG'!$B$4),'Assump - LNG'!$D23),0,'Assump - LNG'!$C23*('Assump - LNG'!$F23+('Assump - LNG'!$G23-'Assump - LNG'!$F23)*MIN(1,((YEAR($A80)-YEAR(IF('Assump - LNG'!$D23&gt;='Assump - LNG'!$B$6,EDATE('Assump - LNG'!$D23,'Assump - LNG'!$B$4),'Assump - LNG'!$D23)))*12+MONTH($A80)-MONTH(IF('Assump - LNG'!$D23&gt;='Assump - LNG'!$B$6,EDATE('Assump - LNG'!$D23,'Assump - LNG'!$B$4),'Assump - LNG'!$D23)))/MAX('Assump - LNG'!$E23,1)))*INDEX('Assump - LNG'!$J$38:$J$49,MONTH($A80))))</f>
        <v/>
      </c>
      <c r="AH80" s="14">
        <f>IF('Assump - LNG'!$D24="",0,IF($A80&lt;IF('Assump - LNG'!$D24&gt;='Assump - LNG'!$B$6,EDATE('Assump - LNG'!$D24,'Assump - LNG'!$B$4),'Assump - LNG'!$D24),0,'Assump - LNG'!$C24*('Assump - LNG'!$F24+('Assump - LNG'!$G24-'Assump - LNG'!$F24)*MIN(1,((YEAR($A80)-YEAR(IF('Assump - LNG'!$D24&gt;='Assump - LNG'!$B$6,EDATE('Assump - LNG'!$D24,'Assump - LNG'!$B$4),'Assump - LNG'!$D24)))*12+MONTH($A80)-MONTH(IF('Assump - LNG'!$D24&gt;='Assump - LNG'!$B$6,EDATE('Assump - LNG'!$D24,'Assump - LNG'!$B$4),'Assump - LNG'!$D24)))/MAX('Assump - LNG'!$E24,1)))*INDEX('Assump - LNG'!$J$38:$J$49,MONTH($A80))))</f>
        <v/>
      </c>
      <c r="AI80" s="14">
        <f>IF('Assump - LNG'!$D25="",0,IF($A80&lt;IF('Assump - LNG'!$D25&gt;='Assump - LNG'!$B$6,EDATE('Assump - LNG'!$D25,'Assump - LNG'!$B$4),'Assump - LNG'!$D25),0,'Assump - LNG'!$C25*('Assump - LNG'!$F25+('Assump - LNG'!$G25-'Assump - LNG'!$F25)*MIN(1,((YEAR($A80)-YEAR(IF('Assump - LNG'!$D25&gt;='Assump - LNG'!$B$6,EDATE('Assump - LNG'!$D25,'Assump - LNG'!$B$4),'Assump - LNG'!$D25)))*12+MONTH($A80)-MONTH(IF('Assump - LNG'!$D25&gt;='Assump - LNG'!$B$6,EDATE('Assump - LNG'!$D25,'Assump - LNG'!$B$4),'Assump - LNG'!$D25)))/MAX('Assump - LNG'!$E25,1)))*INDEX('Assump - LNG'!$J$38:$J$49,MONTH($A80))))</f>
        <v/>
      </c>
      <c r="AJ80" s="14">
        <f>IF('Assump - LNG'!$D26="",0,IF($A80&lt;IF('Assump - LNG'!$D26&gt;='Assump - LNG'!$B$6,EDATE('Assump - LNG'!$D26,'Assump - LNG'!$B$4),'Assump - LNG'!$D26),0,'Assump - LNG'!$C26*('Assump - LNG'!$F26+('Assump - LNG'!$G26-'Assump - LNG'!$F26)*MIN(1,((YEAR($A80)-YEAR(IF('Assump - LNG'!$D26&gt;='Assump - LNG'!$B$6,EDATE('Assump - LNG'!$D26,'Assump - LNG'!$B$4),'Assump - LNG'!$D26)))*12+MONTH($A80)-MONTH(IF('Assump - LNG'!$D26&gt;='Assump - LNG'!$B$6,EDATE('Assump - LNG'!$D26,'Assump - LNG'!$B$4),'Assump - LNG'!$D26)))/MAX('Assump - LNG'!$E26,1)))*INDEX('Assump - LNG'!$J$38:$J$49,MONTH($A80))))</f>
        <v/>
      </c>
      <c r="AK80" s="14">
        <f>IF('Assump - LNG'!$D27="",0,IF($A80&lt;IF('Assump - LNG'!$D27&gt;='Assump - LNG'!$B$6,EDATE('Assump - LNG'!$D27,'Assump - LNG'!$B$4),'Assump - LNG'!$D27),0,'Assump - LNG'!$C27*('Assump - LNG'!$F27+('Assump - LNG'!$G27-'Assump - LNG'!$F27)*MIN(1,((YEAR($A80)-YEAR(IF('Assump - LNG'!$D27&gt;='Assump - LNG'!$B$6,EDATE('Assump - LNG'!$D27,'Assump - LNG'!$B$4),'Assump - LNG'!$D27)))*12+MONTH($A80)-MONTH(IF('Assump - LNG'!$D27&gt;='Assump - LNG'!$B$6,EDATE('Assump - LNG'!$D27,'Assump - LNG'!$B$4),'Assump - LNG'!$D27)))/MAX('Assump - LNG'!$E27,1)))*INDEX('Assump - LNG'!$J$38:$J$49,MONTH($A80))))</f>
        <v/>
      </c>
      <c r="AL80" s="14">
        <f>IF('Assump - LNG'!$D28="",0,IF($A80&lt;IF('Assump - LNG'!$D28&gt;='Assump - LNG'!$B$6,EDATE('Assump - LNG'!$D28,'Assump - LNG'!$B$4),'Assump - LNG'!$D28),0,'Assump - LNG'!$C28*('Assump - LNG'!$F28+('Assump - LNG'!$G28-'Assump - LNG'!$F28)*MIN(1,((YEAR($A80)-YEAR(IF('Assump - LNG'!$D28&gt;='Assump - LNG'!$B$6,EDATE('Assump - LNG'!$D28,'Assump - LNG'!$B$4),'Assump - LNG'!$D28)))*12+MONTH($A80)-MONTH(IF('Assump - LNG'!$D28&gt;='Assump - LNG'!$B$6,EDATE('Assump - LNG'!$D28,'Assump - LNG'!$B$4),'Assump - LNG'!$D28)))/MAX('Assump - LNG'!$E28,1)))*INDEX('Assump - LNG'!$J$38:$J$49,MONTH($A80))))</f>
        <v/>
      </c>
      <c r="AM80" s="14">
        <f>IF('Assump - LNG'!$D29="",0,IF($A80&lt;IF('Assump - LNG'!$D29&gt;='Assump - LNG'!$B$6,EDATE('Assump - LNG'!$D29,'Assump - LNG'!$B$4),'Assump - LNG'!$D29),0,'Assump - LNG'!$C29*('Assump - LNG'!$F29+('Assump - LNG'!$G29-'Assump - LNG'!$F29)*MIN(1,((YEAR($A80)-YEAR(IF('Assump - LNG'!$D29&gt;='Assump - LNG'!$B$6,EDATE('Assump - LNG'!$D29,'Assump - LNG'!$B$4),'Assump - LNG'!$D29)))*12+MONTH($A80)-MONTH(IF('Assump - LNG'!$D29&gt;='Assump - LNG'!$B$6,EDATE('Assump - LNG'!$D29,'Assump - LNG'!$B$4),'Assump - LNG'!$D29)))/MAX('Assump - LNG'!$E29,1)))*INDEX('Assump - LNG'!$J$38:$J$49,MONTH($A80))))</f>
        <v/>
      </c>
      <c r="AN80" s="14">
        <f>IF('Assump - LNG'!$D30="",0,IF($A80&lt;IF('Assump - LNG'!$D30&gt;='Assump - LNG'!$B$6,EDATE('Assump - LNG'!$D30,'Assump - LNG'!$B$4),'Assump - LNG'!$D30),0,'Assump - LNG'!$C30*('Assump - LNG'!$F30+('Assump - LNG'!$G30-'Assump - LNG'!$F30)*MIN(1,((YEAR($A80)-YEAR(IF('Assump - LNG'!$D30&gt;='Assump - LNG'!$B$6,EDATE('Assump - LNG'!$D30,'Assump - LNG'!$B$4),'Assump - LNG'!$D30)))*12+MONTH($A80)-MONTH(IF('Assump - LNG'!$D30&gt;='Assump - LNG'!$B$6,EDATE('Assump - LNG'!$D30,'Assump - LNG'!$B$4),'Assump - LNG'!$D30)))/MAX('Assump - LNG'!$E30,1)))*INDEX('Assump - LNG'!$J$38:$J$49,MONTH($A80))))</f>
        <v/>
      </c>
      <c r="AO80" s="14">
        <f>IF('Assump - LNG'!$D31="",0,IF($A80&lt;IF('Assump - LNG'!$D31&gt;='Assump - LNG'!$B$6,EDATE('Assump - LNG'!$D31,'Assump - LNG'!$B$4),'Assump - LNG'!$D31),0,'Assump - LNG'!$C31*('Assump - LNG'!$F31+('Assump - LNG'!$G31-'Assump - LNG'!$F31)*MIN(1,((YEAR($A80)-YEAR(IF('Assump - LNG'!$D31&gt;='Assump - LNG'!$B$6,EDATE('Assump - LNG'!$D31,'Assump - LNG'!$B$4),'Assump - LNG'!$D31)))*12+MONTH($A80)-MONTH(IF('Assump - LNG'!$D31&gt;='Assump - LNG'!$B$6,EDATE('Assump - LNG'!$D31,'Assump - LNG'!$B$4),'Assump - LNG'!$D31)))/MAX('Assump - LNG'!$E31,1)))*INDEX('Assump - LNG'!$J$38:$J$49,MONTH($A80))))</f>
        <v/>
      </c>
    </row>
    <row r="81">
      <c r="A81" s="12" t="n">
        <v>46478</v>
      </c>
      <c r="B81" s="14">
        <f>IF('Assump - LNG'!$D12="",0,IF($A81&lt;'Assump - LNG'!$D12,0,'Assump - LNG'!$C12*('Assump - LNG'!$F12+('Assump - LNG'!$G12-'Assump - LNG'!$F12)*MIN(1,((YEAR($A81)-YEAR('Assump - LNG'!$D12))*12+MONTH($A81)-MONTH('Assump - LNG'!$D12))/MAX('Assump - LNG'!$E12,1)))*INDEX('Assump - LNG'!$J$38:$J$49,MONTH($A81))))</f>
        <v/>
      </c>
      <c r="C81" s="14">
        <f>IF('Assump - LNG'!$D13="",0,IF($A81&lt;'Assump - LNG'!$D13,0,'Assump - LNG'!$C13*('Assump - LNG'!$F13+('Assump - LNG'!$G13-'Assump - LNG'!$F13)*MIN(1,((YEAR($A81)-YEAR('Assump - LNG'!$D13))*12+MONTH($A81)-MONTH('Assump - LNG'!$D13))/MAX('Assump - LNG'!$E13,1)))*INDEX('Assump - LNG'!$J$38:$J$49,MONTH($A81))))</f>
        <v/>
      </c>
      <c r="D81" s="14">
        <f>IF('Assump - LNG'!$D14="",0,IF($A81&lt;'Assump - LNG'!$D14,0,'Assump - LNG'!$C14*('Assump - LNG'!$F14+('Assump - LNG'!$G14-'Assump - LNG'!$F14)*MIN(1,((YEAR($A81)-YEAR('Assump - LNG'!$D14))*12+MONTH($A81)-MONTH('Assump - LNG'!$D14))/MAX('Assump - LNG'!$E14,1)))*INDEX('Assump - LNG'!$J$38:$J$49,MONTH($A81))))</f>
        <v/>
      </c>
      <c r="E81" s="14">
        <f>IF('Assump - LNG'!$D15="",0,IF($A81&lt;'Assump - LNG'!$D15,0,'Assump - LNG'!$C15*('Assump - LNG'!$F15+('Assump - LNG'!$G15-'Assump - LNG'!$F15)*MIN(1,((YEAR($A81)-YEAR('Assump - LNG'!$D15))*12+MONTH($A81)-MONTH('Assump - LNG'!$D15))/MAX('Assump - LNG'!$E15,1)))*INDEX('Assump - LNG'!$J$38:$J$49,MONTH($A81))))</f>
        <v/>
      </c>
      <c r="F81" s="14">
        <f>IF('Assump - LNG'!$D16="",0,IF($A81&lt;'Assump - LNG'!$D16,0,'Assump - LNG'!$C16*('Assump - LNG'!$F16+('Assump - LNG'!$G16-'Assump - LNG'!$F16)*MIN(1,((YEAR($A81)-YEAR('Assump - LNG'!$D16))*12+MONTH($A81)-MONTH('Assump - LNG'!$D16))/MAX('Assump - LNG'!$E16,1)))*INDEX('Assump - LNG'!$J$38:$J$49,MONTH($A81))))</f>
        <v/>
      </c>
      <c r="G81" s="14">
        <f>IF('Assump - LNG'!$D17="",0,IF($A81&lt;'Assump - LNG'!$D17,0,'Assump - LNG'!$C17*('Assump - LNG'!$F17+('Assump - LNG'!$G17-'Assump - LNG'!$F17)*MIN(1,((YEAR($A81)-YEAR('Assump - LNG'!$D17))*12+MONTH($A81)-MONTH('Assump - LNG'!$D17))/MAX('Assump - LNG'!$E17,1)))*INDEX('Assump - LNG'!$J$38:$J$49,MONTH($A81))))</f>
        <v/>
      </c>
      <c r="H81" s="14">
        <f>IF('Assump - LNG'!$D18="",0,IF($A81&lt;'Assump - LNG'!$D18,0,'Assump - LNG'!$C18*('Assump - LNG'!$F18+('Assump - LNG'!$G18-'Assump - LNG'!$F18)*MIN(1,((YEAR($A81)-YEAR('Assump - LNG'!$D18))*12+MONTH($A81)-MONTH('Assump - LNG'!$D18))/MAX('Assump - LNG'!$E18,1)))*INDEX('Assump - LNG'!$J$38:$J$49,MONTH($A81))))</f>
        <v/>
      </c>
      <c r="I81" s="14">
        <f>IF('Assump - LNG'!$D19="",0,IF($A81&lt;'Assump - LNG'!$D19,0,'Assump - LNG'!$C19*('Assump - LNG'!$F19+('Assump - LNG'!$G19-'Assump - LNG'!$F19)*MIN(1,((YEAR($A81)-YEAR('Assump - LNG'!$D19))*12+MONTH($A81)-MONTH('Assump - LNG'!$D19))/MAX('Assump - LNG'!$E19,1)))*INDEX('Assump - LNG'!$J$38:$J$49,MONTH($A81))))</f>
        <v/>
      </c>
      <c r="J81" s="14">
        <f>IF('Assump - LNG'!$D20="",0,IF($A81&lt;'Assump - LNG'!$D20,0,'Assump - LNG'!$C20*('Assump - LNG'!$F20+('Assump - LNG'!$G20-'Assump - LNG'!$F20)*MIN(1,((YEAR($A81)-YEAR('Assump - LNG'!$D20))*12+MONTH($A81)-MONTH('Assump - LNG'!$D20))/MAX('Assump - LNG'!$E20,1)))*INDEX('Assump - LNG'!$J$38:$J$49,MONTH($A81))))</f>
        <v/>
      </c>
      <c r="K81" s="14">
        <f>IF('Assump - LNG'!$D21="",0,IF($A81&lt;'Assump - LNG'!$D21,0,'Assump - LNG'!$C21*('Assump - LNG'!$F21+('Assump - LNG'!$G21-'Assump - LNG'!$F21)*MIN(1,((YEAR($A81)-YEAR('Assump - LNG'!$D21))*12+MONTH($A81)-MONTH('Assump - LNG'!$D21))/MAX('Assump - LNG'!$E21,1)))*INDEX('Assump - LNG'!$J$38:$J$49,MONTH($A81))))</f>
        <v/>
      </c>
      <c r="L81" s="14">
        <f>IF('Assump - LNG'!$D22="",0,IF($A81&lt;'Assump - LNG'!$D22,0,'Assump - LNG'!$C22*('Assump - LNG'!$F22+('Assump - LNG'!$G22-'Assump - LNG'!$F22)*MIN(1,((YEAR($A81)-YEAR('Assump - LNG'!$D22))*12+MONTH($A81)-MONTH('Assump - LNG'!$D22))/MAX('Assump - LNG'!$E22,1)))*INDEX('Assump - LNG'!$J$38:$J$49,MONTH($A81))))</f>
        <v/>
      </c>
      <c r="M81" s="14">
        <f>IF('Assump - LNG'!$D23="",0,IF($A81&lt;'Assump - LNG'!$D23,0,'Assump - LNG'!$C23*('Assump - LNG'!$F23+('Assump - LNG'!$G23-'Assump - LNG'!$F23)*MIN(1,((YEAR($A81)-YEAR('Assump - LNG'!$D23))*12+MONTH($A81)-MONTH('Assump - LNG'!$D23))/MAX('Assump - LNG'!$E23,1)))*INDEX('Assump - LNG'!$J$38:$J$49,MONTH($A81))))</f>
        <v/>
      </c>
      <c r="N81" s="14">
        <f>IF('Assump - LNG'!$D24="",0,IF($A81&lt;'Assump - LNG'!$D24,0,'Assump - LNG'!$C24*('Assump - LNG'!$F24+('Assump - LNG'!$G24-'Assump - LNG'!$F24)*MIN(1,((YEAR($A81)-YEAR('Assump - LNG'!$D24))*12+MONTH($A81)-MONTH('Assump - LNG'!$D24))/MAX('Assump - LNG'!$E24,1)))*INDEX('Assump - LNG'!$J$38:$J$49,MONTH($A81))))</f>
        <v/>
      </c>
      <c r="O81" s="14">
        <f>IF('Assump - LNG'!$D25="",0,IF($A81&lt;'Assump - LNG'!$D25,0,'Assump - LNG'!$C25*('Assump - LNG'!$F25+('Assump - LNG'!$G25-'Assump - LNG'!$F25)*MIN(1,((YEAR($A81)-YEAR('Assump - LNG'!$D25))*12+MONTH($A81)-MONTH('Assump - LNG'!$D25))/MAX('Assump - LNG'!$E25,1)))*INDEX('Assump - LNG'!$J$38:$J$49,MONTH($A81))))</f>
        <v/>
      </c>
      <c r="P81" s="14">
        <f>IF('Assump - LNG'!$D26="",0,IF($A81&lt;'Assump - LNG'!$D26,0,'Assump - LNG'!$C26*('Assump - LNG'!$F26+('Assump - LNG'!$G26-'Assump - LNG'!$F26)*MIN(1,((YEAR($A81)-YEAR('Assump - LNG'!$D26))*12+MONTH($A81)-MONTH('Assump - LNG'!$D26))/MAX('Assump - LNG'!$E26,1)))*INDEX('Assump - LNG'!$J$38:$J$49,MONTH($A81))))</f>
        <v/>
      </c>
      <c r="Q81" s="14">
        <f>IF('Assump - LNG'!$D27="",0,IF($A81&lt;'Assump - LNG'!$D27,0,'Assump - LNG'!$C27*('Assump - LNG'!$F27+('Assump - LNG'!$G27-'Assump - LNG'!$F27)*MIN(1,((YEAR($A81)-YEAR('Assump - LNG'!$D27))*12+MONTH($A81)-MONTH('Assump - LNG'!$D27))/MAX('Assump - LNG'!$E27,1)))*INDEX('Assump - LNG'!$J$38:$J$49,MONTH($A81))))</f>
        <v/>
      </c>
      <c r="R81" s="14">
        <f>IF('Assump - LNG'!$D28="",0,IF($A81&lt;'Assump - LNG'!$D28,0,'Assump - LNG'!$C28*('Assump - LNG'!$F28+('Assump - LNG'!$G28-'Assump - LNG'!$F28)*MIN(1,((YEAR($A81)-YEAR('Assump - LNG'!$D28))*12+MONTH($A81)-MONTH('Assump - LNG'!$D28))/MAX('Assump - LNG'!$E28,1)))*INDEX('Assump - LNG'!$J$38:$J$49,MONTH($A81))))</f>
        <v/>
      </c>
      <c r="S81" s="14">
        <f>IF('Assump - LNG'!$D29="",0,IF($A81&lt;'Assump - LNG'!$D29,0,'Assump - LNG'!$C29*('Assump - LNG'!$F29+('Assump - LNG'!$G29-'Assump - LNG'!$F29)*MIN(1,((YEAR($A81)-YEAR('Assump - LNG'!$D29))*12+MONTH($A81)-MONTH('Assump - LNG'!$D29))/MAX('Assump - LNG'!$E29,1)))*INDEX('Assump - LNG'!$J$38:$J$49,MONTH($A81))))</f>
        <v/>
      </c>
      <c r="T81" s="14">
        <f>IF('Assump - LNG'!$D30="",0,IF($A81&lt;'Assump - LNG'!$D30,0,'Assump - LNG'!$C30*('Assump - LNG'!$F30+('Assump - LNG'!$G30-'Assump - LNG'!$F30)*MIN(1,((YEAR($A81)-YEAR('Assump - LNG'!$D30))*12+MONTH($A81)-MONTH('Assump - LNG'!$D30))/MAX('Assump - LNG'!$E30,1)))*INDEX('Assump - LNG'!$J$38:$J$49,MONTH($A81))))</f>
        <v/>
      </c>
      <c r="U81" s="14">
        <f>IF('Assump - LNG'!$D31="",0,IF($A81&lt;'Assump - LNG'!$D31,0,'Assump - LNG'!$C31*('Assump - LNG'!$F31+('Assump - LNG'!$G31-'Assump - LNG'!$F31)*MIN(1,((YEAR($A81)-YEAR('Assump - LNG'!$D31))*12+MONTH($A81)-MONTH('Assump - LNG'!$D31))/MAX('Assump - LNG'!$E31,1)))*INDEX('Assump - LNG'!$J$38:$J$49,MONTH($A81))))</f>
        <v/>
      </c>
      <c r="V81" s="14">
        <f>IF('Assump - LNG'!$D12="",0,IF($A81&lt;IF('Assump - LNG'!$D12&gt;='Assump - LNG'!$B$6,EDATE('Assump - LNG'!$D12,'Assump - LNG'!$B$4),'Assump - LNG'!$D12),0,'Assump - LNG'!$C12*('Assump - LNG'!$F12+('Assump - LNG'!$G12-'Assump - LNG'!$F12)*MIN(1,((YEAR($A81)-YEAR(IF('Assump - LNG'!$D12&gt;='Assump - LNG'!$B$6,EDATE('Assump - LNG'!$D12,'Assump - LNG'!$B$4),'Assump - LNG'!$D12)))*12+MONTH($A81)-MONTH(IF('Assump - LNG'!$D12&gt;='Assump - LNG'!$B$6,EDATE('Assump - LNG'!$D12,'Assump - LNG'!$B$4),'Assump - LNG'!$D12)))/MAX('Assump - LNG'!$E12,1)))*INDEX('Assump - LNG'!$J$38:$J$49,MONTH($A81))))</f>
        <v/>
      </c>
      <c r="W81" s="14">
        <f>IF('Assump - LNG'!$D13="",0,IF($A81&lt;IF('Assump - LNG'!$D13&gt;='Assump - LNG'!$B$6,EDATE('Assump - LNG'!$D13,'Assump - LNG'!$B$4),'Assump - LNG'!$D13),0,'Assump - LNG'!$C13*('Assump - LNG'!$F13+('Assump - LNG'!$G13-'Assump - LNG'!$F13)*MIN(1,((YEAR($A81)-YEAR(IF('Assump - LNG'!$D13&gt;='Assump - LNG'!$B$6,EDATE('Assump - LNG'!$D13,'Assump - LNG'!$B$4),'Assump - LNG'!$D13)))*12+MONTH($A81)-MONTH(IF('Assump - LNG'!$D13&gt;='Assump - LNG'!$B$6,EDATE('Assump - LNG'!$D13,'Assump - LNG'!$B$4),'Assump - LNG'!$D13)))/MAX('Assump - LNG'!$E13,1)))*INDEX('Assump - LNG'!$J$38:$J$49,MONTH($A81))))</f>
        <v/>
      </c>
      <c r="X81" s="14">
        <f>IF('Assump - LNG'!$D14="",0,IF($A81&lt;IF('Assump - LNG'!$D14&gt;='Assump - LNG'!$B$6,EDATE('Assump - LNG'!$D14,'Assump - LNG'!$B$4),'Assump - LNG'!$D14),0,'Assump - LNG'!$C14*('Assump - LNG'!$F14+('Assump - LNG'!$G14-'Assump - LNG'!$F14)*MIN(1,((YEAR($A81)-YEAR(IF('Assump - LNG'!$D14&gt;='Assump - LNG'!$B$6,EDATE('Assump - LNG'!$D14,'Assump - LNG'!$B$4),'Assump - LNG'!$D14)))*12+MONTH($A81)-MONTH(IF('Assump - LNG'!$D14&gt;='Assump - LNG'!$B$6,EDATE('Assump - LNG'!$D14,'Assump - LNG'!$B$4),'Assump - LNG'!$D14)))/MAX('Assump - LNG'!$E14,1)))*INDEX('Assump - LNG'!$J$38:$J$49,MONTH($A81))))</f>
        <v/>
      </c>
      <c r="Y81" s="14">
        <f>IF('Assump - LNG'!$D15="",0,IF($A81&lt;IF('Assump - LNG'!$D15&gt;='Assump - LNG'!$B$6,EDATE('Assump - LNG'!$D15,'Assump - LNG'!$B$4),'Assump - LNG'!$D15),0,'Assump - LNG'!$C15*('Assump - LNG'!$F15+('Assump - LNG'!$G15-'Assump - LNG'!$F15)*MIN(1,((YEAR($A81)-YEAR(IF('Assump - LNG'!$D15&gt;='Assump - LNG'!$B$6,EDATE('Assump - LNG'!$D15,'Assump - LNG'!$B$4),'Assump - LNG'!$D15)))*12+MONTH($A81)-MONTH(IF('Assump - LNG'!$D15&gt;='Assump - LNG'!$B$6,EDATE('Assump - LNG'!$D15,'Assump - LNG'!$B$4),'Assump - LNG'!$D15)))/MAX('Assump - LNG'!$E15,1)))*INDEX('Assump - LNG'!$J$38:$J$49,MONTH($A81))))</f>
        <v/>
      </c>
      <c r="Z81" s="14">
        <f>IF('Assump - LNG'!$D16="",0,IF($A81&lt;IF('Assump - LNG'!$D16&gt;='Assump - LNG'!$B$6,EDATE('Assump - LNG'!$D16,'Assump - LNG'!$B$4),'Assump - LNG'!$D16),0,'Assump - LNG'!$C16*('Assump - LNG'!$F16+('Assump - LNG'!$G16-'Assump - LNG'!$F16)*MIN(1,((YEAR($A81)-YEAR(IF('Assump - LNG'!$D16&gt;='Assump - LNG'!$B$6,EDATE('Assump - LNG'!$D16,'Assump - LNG'!$B$4),'Assump - LNG'!$D16)))*12+MONTH($A81)-MONTH(IF('Assump - LNG'!$D16&gt;='Assump - LNG'!$B$6,EDATE('Assump - LNG'!$D16,'Assump - LNG'!$B$4),'Assump - LNG'!$D16)))/MAX('Assump - LNG'!$E16,1)))*INDEX('Assump - LNG'!$J$38:$J$49,MONTH($A81))))</f>
        <v/>
      </c>
      <c r="AA81" s="14">
        <f>IF('Assump - LNG'!$D17="",0,IF($A81&lt;IF('Assump - LNG'!$D17&gt;='Assump - LNG'!$B$6,EDATE('Assump - LNG'!$D17,'Assump - LNG'!$B$4),'Assump - LNG'!$D17),0,'Assump - LNG'!$C17*('Assump - LNG'!$F17+('Assump - LNG'!$G17-'Assump - LNG'!$F17)*MIN(1,((YEAR($A81)-YEAR(IF('Assump - LNG'!$D17&gt;='Assump - LNG'!$B$6,EDATE('Assump - LNG'!$D17,'Assump - LNG'!$B$4),'Assump - LNG'!$D17)))*12+MONTH($A81)-MONTH(IF('Assump - LNG'!$D17&gt;='Assump - LNG'!$B$6,EDATE('Assump - LNG'!$D17,'Assump - LNG'!$B$4),'Assump - LNG'!$D17)))/MAX('Assump - LNG'!$E17,1)))*INDEX('Assump - LNG'!$J$38:$J$49,MONTH($A81))))</f>
        <v/>
      </c>
      <c r="AB81" s="14">
        <f>IF('Assump - LNG'!$D18="",0,IF($A81&lt;IF('Assump - LNG'!$D18&gt;='Assump - LNG'!$B$6,EDATE('Assump - LNG'!$D18,'Assump - LNG'!$B$4),'Assump - LNG'!$D18),0,'Assump - LNG'!$C18*('Assump - LNG'!$F18+('Assump - LNG'!$G18-'Assump - LNG'!$F18)*MIN(1,((YEAR($A81)-YEAR(IF('Assump - LNG'!$D18&gt;='Assump - LNG'!$B$6,EDATE('Assump - LNG'!$D18,'Assump - LNG'!$B$4),'Assump - LNG'!$D18)))*12+MONTH($A81)-MONTH(IF('Assump - LNG'!$D18&gt;='Assump - LNG'!$B$6,EDATE('Assump - LNG'!$D18,'Assump - LNG'!$B$4),'Assump - LNG'!$D18)))/MAX('Assump - LNG'!$E18,1)))*INDEX('Assump - LNG'!$J$38:$J$49,MONTH($A81))))</f>
        <v/>
      </c>
      <c r="AC81" s="14">
        <f>IF('Assump - LNG'!$D19="",0,IF($A81&lt;IF('Assump - LNG'!$D19&gt;='Assump - LNG'!$B$6,EDATE('Assump - LNG'!$D19,'Assump - LNG'!$B$4),'Assump - LNG'!$D19),0,'Assump - LNG'!$C19*('Assump - LNG'!$F19+('Assump - LNG'!$G19-'Assump - LNG'!$F19)*MIN(1,((YEAR($A81)-YEAR(IF('Assump - LNG'!$D19&gt;='Assump - LNG'!$B$6,EDATE('Assump - LNG'!$D19,'Assump - LNG'!$B$4),'Assump - LNG'!$D19)))*12+MONTH($A81)-MONTH(IF('Assump - LNG'!$D19&gt;='Assump - LNG'!$B$6,EDATE('Assump - LNG'!$D19,'Assump - LNG'!$B$4),'Assump - LNG'!$D19)))/MAX('Assump - LNG'!$E19,1)))*INDEX('Assump - LNG'!$J$38:$J$49,MONTH($A81))))</f>
        <v/>
      </c>
      <c r="AD81" s="14">
        <f>IF('Assump - LNG'!$D20="",0,IF($A81&lt;IF('Assump - LNG'!$D20&gt;='Assump - LNG'!$B$6,EDATE('Assump - LNG'!$D20,'Assump - LNG'!$B$4),'Assump - LNG'!$D20),0,'Assump - LNG'!$C20*('Assump - LNG'!$F20+('Assump - LNG'!$G20-'Assump - LNG'!$F20)*MIN(1,((YEAR($A81)-YEAR(IF('Assump - LNG'!$D20&gt;='Assump - LNG'!$B$6,EDATE('Assump - LNG'!$D20,'Assump - LNG'!$B$4),'Assump - LNG'!$D20)))*12+MONTH($A81)-MONTH(IF('Assump - LNG'!$D20&gt;='Assump - LNG'!$B$6,EDATE('Assump - LNG'!$D20,'Assump - LNG'!$B$4),'Assump - LNG'!$D20)))/MAX('Assump - LNG'!$E20,1)))*INDEX('Assump - LNG'!$J$38:$J$49,MONTH($A81))))</f>
        <v/>
      </c>
      <c r="AE81" s="14">
        <f>IF('Assump - LNG'!$D21="",0,IF($A81&lt;IF('Assump - LNG'!$D21&gt;='Assump - LNG'!$B$6,EDATE('Assump - LNG'!$D21,'Assump - LNG'!$B$4),'Assump - LNG'!$D21),0,'Assump - LNG'!$C21*('Assump - LNG'!$F21+('Assump - LNG'!$G21-'Assump - LNG'!$F21)*MIN(1,((YEAR($A81)-YEAR(IF('Assump - LNG'!$D21&gt;='Assump - LNG'!$B$6,EDATE('Assump - LNG'!$D21,'Assump - LNG'!$B$4),'Assump - LNG'!$D21)))*12+MONTH($A81)-MONTH(IF('Assump - LNG'!$D21&gt;='Assump - LNG'!$B$6,EDATE('Assump - LNG'!$D21,'Assump - LNG'!$B$4),'Assump - LNG'!$D21)))/MAX('Assump - LNG'!$E21,1)))*INDEX('Assump - LNG'!$J$38:$J$49,MONTH($A81))))</f>
        <v/>
      </c>
      <c r="AF81" s="14">
        <f>IF('Assump - LNG'!$D22="",0,IF($A81&lt;IF('Assump - LNG'!$D22&gt;='Assump - LNG'!$B$6,EDATE('Assump - LNG'!$D22,'Assump - LNG'!$B$4),'Assump - LNG'!$D22),0,'Assump - LNG'!$C22*('Assump - LNG'!$F22+('Assump - LNG'!$G22-'Assump - LNG'!$F22)*MIN(1,((YEAR($A81)-YEAR(IF('Assump - LNG'!$D22&gt;='Assump - LNG'!$B$6,EDATE('Assump - LNG'!$D22,'Assump - LNG'!$B$4),'Assump - LNG'!$D22)))*12+MONTH($A81)-MONTH(IF('Assump - LNG'!$D22&gt;='Assump - LNG'!$B$6,EDATE('Assump - LNG'!$D22,'Assump - LNG'!$B$4),'Assump - LNG'!$D22)))/MAX('Assump - LNG'!$E22,1)))*INDEX('Assump - LNG'!$J$38:$J$49,MONTH($A81))))</f>
        <v/>
      </c>
      <c r="AG81" s="14">
        <f>IF('Assump - LNG'!$D23="",0,IF($A81&lt;IF('Assump - LNG'!$D23&gt;='Assump - LNG'!$B$6,EDATE('Assump - LNG'!$D23,'Assump - LNG'!$B$4),'Assump - LNG'!$D23),0,'Assump - LNG'!$C23*('Assump - LNG'!$F23+('Assump - LNG'!$G23-'Assump - LNG'!$F23)*MIN(1,((YEAR($A81)-YEAR(IF('Assump - LNG'!$D23&gt;='Assump - LNG'!$B$6,EDATE('Assump - LNG'!$D23,'Assump - LNG'!$B$4),'Assump - LNG'!$D23)))*12+MONTH($A81)-MONTH(IF('Assump - LNG'!$D23&gt;='Assump - LNG'!$B$6,EDATE('Assump - LNG'!$D23,'Assump - LNG'!$B$4),'Assump - LNG'!$D23)))/MAX('Assump - LNG'!$E23,1)))*INDEX('Assump - LNG'!$J$38:$J$49,MONTH($A81))))</f>
        <v/>
      </c>
      <c r="AH81" s="14">
        <f>IF('Assump - LNG'!$D24="",0,IF($A81&lt;IF('Assump - LNG'!$D24&gt;='Assump - LNG'!$B$6,EDATE('Assump - LNG'!$D24,'Assump - LNG'!$B$4),'Assump - LNG'!$D24),0,'Assump - LNG'!$C24*('Assump - LNG'!$F24+('Assump - LNG'!$G24-'Assump - LNG'!$F24)*MIN(1,((YEAR($A81)-YEAR(IF('Assump - LNG'!$D24&gt;='Assump - LNG'!$B$6,EDATE('Assump - LNG'!$D24,'Assump - LNG'!$B$4),'Assump - LNG'!$D24)))*12+MONTH($A81)-MONTH(IF('Assump - LNG'!$D24&gt;='Assump - LNG'!$B$6,EDATE('Assump - LNG'!$D24,'Assump - LNG'!$B$4),'Assump - LNG'!$D24)))/MAX('Assump - LNG'!$E24,1)))*INDEX('Assump - LNG'!$J$38:$J$49,MONTH($A81))))</f>
        <v/>
      </c>
      <c r="AI81" s="14">
        <f>IF('Assump - LNG'!$D25="",0,IF($A81&lt;IF('Assump - LNG'!$D25&gt;='Assump - LNG'!$B$6,EDATE('Assump - LNG'!$D25,'Assump - LNG'!$B$4),'Assump - LNG'!$D25),0,'Assump - LNG'!$C25*('Assump - LNG'!$F25+('Assump - LNG'!$G25-'Assump - LNG'!$F25)*MIN(1,((YEAR($A81)-YEAR(IF('Assump - LNG'!$D25&gt;='Assump - LNG'!$B$6,EDATE('Assump - LNG'!$D25,'Assump - LNG'!$B$4),'Assump - LNG'!$D25)))*12+MONTH($A81)-MONTH(IF('Assump - LNG'!$D25&gt;='Assump - LNG'!$B$6,EDATE('Assump - LNG'!$D25,'Assump - LNG'!$B$4),'Assump - LNG'!$D25)))/MAX('Assump - LNG'!$E25,1)))*INDEX('Assump - LNG'!$J$38:$J$49,MONTH($A81))))</f>
        <v/>
      </c>
      <c r="AJ81" s="14">
        <f>IF('Assump - LNG'!$D26="",0,IF($A81&lt;IF('Assump - LNG'!$D26&gt;='Assump - LNG'!$B$6,EDATE('Assump - LNG'!$D26,'Assump - LNG'!$B$4),'Assump - LNG'!$D26),0,'Assump - LNG'!$C26*('Assump - LNG'!$F26+('Assump - LNG'!$G26-'Assump - LNG'!$F26)*MIN(1,((YEAR($A81)-YEAR(IF('Assump - LNG'!$D26&gt;='Assump - LNG'!$B$6,EDATE('Assump - LNG'!$D26,'Assump - LNG'!$B$4),'Assump - LNG'!$D26)))*12+MONTH($A81)-MONTH(IF('Assump - LNG'!$D26&gt;='Assump - LNG'!$B$6,EDATE('Assump - LNG'!$D26,'Assump - LNG'!$B$4),'Assump - LNG'!$D26)))/MAX('Assump - LNG'!$E26,1)))*INDEX('Assump - LNG'!$J$38:$J$49,MONTH($A81))))</f>
        <v/>
      </c>
      <c r="AK81" s="14">
        <f>IF('Assump - LNG'!$D27="",0,IF($A81&lt;IF('Assump - LNG'!$D27&gt;='Assump - LNG'!$B$6,EDATE('Assump - LNG'!$D27,'Assump - LNG'!$B$4),'Assump - LNG'!$D27),0,'Assump - LNG'!$C27*('Assump - LNG'!$F27+('Assump - LNG'!$G27-'Assump - LNG'!$F27)*MIN(1,((YEAR($A81)-YEAR(IF('Assump - LNG'!$D27&gt;='Assump - LNG'!$B$6,EDATE('Assump - LNG'!$D27,'Assump - LNG'!$B$4),'Assump - LNG'!$D27)))*12+MONTH($A81)-MONTH(IF('Assump - LNG'!$D27&gt;='Assump - LNG'!$B$6,EDATE('Assump - LNG'!$D27,'Assump - LNG'!$B$4),'Assump - LNG'!$D27)))/MAX('Assump - LNG'!$E27,1)))*INDEX('Assump - LNG'!$J$38:$J$49,MONTH($A81))))</f>
        <v/>
      </c>
      <c r="AL81" s="14">
        <f>IF('Assump - LNG'!$D28="",0,IF($A81&lt;IF('Assump - LNG'!$D28&gt;='Assump - LNG'!$B$6,EDATE('Assump - LNG'!$D28,'Assump - LNG'!$B$4),'Assump - LNG'!$D28),0,'Assump - LNG'!$C28*('Assump - LNG'!$F28+('Assump - LNG'!$G28-'Assump - LNG'!$F28)*MIN(1,((YEAR($A81)-YEAR(IF('Assump - LNG'!$D28&gt;='Assump - LNG'!$B$6,EDATE('Assump - LNG'!$D28,'Assump - LNG'!$B$4),'Assump - LNG'!$D28)))*12+MONTH($A81)-MONTH(IF('Assump - LNG'!$D28&gt;='Assump - LNG'!$B$6,EDATE('Assump - LNG'!$D28,'Assump - LNG'!$B$4),'Assump - LNG'!$D28)))/MAX('Assump - LNG'!$E28,1)))*INDEX('Assump - LNG'!$J$38:$J$49,MONTH($A81))))</f>
        <v/>
      </c>
      <c r="AM81" s="14">
        <f>IF('Assump - LNG'!$D29="",0,IF($A81&lt;IF('Assump - LNG'!$D29&gt;='Assump - LNG'!$B$6,EDATE('Assump - LNG'!$D29,'Assump - LNG'!$B$4),'Assump - LNG'!$D29),0,'Assump - LNG'!$C29*('Assump - LNG'!$F29+('Assump - LNG'!$G29-'Assump - LNG'!$F29)*MIN(1,((YEAR($A81)-YEAR(IF('Assump - LNG'!$D29&gt;='Assump - LNG'!$B$6,EDATE('Assump - LNG'!$D29,'Assump - LNG'!$B$4),'Assump - LNG'!$D29)))*12+MONTH($A81)-MONTH(IF('Assump - LNG'!$D29&gt;='Assump - LNG'!$B$6,EDATE('Assump - LNG'!$D29,'Assump - LNG'!$B$4),'Assump - LNG'!$D29)))/MAX('Assump - LNG'!$E29,1)))*INDEX('Assump - LNG'!$J$38:$J$49,MONTH($A81))))</f>
        <v/>
      </c>
      <c r="AN81" s="14">
        <f>IF('Assump - LNG'!$D30="",0,IF($A81&lt;IF('Assump - LNG'!$D30&gt;='Assump - LNG'!$B$6,EDATE('Assump - LNG'!$D30,'Assump - LNG'!$B$4),'Assump - LNG'!$D30),0,'Assump - LNG'!$C30*('Assump - LNG'!$F30+('Assump - LNG'!$G30-'Assump - LNG'!$F30)*MIN(1,((YEAR($A81)-YEAR(IF('Assump - LNG'!$D30&gt;='Assump - LNG'!$B$6,EDATE('Assump - LNG'!$D30,'Assump - LNG'!$B$4),'Assump - LNG'!$D30)))*12+MONTH($A81)-MONTH(IF('Assump - LNG'!$D30&gt;='Assump - LNG'!$B$6,EDATE('Assump - LNG'!$D30,'Assump - LNG'!$B$4),'Assump - LNG'!$D30)))/MAX('Assump - LNG'!$E30,1)))*INDEX('Assump - LNG'!$J$38:$J$49,MONTH($A81))))</f>
        <v/>
      </c>
      <c r="AO81" s="14">
        <f>IF('Assump - LNG'!$D31="",0,IF($A81&lt;IF('Assump - LNG'!$D31&gt;='Assump - LNG'!$B$6,EDATE('Assump - LNG'!$D31,'Assump - LNG'!$B$4),'Assump - LNG'!$D31),0,'Assump - LNG'!$C31*('Assump - LNG'!$F31+('Assump - LNG'!$G31-'Assump - LNG'!$F31)*MIN(1,((YEAR($A81)-YEAR(IF('Assump - LNG'!$D31&gt;='Assump - LNG'!$B$6,EDATE('Assump - LNG'!$D31,'Assump - LNG'!$B$4),'Assump - LNG'!$D31)))*12+MONTH($A81)-MONTH(IF('Assump - LNG'!$D31&gt;='Assump - LNG'!$B$6,EDATE('Assump - LNG'!$D31,'Assump - LNG'!$B$4),'Assump - LNG'!$D31)))/MAX('Assump - LNG'!$E31,1)))*INDEX('Assump - LNG'!$J$38:$J$49,MONTH($A81))))</f>
        <v/>
      </c>
    </row>
    <row r="82">
      <c r="A82" s="12" t="n">
        <v>46508</v>
      </c>
      <c r="B82" s="14">
        <f>IF('Assump - LNG'!$D12="",0,IF($A82&lt;'Assump - LNG'!$D12,0,'Assump - LNG'!$C12*('Assump - LNG'!$F12+('Assump - LNG'!$G12-'Assump - LNG'!$F12)*MIN(1,((YEAR($A82)-YEAR('Assump - LNG'!$D12))*12+MONTH($A82)-MONTH('Assump - LNG'!$D12))/MAX('Assump - LNG'!$E12,1)))*INDEX('Assump - LNG'!$J$38:$J$49,MONTH($A82))))</f>
        <v/>
      </c>
      <c r="C82" s="14">
        <f>IF('Assump - LNG'!$D13="",0,IF($A82&lt;'Assump - LNG'!$D13,0,'Assump - LNG'!$C13*('Assump - LNG'!$F13+('Assump - LNG'!$G13-'Assump - LNG'!$F13)*MIN(1,((YEAR($A82)-YEAR('Assump - LNG'!$D13))*12+MONTH($A82)-MONTH('Assump - LNG'!$D13))/MAX('Assump - LNG'!$E13,1)))*INDEX('Assump - LNG'!$J$38:$J$49,MONTH($A82))))</f>
        <v/>
      </c>
      <c r="D82" s="14">
        <f>IF('Assump - LNG'!$D14="",0,IF($A82&lt;'Assump - LNG'!$D14,0,'Assump - LNG'!$C14*('Assump - LNG'!$F14+('Assump - LNG'!$G14-'Assump - LNG'!$F14)*MIN(1,((YEAR($A82)-YEAR('Assump - LNG'!$D14))*12+MONTH($A82)-MONTH('Assump - LNG'!$D14))/MAX('Assump - LNG'!$E14,1)))*INDEX('Assump - LNG'!$J$38:$J$49,MONTH($A82))))</f>
        <v/>
      </c>
      <c r="E82" s="14">
        <f>IF('Assump - LNG'!$D15="",0,IF($A82&lt;'Assump - LNG'!$D15,0,'Assump - LNG'!$C15*('Assump - LNG'!$F15+('Assump - LNG'!$G15-'Assump - LNG'!$F15)*MIN(1,((YEAR($A82)-YEAR('Assump - LNG'!$D15))*12+MONTH($A82)-MONTH('Assump - LNG'!$D15))/MAX('Assump - LNG'!$E15,1)))*INDEX('Assump - LNG'!$J$38:$J$49,MONTH($A82))))</f>
        <v/>
      </c>
      <c r="F82" s="14">
        <f>IF('Assump - LNG'!$D16="",0,IF($A82&lt;'Assump - LNG'!$D16,0,'Assump - LNG'!$C16*('Assump - LNG'!$F16+('Assump - LNG'!$G16-'Assump - LNG'!$F16)*MIN(1,((YEAR($A82)-YEAR('Assump - LNG'!$D16))*12+MONTH($A82)-MONTH('Assump - LNG'!$D16))/MAX('Assump - LNG'!$E16,1)))*INDEX('Assump - LNG'!$J$38:$J$49,MONTH($A82))))</f>
        <v/>
      </c>
      <c r="G82" s="14">
        <f>IF('Assump - LNG'!$D17="",0,IF($A82&lt;'Assump - LNG'!$D17,0,'Assump - LNG'!$C17*('Assump - LNG'!$F17+('Assump - LNG'!$G17-'Assump - LNG'!$F17)*MIN(1,((YEAR($A82)-YEAR('Assump - LNG'!$D17))*12+MONTH($A82)-MONTH('Assump - LNG'!$D17))/MAX('Assump - LNG'!$E17,1)))*INDEX('Assump - LNG'!$J$38:$J$49,MONTH($A82))))</f>
        <v/>
      </c>
      <c r="H82" s="14">
        <f>IF('Assump - LNG'!$D18="",0,IF($A82&lt;'Assump - LNG'!$D18,0,'Assump - LNG'!$C18*('Assump - LNG'!$F18+('Assump - LNG'!$G18-'Assump - LNG'!$F18)*MIN(1,((YEAR($A82)-YEAR('Assump - LNG'!$D18))*12+MONTH($A82)-MONTH('Assump - LNG'!$D18))/MAX('Assump - LNG'!$E18,1)))*INDEX('Assump - LNG'!$J$38:$J$49,MONTH($A82))))</f>
        <v/>
      </c>
      <c r="I82" s="14">
        <f>IF('Assump - LNG'!$D19="",0,IF($A82&lt;'Assump - LNG'!$D19,0,'Assump - LNG'!$C19*('Assump - LNG'!$F19+('Assump - LNG'!$G19-'Assump - LNG'!$F19)*MIN(1,((YEAR($A82)-YEAR('Assump - LNG'!$D19))*12+MONTH($A82)-MONTH('Assump - LNG'!$D19))/MAX('Assump - LNG'!$E19,1)))*INDEX('Assump - LNG'!$J$38:$J$49,MONTH($A82))))</f>
        <v/>
      </c>
      <c r="J82" s="14">
        <f>IF('Assump - LNG'!$D20="",0,IF($A82&lt;'Assump - LNG'!$D20,0,'Assump - LNG'!$C20*('Assump - LNG'!$F20+('Assump - LNG'!$G20-'Assump - LNG'!$F20)*MIN(1,((YEAR($A82)-YEAR('Assump - LNG'!$D20))*12+MONTH($A82)-MONTH('Assump - LNG'!$D20))/MAX('Assump - LNG'!$E20,1)))*INDEX('Assump - LNG'!$J$38:$J$49,MONTH($A82))))</f>
        <v/>
      </c>
      <c r="K82" s="14">
        <f>IF('Assump - LNG'!$D21="",0,IF($A82&lt;'Assump - LNG'!$D21,0,'Assump - LNG'!$C21*('Assump - LNG'!$F21+('Assump - LNG'!$G21-'Assump - LNG'!$F21)*MIN(1,((YEAR($A82)-YEAR('Assump - LNG'!$D21))*12+MONTH($A82)-MONTH('Assump - LNG'!$D21))/MAX('Assump - LNG'!$E21,1)))*INDEX('Assump - LNG'!$J$38:$J$49,MONTH($A82))))</f>
        <v/>
      </c>
      <c r="L82" s="14">
        <f>IF('Assump - LNG'!$D22="",0,IF($A82&lt;'Assump - LNG'!$D22,0,'Assump - LNG'!$C22*('Assump - LNG'!$F22+('Assump - LNG'!$G22-'Assump - LNG'!$F22)*MIN(1,((YEAR($A82)-YEAR('Assump - LNG'!$D22))*12+MONTH($A82)-MONTH('Assump - LNG'!$D22))/MAX('Assump - LNG'!$E22,1)))*INDEX('Assump - LNG'!$J$38:$J$49,MONTH($A82))))</f>
        <v/>
      </c>
      <c r="M82" s="14">
        <f>IF('Assump - LNG'!$D23="",0,IF($A82&lt;'Assump - LNG'!$D23,0,'Assump - LNG'!$C23*('Assump - LNG'!$F23+('Assump - LNG'!$G23-'Assump - LNG'!$F23)*MIN(1,((YEAR($A82)-YEAR('Assump - LNG'!$D23))*12+MONTH($A82)-MONTH('Assump - LNG'!$D23))/MAX('Assump - LNG'!$E23,1)))*INDEX('Assump - LNG'!$J$38:$J$49,MONTH($A82))))</f>
        <v/>
      </c>
      <c r="N82" s="14">
        <f>IF('Assump - LNG'!$D24="",0,IF($A82&lt;'Assump - LNG'!$D24,0,'Assump - LNG'!$C24*('Assump - LNG'!$F24+('Assump - LNG'!$G24-'Assump - LNG'!$F24)*MIN(1,((YEAR($A82)-YEAR('Assump - LNG'!$D24))*12+MONTH($A82)-MONTH('Assump - LNG'!$D24))/MAX('Assump - LNG'!$E24,1)))*INDEX('Assump - LNG'!$J$38:$J$49,MONTH($A82))))</f>
        <v/>
      </c>
      <c r="O82" s="14">
        <f>IF('Assump - LNG'!$D25="",0,IF($A82&lt;'Assump - LNG'!$D25,0,'Assump - LNG'!$C25*('Assump - LNG'!$F25+('Assump - LNG'!$G25-'Assump - LNG'!$F25)*MIN(1,((YEAR($A82)-YEAR('Assump - LNG'!$D25))*12+MONTH($A82)-MONTH('Assump - LNG'!$D25))/MAX('Assump - LNG'!$E25,1)))*INDEX('Assump - LNG'!$J$38:$J$49,MONTH($A82))))</f>
        <v/>
      </c>
      <c r="P82" s="14">
        <f>IF('Assump - LNG'!$D26="",0,IF($A82&lt;'Assump - LNG'!$D26,0,'Assump - LNG'!$C26*('Assump - LNG'!$F26+('Assump - LNG'!$G26-'Assump - LNG'!$F26)*MIN(1,((YEAR($A82)-YEAR('Assump - LNG'!$D26))*12+MONTH($A82)-MONTH('Assump - LNG'!$D26))/MAX('Assump - LNG'!$E26,1)))*INDEX('Assump - LNG'!$J$38:$J$49,MONTH($A82))))</f>
        <v/>
      </c>
      <c r="Q82" s="14">
        <f>IF('Assump - LNG'!$D27="",0,IF($A82&lt;'Assump - LNG'!$D27,0,'Assump - LNG'!$C27*('Assump - LNG'!$F27+('Assump - LNG'!$G27-'Assump - LNG'!$F27)*MIN(1,((YEAR($A82)-YEAR('Assump - LNG'!$D27))*12+MONTH($A82)-MONTH('Assump - LNG'!$D27))/MAX('Assump - LNG'!$E27,1)))*INDEX('Assump - LNG'!$J$38:$J$49,MONTH($A82))))</f>
        <v/>
      </c>
      <c r="R82" s="14">
        <f>IF('Assump - LNG'!$D28="",0,IF($A82&lt;'Assump - LNG'!$D28,0,'Assump - LNG'!$C28*('Assump - LNG'!$F28+('Assump - LNG'!$G28-'Assump - LNG'!$F28)*MIN(1,((YEAR($A82)-YEAR('Assump - LNG'!$D28))*12+MONTH($A82)-MONTH('Assump - LNG'!$D28))/MAX('Assump - LNG'!$E28,1)))*INDEX('Assump - LNG'!$J$38:$J$49,MONTH($A82))))</f>
        <v/>
      </c>
      <c r="S82" s="14">
        <f>IF('Assump - LNG'!$D29="",0,IF($A82&lt;'Assump - LNG'!$D29,0,'Assump - LNG'!$C29*('Assump - LNG'!$F29+('Assump - LNG'!$G29-'Assump - LNG'!$F29)*MIN(1,((YEAR($A82)-YEAR('Assump - LNG'!$D29))*12+MONTH($A82)-MONTH('Assump - LNG'!$D29))/MAX('Assump - LNG'!$E29,1)))*INDEX('Assump - LNG'!$J$38:$J$49,MONTH($A82))))</f>
        <v/>
      </c>
      <c r="T82" s="14">
        <f>IF('Assump - LNG'!$D30="",0,IF($A82&lt;'Assump - LNG'!$D30,0,'Assump - LNG'!$C30*('Assump - LNG'!$F30+('Assump - LNG'!$G30-'Assump - LNG'!$F30)*MIN(1,((YEAR($A82)-YEAR('Assump - LNG'!$D30))*12+MONTH($A82)-MONTH('Assump - LNG'!$D30))/MAX('Assump - LNG'!$E30,1)))*INDEX('Assump - LNG'!$J$38:$J$49,MONTH($A82))))</f>
        <v/>
      </c>
      <c r="U82" s="14">
        <f>IF('Assump - LNG'!$D31="",0,IF($A82&lt;'Assump - LNG'!$D31,0,'Assump - LNG'!$C31*('Assump - LNG'!$F31+('Assump - LNG'!$G31-'Assump - LNG'!$F31)*MIN(1,((YEAR($A82)-YEAR('Assump - LNG'!$D31))*12+MONTH($A82)-MONTH('Assump - LNG'!$D31))/MAX('Assump - LNG'!$E31,1)))*INDEX('Assump - LNG'!$J$38:$J$49,MONTH($A82))))</f>
        <v/>
      </c>
      <c r="V82" s="14">
        <f>IF('Assump - LNG'!$D12="",0,IF($A82&lt;IF('Assump - LNG'!$D12&gt;='Assump - LNG'!$B$6,EDATE('Assump - LNG'!$D12,'Assump - LNG'!$B$4),'Assump - LNG'!$D12),0,'Assump - LNG'!$C12*('Assump - LNG'!$F12+('Assump - LNG'!$G12-'Assump - LNG'!$F12)*MIN(1,((YEAR($A82)-YEAR(IF('Assump - LNG'!$D12&gt;='Assump - LNG'!$B$6,EDATE('Assump - LNG'!$D12,'Assump - LNG'!$B$4),'Assump - LNG'!$D12)))*12+MONTH($A82)-MONTH(IF('Assump - LNG'!$D12&gt;='Assump - LNG'!$B$6,EDATE('Assump - LNG'!$D12,'Assump - LNG'!$B$4),'Assump - LNG'!$D12)))/MAX('Assump - LNG'!$E12,1)))*INDEX('Assump - LNG'!$J$38:$J$49,MONTH($A82))))</f>
        <v/>
      </c>
      <c r="W82" s="14">
        <f>IF('Assump - LNG'!$D13="",0,IF($A82&lt;IF('Assump - LNG'!$D13&gt;='Assump - LNG'!$B$6,EDATE('Assump - LNG'!$D13,'Assump - LNG'!$B$4),'Assump - LNG'!$D13),0,'Assump - LNG'!$C13*('Assump - LNG'!$F13+('Assump - LNG'!$G13-'Assump - LNG'!$F13)*MIN(1,((YEAR($A82)-YEAR(IF('Assump - LNG'!$D13&gt;='Assump - LNG'!$B$6,EDATE('Assump - LNG'!$D13,'Assump - LNG'!$B$4),'Assump - LNG'!$D13)))*12+MONTH($A82)-MONTH(IF('Assump - LNG'!$D13&gt;='Assump - LNG'!$B$6,EDATE('Assump - LNG'!$D13,'Assump - LNG'!$B$4),'Assump - LNG'!$D13)))/MAX('Assump - LNG'!$E13,1)))*INDEX('Assump - LNG'!$J$38:$J$49,MONTH($A82))))</f>
        <v/>
      </c>
      <c r="X82" s="14">
        <f>IF('Assump - LNG'!$D14="",0,IF($A82&lt;IF('Assump - LNG'!$D14&gt;='Assump - LNG'!$B$6,EDATE('Assump - LNG'!$D14,'Assump - LNG'!$B$4),'Assump - LNG'!$D14),0,'Assump - LNG'!$C14*('Assump - LNG'!$F14+('Assump - LNG'!$G14-'Assump - LNG'!$F14)*MIN(1,((YEAR($A82)-YEAR(IF('Assump - LNG'!$D14&gt;='Assump - LNG'!$B$6,EDATE('Assump - LNG'!$D14,'Assump - LNG'!$B$4),'Assump - LNG'!$D14)))*12+MONTH($A82)-MONTH(IF('Assump - LNG'!$D14&gt;='Assump - LNG'!$B$6,EDATE('Assump - LNG'!$D14,'Assump - LNG'!$B$4),'Assump - LNG'!$D14)))/MAX('Assump - LNG'!$E14,1)))*INDEX('Assump - LNG'!$J$38:$J$49,MONTH($A82))))</f>
        <v/>
      </c>
      <c r="Y82" s="14">
        <f>IF('Assump - LNG'!$D15="",0,IF($A82&lt;IF('Assump - LNG'!$D15&gt;='Assump - LNG'!$B$6,EDATE('Assump - LNG'!$D15,'Assump - LNG'!$B$4),'Assump - LNG'!$D15),0,'Assump - LNG'!$C15*('Assump - LNG'!$F15+('Assump - LNG'!$G15-'Assump - LNG'!$F15)*MIN(1,((YEAR($A82)-YEAR(IF('Assump - LNG'!$D15&gt;='Assump - LNG'!$B$6,EDATE('Assump - LNG'!$D15,'Assump - LNG'!$B$4),'Assump - LNG'!$D15)))*12+MONTH($A82)-MONTH(IF('Assump - LNG'!$D15&gt;='Assump - LNG'!$B$6,EDATE('Assump - LNG'!$D15,'Assump - LNG'!$B$4),'Assump - LNG'!$D15)))/MAX('Assump - LNG'!$E15,1)))*INDEX('Assump - LNG'!$J$38:$J$49,MONTH($A82))))</f>
        <v/>
      </c>
      <c r="Z82" s="14">
        <f>IF('Assump - LNG'!$D16="",0,IF($A82&lt;IF('Assump - LNG'!$D16&gt;='Assump - LNG'!$B$6,EDATE('Assump - LNG'!$D16,'Assump - LNG'!$B$4),'Assump - LNG'!$D16),0,'Assump - LNG'!$C16*('Assump - LNG'!$F16+('Assump - LNG'!$G16-'Assump - LNG'!$F16)*MIN(1,((YEAR($A82)-YEAR(IF('Assump - LNG'!$D16&gt;='Assump - LNG'!$B$6,EDATE('Assump - LNG'!$D16,'Assump - LNG'!$B$4),'Assump - LNG'!$D16)))*12+MONTH($A82)-MONTH(IF('Assump - LNG'!$D16&gt;='Assump - LNG'!$B$6,EDATE('Assump - LNG'!$D16,'Assump - LNG'!$B$4),'Assump - LNG'!$D16)))/MAX('Assump - LNG'!$E16,1)))*INDEX('Assump - LNG'!$J$38:$J$49,MONTH($A82))))</f>
        <v/>
      </c>
      <c r="AA82" s="14">
        <f>IF('Assump - LNG'!$D17="",0,IF($A82&lt;IF('Assump - LNG'!$D17&gt;='Assump - LNG'!$B$6,EDATE('Assump - LNG'!$D17,'Assump - LNG'!$B$4),'Assump - LNG'!$D17),0,'Assump - LNG'!$C17*('Assump - LNG'!$F17+('Assump - LNG'!$G17-'Assump - LNG'!$F17)*MIN(1,((YEAR($A82)-YEAR(IF('Assump - LNG'!$D17&gt;='Assump - LNG'!$B$6,EDATE('Assump - LNG'!$D17,'Assump - LNG'!$B$4),'Assump - LNG'!$D17)))*12+MONTH($A82)-MONTH(IF('Assump - LNG'!$D17&gt;='Assump - LNG'!$B$6,EDATE('Assump - LNG'!$D17,'Assump - LNG'!$B$4),'Assump - LNG'!$D17)))/MAX('Assump - LNG'!$E17,1)))*INDEX('Assump - LNG'!$J$38:$J$49,MONTH($A82))))</f>
        <v/>
      </c>
      <c r="AB82" s="14">
        <f>IF('Assump - LNG'!$D18="",0,IF($A82&lt;IF('Assump - LNG'!$D18&gt;='Assump - LNG'!$B$6,EDATE('Assump - LNG'!$D18,'Assump - LNG'!$B$4),'Assump - LNG'!$D18),0,'Assump - LNG'!$C18*('Assump - LNG'!$F18+('Assump - LNG'!$G18-'Assump - LNG'!$F18)*MIN(1,((YEAR($A82)-YEAR(IF('Assump - LNG'!$D18&gt;='Assump - LNG'!$B$6,EDATE('Assump - LNG'!$D18,'Assump - LNG'!$B$4),'Assump - LNG'!$D18)))*12+MONTH($A82)-MONTH(IF('Assump - LNG'!$D18&gt;='Assump - LNG'!$B$6,EDATE('Assump - LNG'!$D18,'Assump - LNG'!$B$4),'Assump - LNG'!$D18)))/MAX('Assump - LNG'!$E18,1)))*INDEX('Assump - LNG'!$J$38:$J$49,MONTH($A82))))</f>
        <v/>
      </c>
      <c r="AC82" s="14">
        <f>IF('Assump - LNG'!$D19="",0,IF($A82&lt;IF('Assump - LNG'!$D19&gt;='Assump - LNG'!$B$6,EDATE('Assump - LNG'!$D19,'Assump - LNG'!$B$4),'Assump - LNG'!$D19),0,'Assump - LNG'!$C19*('Assump - LNG'!$F19+('Assump - LNG'!$G19-'Assump - LNG'!$F19)*MIN(1,((YEAR($A82)-YEAR(IF('Assump - LNG'!$D19&gt;='Assump - LNG'!$B$6,EDATE('Assump - LNG'!$D19,'Assump - LNG'!$B$4),'Assump - LNG'!$D19)))*12+MONTH($A82)-MONTH(IF('Assump - LNG'!$D19&gt;='Assump - LNG'!$B$6,EDATE('Assump - LNG'!$D19,'Assump - LNG'!$B$4),'Assump - LNG'!$D19)))/MAX('Assump - LNG'!$E19,1)))*INDEX('Assump - LNG'!$J$38:$J$49,MONTH($A82))))</f>
        <v/>
      </c>
      <c r="AD82" s="14">
        <f>IF('Assump - LNG'!$D20="",0,IF($A82&lt;IF('Assump - LNG'!$D20&gt;='Assump - LNG'!$B$6,EDATE('Assump - LNG'!$D20,'Assump - LNG'!$B$4),'Assump - LNG'!$D20),0,'Assump - LNG'!$C20*('Assump - LNG'!$F20+('Assump - LNG'!$G20-'Assump - LNG'!$F20)*MIN(1,((YEAR($A82)-YEAR(IF('Assump - LNG'!$D20&gt;='Assump - LNG'!$B$6,EDATE('Assump - LNG'!$D20,'Assump - LNG'!$B$4),'Assump - LNG'!$D20)))*12+MONTH($A82)-MONTH(IF('Assump - LNG'!$D20&gt;='Assump - LNG'!$B$6,EDATE('Assump - LNG'!$D20,'Assump - LNG'!$B$4),'Assump - LNG'!$D20)))/MAX('Assump - LNG'!$E20,1)))*INDEX('Assump - LNG'!$J$38:$J$49,MONTH($A82))))</f>
        <v/>
      </c>
      <c r="AE82" s="14">
        <f>IF('Assump - LNG'!$D21="",0,IF($A82&lt;IF('Assump - LNG'!$D21&gt;='Assump - LNG'!$B$6,EDATE('Assump - LNG'!$D21,'Assump - LNG'!$B$4),'Assump - LNG'!$D21),0,'Assump - LNG'!$C21*('Assump - LNG'!$F21+('Assump - LNG'!$G21-'Assump - LNG'!$F21)*MIN(1,((YEAR($A82)-YEAR(IF('Assump - LNG'!$D21&gt;='Assump - LNG'!$B$6,EDATE('Assump - LNG'!$D21,'Assump - LNG'!$B$4),'Assump - LNG'!$D21)))*12+MONTH($A82)-MONTH(IF('Assump - LNG'!$D21&gt;='Assump - LNG'!$B$6,EDATE('Assump - LNG'!$D21,'Assump - LNG'!$B$4),'Assump - LNG'!$D21)))/MAX('Assump - LNG'!$E21,1)))*INDEX('Assump - LNG'!$J$38:$J$49,MONTH($A82))))</f>
        <v/>
      </c>
      <c r="AF82" s="14">
        <f>IF('Assump - LNG'!$D22="",0,IF($A82&lt;IF('Assump - LNG'!$D22&gt;='Assump - LNG'!$B$6,EDATE('Assump - LNG'!$D22,'Assump - LNG'!$B$4),'Assump - LNG'!$D22),0,'Assump - LNG'!$C22*('Assump - LNG'!$F22+('Assump - LNG'!$G22-'Assump - LNG'!$F22)*MIN(1,((YEAR($A82)-YEAR(IF('Assump - LNG'!$D22&gt;='Assump - LNG'!$B$6,EDATE('Assump - LNG'!$D22,'Assump - LNG'!$B$4),'Assump - LNG'!$D22)))*12+MONTH($A82)-MONTH(IF('Assump - LNG'!$D22&gt;='Assump - LNG'!$B$6,EDATE('Assump - LNG'!$D22,'Assump - LNG'!$B$4),'Assump - LNG'!$D22)))/MAX('Assump - LNG'!$E22,1)))*INDEX('Assump - LNG'!$J$38:$J$49,MONTH($A82))))</f>
        <v/>
      </c>
      <c r="AG82" s="14">
        <f>IF('Assump - LNG'!$D23="",0,IF($A82&lt;IF('Assump - LNG'!$D23&gt;='Assump - LNG'!$B$6,EDATE('Assump - LNG'!$D23,'Assump - LNG'!$B$4),'Assump - LNG'!$D23),0,'Assump - LNG'!$C23*('Assump - LNG'!$F23+('Assump - LNG'!$G23-'Assump - LNG'!$F23)*MIN(1,((YEAR($A82)-YEAR(IF('Assump - LNG'!$D23&gt;='Assump - LNG'!$B$6,EDATE('Assump - LNG'!$D23,'Assump - LNG'!$B$4),'Assump - LNG'!$D23)))*12+MONTH($A82)-MONTH(IF('Assump - LNG'!$D23&gt;='Assump - LNG'!$B$6,EDATE('Assump - LNG'!$D23,'Assump - LNG'!$B$4),'Assump - LNG'!$D23)))/MAX('Assump - LNG'!$E23,1)))*INDEX('Assump - LNG'!$J$38:$J$49,MONTH($A82))))</f>
        <v/>
      </c>
      <c r="AH82" s="14">
        <f>IF('Assump - LNG'!$D24="",0,IF($A82&lt;IF('Assump - LNG'!$D24&gt;='Assump - LNG'!$B$6,EDATE('Assump - LNG'!$D24,'Assump - LNG'!$B$4),'Assump - LNG'!$D24),0,'Assump - LNG'!$C24*('Assump - LNG'!$F24+('Assump - LNG'!$G24-'Assump - LNG'!$F24)*MIN(1,((YEAR($A82)-YEAR(IF('Assump - LNG'!$D24&gt;='Assump - LNG'!$B$6,EDATE('Assump - LNG'!$D24,'Assump - LNG'!$B$4),'Assump - LNG'!$D24)))*12+MONTH($A82)-MONTH(IF('Assump - LNG'!$D24&gt;='Assump - LNG'!$B$6,EDATE('Assump - LNG'!$D24,'Assump - LNG'!$B$4),'Assump - LNG'!$D24)))/MAX('Assump - LNG'!$E24,1)))*INDEX('Assump - LNG'!$J$38:$J$49,MONTH($A82))))</f>
        <v/>
      </c>
      <c r="AI82" s="14">
        <f>IF('Assump - LNG'!$D25="",0,IF($A82&lt;IF('Assump - LNG'!$D25&gt;='Assump - LNG'!$B$6,EDATE('Assump - LNG'!$D25,'Assump - LNG'!$B$4),'Assump - LNG'!$D25),0,'Assump - LNG'!$C25*('Assump - LNG'!$F25+('Assump - LNG'!$G25-'Assump - LNG'!$F25)*MIN(1,((YEAR($A82)-YEAR(IF('Assump - LNG'!$D25&gt;='Assump - LNG'!$B$6,EDATE('Assump - LNG'!$D25,'Assump - LNG'!$B$4),'Assump - LNG'!$D25)))*12+MONTH($A82)-MONTH(IF('Assump - LNG'!$D25&gt;='Assump - LNG'!$B$6,EDATE('Assump - LNG'!$D25,'Assump - LNG'!$B$4),'Assump - LNG'!$D25)))/MAX('Assump - LNG'!$E25,1)))*INDEX('Assump - LNG'!$J$38:$J$49,MONTH($A82))))</f>
        <v/>
      </c>
      <c r="AJ82" s="14">
        <f>IF('Assump - LNG'!$D26="",0,IF($A82&lt;IF('Assump - LNG'!$D26&gt;='Assump - LNG'!$B$6,EDATE('Assump - LNG'!$D26,'Assump - LNG'!$B$4),'Assump - LNG'!$D26),0,'Assump - LNG'!$C26*('Assump - LNG'!$F26+('Assump - LNG'!$G26-'Assump - LNG'!$F26)*MIN(1,((YEAR($A82)-YEAR(IF('Assump - LNG'!$D26&gt;='Assump - LNG'!$B$6,EDATE('Assump - LNG'!$D26,'Assump - LNG'!$B$4),'Assump - LNG'!$D26)))*12+MONTH($A82)-MONTH(IF('Assump - LNG'!$D26&gt;='Assump - LNG'!$B$6,EDATE('Assump - LNG'!$D26,'Assump - LNG'!$B$4),'Assump - LNG'!$D26)))/MAX('Assump - LNG'!$E26,1)))*INDEX('Assump - LNG'!$J$38:$J$49,MONTH($A82))))</f>
        <v/>
      </c>
      <c r="AK82" s="14">
        <f>IF('Assump - LNG'!$D27="",0,IF($A82&lt;IF('Assump - LNG'!$D27&gt;='Assump - LNG'!$B$6,EDATE('Assump - LNG'!$D27,'Assump - LNG'!$B$4),'Assump - LNG'!$D27),0,'Assump - LNG'!$C27*('Assump - LNG'!$F27+('Assump - LNG'!$G27-'Assump - LNG'!$F27)*MIN(1,((YEAR($A82)-YEAR(IF('Assump - LNG'!$D27&gt;='Assump - LNG'!$B$6,EDATE('Assump - LNG'!$D27,'Assump - LNG'!$B$4),'Assump - LNG'!$D27)))*12+MONTH($A82)-MONTH(IF('Assump - LNG'!$D27&gt;='Assump - LNG'!$B$6,EDATE('Assump - LNG'!$D27,'Assump - LNG'!$B$4),'Assump - LNG'!$D27)))/MAX('Assump - LNG'!$E27,1)))*INDEX('Assump - LNG'!$J$38:$J$49,MONTH($A82))))</f>
        <v/>
      </c>
      <c r="AL82" s="14">
        <f>IF('Assump - LNG'!$D28="",0,IF($A82&lt;IF('Assump - LNG'!$D28&gt;='Assump - LNG'!$B$6,EDATE('Assump - LNG'!$D28,'Assump - LNG'!$B$4),'Assump - LNG'!$D28),0,'Assump - LNG'!$C28*('Assump - LNG'!$F28+('Assump - LNG'!$G28-'Assump - LNG'!$F28)*MIN(1,((YEAR($A82)-YEAR(IF('Assump - LNG'!$D28&gt;='Assump - LNG'!$B$6,EDATE('Assump - LNG'!$D28,'Assump - LNG'!$B$4),'Assump - LNG'!$D28)))*12+MONTH($A82)-MONTH(IF('Assump - LNG'!$D28&gt;='Assump - LNG'!$B$6,EDATE('Assump - LNG'!$D28,'Assump - LNG'!$B$4),'Assump - LNG'!$D28)))/MAX('Assump - LNG'!$E28,1)))*INDEX('Assump - LNG'!$J$38:$J$49,MONTH($A82))))</f>
        <v/>
      </c>
      <c r="AM82" s="14">
        <f>IF('Assump - LNG'!$D29="",0,IF($A82&lt;IF('Assump - LNG'!$D29&gt;='Assump - LNG'!$B$6,EDATE('Assump - LNG'!$D29,'Assump - LNG'!$B$4),'Assump - LNG'!$D29),0,'Assump - LNG'!$C29*('Assump - LNG'!$F29+('Assump - LNG'!$G29-'Assump - LNG'!$F29)*MIN(1,((YEAR($A82)-YEAR(IF('Assump - LNG'!$D29&gt;='Assump - LNG'!$B$6,EDATE('Assump - LNG'!$D29,'Assump - LNG'!$B$4),'Assump - LNG'!$D29)))*12+MONTH($A82)-MONTH(IF('Assump - LNG'!$D29&gt;='Assump - LNG'!$B$6,EDATE('Assump - LNG'!$D29,'Assump - LNG'!$B$4),'Assump - LNG'!$D29)))/MAX('Assump - LNG'!$E29,1)))*INDEX('Assump - LNG'!$J$38:$J$49,MONTH($A82))))</f>
        <v/>
      </c>
      <c r="AN82" s="14">
        <f>IF('Assump - LNG'!$D30="",0,IF($A82&lt;IF('Assump - LNG'!$D30&gt;='Assump - LNG'!$B$6,EDATE('Assump - LNG'!$D30,'Assump - LNG'!$B$4),'Assump - LNG'!$D30),0,'Assump - LNG'!$C30*('Assump - LNG'!$F30+('Assump - LNG'!$G30-'Assump - LNG'!$F30)*MIN(1,((YEAR($A82)-YEAR(IF('Assump - LNG'!$D30&gt;='Assump - LNG'!$B$6,EDATE('Assump - LNG'!$D30,'Assump - LNG'!$B$4),'Assump - LNG'!$D30)))*12+MONTH($A82)-MONTH(IF('Assump - LNG'!$D30&gt;='Assump - LNG'!$B$6,EDATE('Assump - LNG'!$D30,'Assump - LNG'!$B$4),'Assump - LNG'!$D30)))/MAX('Assump - LNG'!$E30,1)))*INDEX('Assump - LNG'!$J$38:$J$49,MONTH($A82))))</f>
        <v/>
      </c>
      <c r="AO82" s="14">
        <f>IF('Assump - LNG'!$D31="",0,IF($A82&lt;IF('Assump - LNG'!$D31&gt;='Assump - LNG'!$B$6,EDATE('Assump - LNG'!$D31,'Assump - LNG'!$B$4),'Assump - LNG'!$D31),0,'Assump - LNG'!$C31*('Assump - LNG'!$F31+('Assump - LNG'!$G31-'Assump - LNG'!$F31)*MIN(1,((YEAR($A82)-YEAR(IF('Assump - LNG'!$D31&gt;='Assump - LNG'!$B$6,EDATE('Assump - LNG'!$D31,'Assump - LNG'!$B$4),'Assump - LNG'!$D31)))*12+MONTH($A82)-MONTH(IF('Assump - LNG'!$D31&gt;='Assump - LNG'!$B$6,EDATE('Assump - LNG'!$D31,'Assump - LNG'!$B$4),'Assump - LNG'!$D31)))/MAX('Assump - LNG'!$E31,1)))*INDEX('Assump - LNG'!$J$38:$J$49,MONTH($A82))))</f>
        <v/>
      </c>
    </row>
    <row r="83">
      <c r="A83" s="12" t="n">
        <v>46539</v>
      </c>
      <c r="B83" s="14">
        <f>IF('Assump - LNG'!$D12="",0,IF($A83&lt;'Assump - LNG'!$D12,0,'Assump - LNG'!$C12*('Assump - LNG'!$F12+('Assump - LNG'!$G12-'Assump - LNG'!$F12)*MIN(1,((YEAR($A83)-YEAR('Assump - LNG'!$D12))*12+MONTH($A83)-MONTH('Assump - LNG'!$D12))/MAX('Assump - LNG'!$E12,1)))*INDEX('Assump - LNG'!$J$38:$J$49,MONTH($A83))))</f>
        <v/>
      </c>
      <c r="C83" s="14">
        <f>IF('Assump - LNG'!$D13="",0,IF($A83&lt;'Assump - LNG'!$D13,0,'Assump - LNG'!$C13*('Assump - LNG'!$F13+('Assump - LNG'!$G13-'Assump - LNG'!$F13)*MIN(1,((YEAR($A83)-YEAR('Assump - LNG'!$D13))*12+MONTH($A83)-MONTH('Assump - LNG'!$D13))/MAX('Assump - LNG'!$E13,1)))*INDEX('Assump - LNG'!$J$38:$J$49,MONTH($A83))))</f>
        <v/>
      </c>
      <c r="D83" s="14">
        <f>IF('Assump - LNG'!$D14="",0,IF($A83&lt;'Assump - LNG'!$D14,0,'Assump - LNG'!$C14*('Assump - LNG'!$F14+('Assump - LNG'!$G14-'Assump - LNG'!$F14)*MIN(1,((YEAR($A83)-YEAR('Assump - LNG'!$D14))*12+MONTH($A83)-MONTH('Assump - LNG'!$D14))/MAX('Assump - LNG'!$E14,1)))*INDEX('Assump - LNG'!$J$38:$J$49,MONTH($A83))))</f>
        <v/>
      </c>
      <c r="E83" s="14">
        <f>IF('Assump - LNG'!$D15="",0,IF($A83&lt;'Assump - LNG'!$D15,0,'Assump - LNG'!$C15*('Assump - LNG'!$F15+('Assump - LNG'!$G15-'Assump - LNG'!$F15)*MIN(1,((YEAR($A83)-YEAR('Assump - LNG'!$D15))*12+MONTH($A83)-MONTH('Assump - LNG'!$D15))/MAX('Assump - LNG'!$E15,1)))*INDEX('Assump - LNG'!$J$38:$J$49,MONTH($A83))))</f>
        <v/>
      </c>
      <c r="F83" s="14">
        <f>IF('Assump - LNG'!$D16="",0,IF($A83&lt;'Assump - LNG'!$D16,0,'Assump - LNG'!$C16*('Assump - LNG'!$F16+('Assump - LNG'!$G16-'Assump - LNG'!$F16)*MIN(1,((YEAR($A83)-YEAR('Assump - LNG'!$D16))*12+MONTH($A83)-MONTH('Assump - LNG'!$D16))/MAX('Assump - LNG'!$E16,1)))*INDEX('Assump - LNG'!$J$38:$J$49,MONTH($A83))))</f>
        <v/>
      </c>
      <c r="G83" s="14">
        <f>IF('Assump - LNG'!$D17="",0,IF($A83&lt;'Assump - LNG'!$D17,0,'Assump - LNG'!$C17*('Assump - LNG'!$F17+('Assump - LNG'!$G17-'Assump - LNG'!$F17)*MIN(1,((YEAR($A83)-YEAR('Assump - LNG'!$D17))*12+MONTH($A83)-MONTH('Assump - LNG'!$D17))/MAX('Assump - LNG'!$E17,1)))*INDEX('Assump - LNG'!$J$38:$J$49,MONTH($A83))))</f>
        <v/>
      </c>
      <c r="H83" s="14">
        <f>IF('Assump - LNG'!$D18="",0,IF($A83&lt;'Assump - LNG'!$D18,0,'Assump - LNG'!$C18*('Assump - LNG'!$F18+('Assump - LNG'!$G18-'Assump - LNG'!$F18)*MIN(1,((YEAR($A83)-YEAR('Assump - LNG'!$D18))*12+MONTH($A83)-MONTH('Assump - LNG'!$D18))/MAX('Assump - LNG'!$E18,1)))*INDEX('Assump - LNG'!$J$38:$J$49,MONTH($A83))))</f>
        <v/>
      </c>
      <c r="I83" s="14">
        <f>IF('Assump - LNG'!$D19="",0,IF($A83&lt;'Assump - LNG'!$D19,0,'Assump - LNG'!$C19*('Assump - LNG'!$F19+('Assump - LNG'!$G19-'Assump - LNG'!$F19)*MIN(1,((YEAR($A83)-YEAR('Assump - LNG'!$D19))*12+MONTH($A83)-MONTH('Assump - LNG'!$D19))/MAX('Assump - LNG'!$E19,1)))*INDEX('Assump - LNG'!$J$38:$J$49,MONTH($A83))))</f>
        <v/>
      </c>
      <c r="J83" s="14">
        <f>IF('Assump - LNG'!$D20="",0,IF($A83&lt;'Assump - LNG'!$D20,0,'Assump - LNG'!$C20*('Assump - LNG'!$F20+('Assump - LNG'!$G20-'Assump - LNG'!$F20)*MIN(1,((YEAR($A83)-YEAR('Assump - LNG'!$D20))*12+MONTH($A83)-MONTH('Assump - LNG'!$D20))/MAX('Assump - LNG'!$E20,1)))*INDEX('Assump - LNG'!$J$38:$J$49,MONTH($A83))))</f>
        <v/>
      </c>
      <c r="K83" s="14">
        <f>IF('Assump - LNG'!$D21="",0,IF($A83&lt;'Assump - LNG'!$D21,0,'Assump - LNG'!$C21*('Assump - LNG'!$F21+('Assump - LNG'!$G21-'Assump - LNG'!$F21)*MIN(1,((YEAR($A83)-YEAR('Assump - LNG'!$D21))*12+MONTH($A83)-MONTH('Assump - LNG'!$D21))/MAX('Assump - LNG'!$E21,1)))*INDEX('Assump - LNG'!$J$38:$J$49,MONTH($A83))))</f>
        <v/>
      </c>
      <c r="L83" s="14">
        <f>IF('Assump - LNG'!$D22="",0,IF($A83&lt;'Assump - LNG'!$D22,0,'Assump - LNG'!$C22*('Assump - LNG'!$F22+('Assump - LNG'!$G22-'Assump - LNG'!$F22)*MIN(1,((YEAR($A83)-YEAR('Assump - LNG'!$D22))*12+MONTH($A83)-MONTH('Assump - LNG'!$D22))/MAX('Assump - LNG'!$E22,1)))*INDEX('Assump - LNG'!$J$38:$J$49,MONTH($A83))))</f>
        <v/>
      </c>
      <c r="M83" s="14">
        <f>IF('Assump - LNG'!$D23="",0,IF($A83&lt;'Assump - LNG'!$D23,0,'Assump - LNG'!$C23*('Assump - LNG'!$F23+('Assump - LNG'!$G23-'Assump - LNG'!$F23)*MIN(1,((YEAR($A83)-YEAR('Assump - LNG'!$D23))*12+MONTH($A83)-MONTH('Assump - LNG'!$D23))/MAX('Assump - LNG'!$E23,1)))*INDEX('Assump - LNG'!$J$38:$J$49,MONTH($A83))))</f>
        <v/>
      </c>
      <c r="N83" s="14">
        <f>IF('Assump - LNG'!$D24="",0,IF($A83&lt;'Assump - LNG'!$D24,0,'Assump - LNG'!$C24*('Assump - LNG'!$F24+('Assump - LNG'!$G24-'Assump - LNG'!$F24)*MIN(1,((YEAR($A83)-YEAR('Assump - LNG'!$D24))*12+MONTH($A83)-MONTH('Assump - LNG'!$D24))/MAX('Assump - LNG'!$E24,1)))*INDEX('Assump - LNG'!$J$38:$J$49,MONTH($A83))))</f>
        <v/>
      </c>
      <c r="O83" s="14">
        <f>IF('Assump - LNG'!$D25="",0,IF($A83&lt;'Assump - LNG'!$D25,0,'Assump - LNG'!$C25*('Assump - LNG'!$F25+('Assump - LNG'!$G25-'Assump - LNG'!$F25)*MIN(1,((YEAR($A83)-YEAR('Assump - LNG'!$D25))*12+MONTH($A83)-MONTH('Assump - LNG'!$D25))/MAX('Assump - LNG'!$E25,1)))*INDEX('Assump - LNG'!$J$38:$J$49,MONTH($A83))))</f>
        <v/>
      </c>
      <c r="P83" s="14">
        <f>IF('Assump - LNG'!$D26="",0,IF($A83&lt;'Assump - LNG'!$D26,0,'Assump - LNG'!$C26*('Assump - LNG'!$F26+('Assump - LNG'!$G26-'Assump - LNG'!$F26)*MIN(1,((YEAR($A83)-YEAR('Assump - LNG'!$D26))*12+MONTH($A83)-MONTH('Assump - LNG'!$D26))/MAX('Assump - LNG'!$E26,1)))*INDEX('Assump - LNG'!$J$38:$J$49,MONTH($A83))))</f>
        <v/>
      </c>
      <c r="Q83" s="14">
        <f>IF('Assump - LNG'!$D27="",0,IF($A83&lt;'Assump - LNG'!$D27,0,'Assump - LNG'!$C27*('Assump - LNG'!$F27+('Assump - LNG'!$G27-'Assump - LNG'!$F27)*MIN(1,((YEAR($A83)-YEAR('Assump - LNG'!$D27))*12+MONTH($A83)-MONTH('Assump - LNG'!$D27))/MAX('Assump - LNG'!$E27,1)))*INDEX('Assump - LNG'!$J$38:$J$49,MONTH($A83))))</f>
        <v/>
      </c>
      <c r="R83" s="14">
        <f>IF('Assump - LNG'!$D28="",0,IF($A83&lt;'Assump - LNG'!$D28,0,'Assump - LNG'!$C28*('Assump - LNG'!$F28+('Assump - LNG'!$G28-'Assump - LNG'!$F28)*MIN(1,((YEAR($A83)-YEAR('Assump - LNG'!$D28))*12+MONTH($A83)-MONTH('Assump - LNG'!$D28))/MAX('Assump - LNG'!$E28,1)))*INDEX('Assump - LNG'!$J$38:$J$49,MONTH($A83))))</f>
        <v/>
      </c>
      <c r="S83" s="14">
        <f>IF('Assump - LNG'!$D29="",0,IF($A83&lt;'Assump - LNG'!$D29,0,'Assump - LNG'!$C29*('Assump - LNG'!$F29+('Assump - LNG'!$G29-'Assump - LNG'!$F29)*MIN(1,((YEAR($A83)-YEAR('Assump - LNG'!$D29))*12+MONTH($A83)-MONTH('Assump - LNG'!$D29))/MAX('Assump - LNG'!$E29,1)))*INDEX('Assump - LNG'!$J$38:$J$49,MONTH($A83))))</f>
        <v/>
      </c>
      <c r="T83" s="14">
        <f>IF('Assump - LNG'!$D30="",0,IF($A83&lt;'Assump - LNG'!$D30,0,'Assump - LNG'!$C30*('Assump - LNG'!$F30+('Assump - LNG'!$G30-'Assump - LNG'!$F30)*MIN(1,((YEAR($A83)-YEAR('Assump - LNG'!$D30))*12+MONTH($A83)-MONTH('Assump - LNG'!$D30))/MAX('Assump - LNG'!$E30,1)))*INDEX('Assump - LNG'!$J$38:$J$49,MONTH($A83))))</f>
        <v/>
      </c>
      <c r="U83" s="14">
        <f>IF('Assump - LNG'!$D31="",0,IF($A83&lt;'Assump - LNG'!$D31,0,'Assump - LNG'!$C31*('Assump - LNG'!$F31+('Assump - LNG'!$G31-'Assump - LNG'!$F31)*MIN(1,((YEAR($A83)-YEAR('Assump - LNG'!$D31))*12+MONTH($A83)-MONTH('Assump - LNG'!$D31))/MAX('Assump - LNG'!$E31,1)))*INDEX('Assump - LNG'!$J$38:$J$49,MONTH($A83))))</f>
        <v/>
      </c>
      <c r="V83" s="14">
        <f>IF('Assump - LNG'!$D12="",0,IF($A83&lt;IF('Assump - LNG'!$D12&gt;='Assump - LNG'!$B$6,EDATE('Assump - LNG'!$D12,'Assump - LNG'!$B$4),'Assump - LNG'!$D12),0,'Assump - LNG'!$C12*('Assump - LNG'!$F12+('Assump - LNG'!$G12-'Assump - LNG'!$F12)*MIN(1,((YEAR($A83)-YEAR(IF('Assump - LNG'!$D12&gt;='Assump - LNG'!$B$6,EDATE('Assump - LNG'!$D12,'Assump - LNG'!$B$4),'Assump - LNG'!$D12)))*12+MONTH($A83)-MONTH(IF('Assump - LNG'!$D12&gt;='Assump - LNG'!$B$6,EDATE('Assump - LNG'!$D12,'Assump - LNG'!$B$4),'Assump - LNG'!$D12)))/MAX('Assump - LNG'!$E12,1)))*INDEX('Assump - LNG'!$J$38:$J$49,MONTH($A83))))</f>
        <v/>
      </c>
      <c r="W83" s="14">
        <f>IF('Assump - LNG'!$D13="",0,IF($A83&lt;IF('Assump - LNG'!$D13&gt;='Assump - LNG'!$B$6,EDATE('Assump - LNG'!$D13,'Assump - LNG'!$B$4),'Assump - LNG'!$D13),0,'Assump - LNG'!$C13*('Assump - LNG'!$F13+('Assump - LNG'!$G13-'Assump - LNG'!$F13)*MIN(1,((YEAR($A83)-YEAR(IF('Assump - LNG'!$D13&gt;='Assump - LNG'!$B$6,EDATE('Assump - LNG'!$D13,'Assump - LNG'!$B$4),'Assump - LNG'!$D13)))*12+MONTH($A83)-MONTH(IF('Assump - LNG'!$D13&gt;='Assump - LNG'!$B$6,EDATE('Assump - LNG'!$D13,'Assump - LNG'!$B$4),'Assump - LNG'!$D13)))/MAX('Assump - LNG'!$E13,1)))*INDEX('Assump - LNG'!$J$38:$J$49,MONTH($A83))))</f>
        <v/>
      </c>
      <c r="X83" s="14">
        <f>IF('Assump - LNG'!$D14="",0,IF($A83&lt;IF('Assump - LNG'!$D14&gt;='Assump - LNG'!$B$6,EDATE('Assump - LNG'!$D14,'Assump - LNG'!$B$4),'Assump - LNG'!$D14),0,'Assump - LNG'!$C14*('Assump - LNG'!$F14+('Assump - LNG'!$G14-'Assump - LNG'!$F14)*MIN(1,((YEAR($A83)-YEAR(IF('Assump - LNG'!$D14&gt;='Assump - LNG'!$B$6,EDATE('Assump - LNG'!$D14,'Assump - LNG'!$B$4),'Assump - LNG'!$D14)))*12+MONTH($A83)-MONTH(IF('Assump - LNG'!$D14&gt;='Assump - LNG'!$B$6,EDATE('Assump - LNG'!$D14,'Assump - LNG'!$B$4),'Assump - LNG'!$D14)))/MAX('Assump - LNG'!$E14,1)))*INDEX('Assump - LNG'!$J$38:$J$49,MONTH($A83))))</f>
        <v/>
      </c>
      <c r="Y83" s="14">
        <f>IF('Assump - LNG'!$D15="",0,IF($A83&lt;IF('Assump - LNG'!$D15&gt;='Assump - LNG'!$B$6,EDATE('Assump - LNG'!$D15,'Assump - LNG'!$B$4),'Assump - LNG'!$D15),0,'Assump - LNG'!$C15*('Assump - LNG'!$F15+('Assump - LNG'!$G15-'Assump - LNG'!$F15)*MIN(1,((YEAR($A83)-YEAR(IF('Assump - LNG'!$D15&gt;='Assump - LNG'!$B$6,EDATE('Assump - LNG'!$D15,'Assump - LNG'!$B$4),'Assump - LNG'!$D15)))*12+MONTH($A83)-MONTH(IF('Assump - LNG'!$D15&gt;='Assump - LNG'!$B$6,EDATE('Assump - LNG'!$D15,'Assump - LNG'!$B$4),'Assump - LNG'!$D15)))/MAX('Assump - LNG'!$E15,1)))*INDEX('Assump - LNG'!$J$38:$J$49,MONTH($A83))))</f>
        <v/>
      </c>
      <c r="Z83" s="14">
        <f>IF('Assump - LNG'!$D16="",0,IF($A83&lt;IF('Assump - LNG'!$D16&gt;='Assump - LNG'!$B$6,EDATE('Assump - LNG'!$D16,'Assump - LNG'!$B$4),'Assump - LNG'!$D16),0,'Assump - LNG'!$C16*('Assump - LNG'!$F16+('Assump - LNG'!$G16-'Assump - LNG'!$F16)*MIN(1,((YEAR($A83)-YEAR(IF('Assump - LNG'!$D16&gt;='Assump - LNG'!$B$6,EDATE('Assump - LNG'!$D16,'Assump - LNG'!$B$4),'Assump - LNG'!$D16)))*12+MONTH($A83)-MONTH(IF('Assump - LNG'!$D16&gt;='Assump - LNG'!$B$6,EDATE('Assump - LNG'!$D16,'Assump - LNG'!$B$4),'Assump - LNG'!$D16)))/MAX('Assump - LNG'!$E16,1)))*INDEX('Assump - LNG'!$J$38:$J$49,MONTH($A83))))</f>
        <v/>
      </c>
      <c r="AA83" s="14">
        <f>IF('Assump - LNG'!$D17="",0,IF($A83&lt;IF('Assump - LNG'!$D17&gt;='Assump - LNG'!$B$6,EDATE('Assump - LNG'!$D17,'Assump - LNG'!$B$4),'Assump - LNG'!$D17),0,'Assump - LNG'!$C17*('Assump - LNG'!$F17+('Assump - LNG'!$G17-'Assump - LNG'!$F17)*MIN(1,((YEAR($A83)-YEAR(IF('Assump - LNG'!$D17&gt;='Assump - LNG'!$B$6,EDATE('Assump - LNG'!$D17,'Assump - LNG'!$B$4),'Assump - LNG'!$D17)))*12+MONTH($A83)-MONTH(IF('Assump - LNG'!$D17&gt;='Assump - LNG'!$B$6,EDATE('Assump - LNG'!$D17,'Assump - LNG'!$B$4),'Assump - LNG'!$D17)))/MAX('Assump - LNG'!$E17,1)))*INDEX('Assump - LNG'!$J$38:$J$49,MONTH($A83))))</f>
        <v/>
      </c>
      <c r="AB83" s="14">
        <f>IF('Assump - LNG'!$D18="",0,IF($A83&lt;IF('Assump - LNG'!$D18&gt;='Assump - LNG'!$B$6,EDATE('Assump - LNG'!$D18,'Assump - LNG'!$B$4),'Assump - LNG'!$D18),0,'Assump - LNG'!$C18*('Assump - LNG'!$F18+('Assump - LNG'!$G18-'Assump - LNG'!$F18)*MIN(1,((YEAR($A83)-YEAR(IF('Assump - LNG'!$D18&gt;='Assump - LNG'!$B$6,EDATE('Assump - LNG'!$D18,'Assump - LNG'!$B$4),'Assump - LNG'!$D18)))*12+MONTH($A83)-MONTH(IF('Assump - LNG'!$D18&gt;='Assump - LNG'!$B$6,EDATE('Assump - LNG'!$D18,'Assump - LNG'!$B$4),'Assump - LNG'!$D18)))/MAX('Assump - LNG'!$E18,1)))*INDEX('Assump - LNG'!$J$38:$J$49,MONTH($A83))))</f>
        <v/>
      </c>
      <c r="AC83" s="14">
        <f>IF('Assump - LNG'!$D19="",0,IF($A83&lt;IF('Assump - LNG'!$D19&gt;='Assump - LNG'!$B$6,EDATE('Assump - LNG'!$D19,'Assump - LNG'!$B$4),'Assump - LNG'!$D19),0,'Assump - LNG'!$C19*('Assump - LNG'!$F19+('Assump - LNG'!$G19-'Assump - LNG'!$F19)*MIN(1,((YEAR($A83)-YEAR(IF('Assump - LNG'!$D19&gt;='Assump - LNG'!$B$6,EDATE('Assump - LNG'!$D19,'Assump - LNG'!$B$4),'Assump - LNG'!$D19)))*12+MONTH($A83)-MONTH(IF('Assump - LNG'!$D19&gt;='Assump - LNG'!$B$6,EDATE('Assump - LNG'!$D19,'Assump - LNG'!$B$4),'Assump - LNG'!$D19)))/MAX('Assump - LNG'!$E19,1)))*INDEX('Assump - LNG'!$J$38:$J$49,MONTH($A83))))</f>
        <v/>
      </c>
      <c r="AD83" s="14">
        <f>IF('Assump - LNG'!$D20="",0,IF($A83&lt;IF('Assump - LNG'!$D20&gt;='Assump - LNG'!$B$6,EDATE('Assump - LNG'!$D20,'Assump - LNG'!$B$4),'Assump - LNG'!$D20),0,'Assump - LNG'!$C20*('Assump - LNG'!$F20+('Assump - LNG'!$G20-'Assump - LNG'!$F20)*MIN(1,((YEAR($A83)-YEAR(IF('Assump - LNG'!$D20&gt;='Assump - LNG'!$B$6,EDATE('Assump - LNG'!$D20,'Assump - LNG'!$B$4),'Assump - LNG'!$D20)))*12+MONTH($A83)-MONTH(IF('Assump - LNG'!$D20&gt;='Assump - LNG'!$B$6,EDATE('Assump - LNG'!$D20,'Assump - LNG'!$B$4),'Assump - LNG'!$D20)))/MAX('Assump - LNG'!$E20,1)))*INDEX('Assump - LNG'!$J$38:$J$49,MONTH($A83))))</f>
        <v/>
      </c>
      <c r="AE83" s="14">
        <f>IF('Assump - LNG'!$D21="",0,IF($A83&lt;IF('Assump - LNG'!$D21&gt;='Assump - LNG'!$B$6,EDATE('Assump - LNG'!$D21,'Assump - LNG'!$B$4),'Assump - LNG'!$D21),0,'Assump - LNG'!$C21*('Assump - LNG'!$F21+('Assump - LNG'!$G21-'Assump - LNG'!$F21)*MIN(1,((YEAR($A83)-YEAR(IF('Assump - LNG'!$D21&gt;='Assump - LNG'!$B$6,EDATE('Assump - LNG'!$D21,'Assump - LNG'!$B$4),'Assump - LNG'!$D21)))*12+MONTH($A83)-MONTH(IF('Assump - LNG'!$D21&gt;='Assump - LNG'!$B$6,EDATE('Assump - LNG'!$D21,'Assump - LNG'!$B$4),'Assump - LNG'!$D21)))/MAX('Assump - LNG'!$E21,1)))*INDEX('Assump - LNG'!$J$38:$J$49,MONTH($A83))))</f>
        <v/>
      </c>
      <c r="AF83" s="14">
        <f>IF('Assump - LNG'!$D22="",0,IF($A83&lt;IF('Assump - LNG'!$D22&gt;='Assump - LNG'!$B$6,EDATE('Assump - LNG'!$D22,'Assump - LNG'!$B$4),'Assump - LNG'!$D22),0,'Assump - LNG'!$C22*('Assump - LNG'!$F22+('Assump - LNG'!$G22-'Assump - LNG'!$F22)*MIN(1,((YEAR($A83)-YEAR(IF('Assump - LNG'!$D22&gt;='Assump - LNG'!$B$6,EDATE('Assump - LNG'!$D22,'Assump - LNG'!$B$4),'Assump - LNG'!$D22)))*12+MONTH($A83)-MONTH(IF('Assump - LNG'!$D22&gt;='Assump - LNG'!$B$6,EDATE('Assump - LNG'!$D22,'Assump - LNG'!$B$4),'Assump - LNG'!$D22)))/MAX('Assump - LNG'!$E22,1)))*INDEX('Assump - LNG'!$J$38:$J$49,MONTH($A83))))</f>
        <v/>
      </c>
      <c r="AG83" s="14">
        <f>IF('Assump - LNG'!$D23="",0,IF($A83&lt;IF('Assump - LNG'!$D23&gt;='Assump - LNG'!$B$6,EDATE('Assump - LNG'!$D23,'Assump - LNG'!$B$4),'Assump - LNG'!$D23),0,'Assump - LNG'!$C23*('Assump - LNG'!$F23+('Assump - LNG'!$G23-'Assump - LNG'!$F23)*MIN(1,((YEAR($A83)-YEAR(IF('Assump - LNG'!$D23&gt;='Assump - LNG'!$B$6,EDATE('Assump - LNG'!$D23,'Assump - LNG'!$B$4),'Assump - LNG'!$D23)))*12+MONTH($A83)-MONTH(IF('Assump - LNG'!$D23&gt;='Assump - LNG'!$B$6,EDATE('Assump - LNG'!$D23,'Assump - LNG'!$B$4),'Assump - LNG'!$D23)))/MAX('Assump - LNG'!$E23,1)))*INDEX('Assump - LNG'!$J$38:$J$49,MONTH($A83))))</f>
        <v/>
      </c>
      <c r="AH83" s="14">
        <f>IF('Assump - LNG'!$D24="",0,IF($A83&lt;IF('Assump - LNG'!$D24&gt;='Assump - LNG'!$B$6,EDATE('Assump - LNG'!$D24,'Assump - LNG'!$B$4),'Assump - LNG'!$D24),0,'Assump - LNG'!$C24*('Assump - LNG'!$F24+('Assump - LNG'!$G24-'Assump - LNG'!$F24)*MIN(1,((YEAR($A83)-YEAR(IF('Assump - LNG'!$D24&gt;='Assump - LNG'!$B$6,EDATE('Assump - LNG'!$D24,'Assump - LNG'!$B$4),'Assump - LNG'!$D24)))*12+MONTH($A83)-MONTH(IF('Assump - LNG'!$D24&gt;='Assump - LNG'!$B$6,EDATE('Assump - LNG'!$D24,'Assump - LNG'!$B$4),'Assump - LNG'!$D24)))/MAX('Assump - LNG'!$E24,1)))*INDEX('Assump - LNG'!$J$38:$J$49,MONTH($A83))))</f>
        <v/>
      </c>
      <c r="AI83" s="14">
        <f>IF('Assump - LNG'!$D25="",0,IF($A83&lt;IF('Assump - LNG'!$D25&gt;='Assump - LNG'!$B$6,EDATE('Assump - LNG'!$D25,'Assump - LNG'!$B$4),'Assump - LNG'!$D25),0,'Assump - LNG'!$C25*('Assump - LNG'!$F25+('Assump - LNG'!$G25-'Assump - LNG'!$F25)*MIN(1,((YEAR($A83)-YEAR(IF('Assump - LNG'!$D25&gt;='Assump - LNG'!$B$6,EDATE('Assump - LNG'!$D25,'Assump - LNG'!$B$4),'Assump - LNG'!$D25)))*12+MONTH($A83)-MONTH(IF('Assump - LNG'!$D25&gt;='Assump - LNG'!$B$6,EDATE('Assump - LNG'!$D25,'Assump - LNG'!$B$4),'Assump - LNG'!$D25)))/MAX('Assump - LNG'!$E25,1)))*INDEX('Assump - LNG'!$J$38:$J$49,MONTH($A83))))</f>
        <v/>
      </c>
      <c r="AJ83" s="14">
        <f>IF('Assump - LNG'!$D26="",0,IF($A83&lt;IF('Assump - LNG'!$D26&gt;='Assump - LNG'!$B$6,EDATE('Assump - LNG'!$D26,'Assump - LNG'!$B$4),'Assump - LNG'!$D26),0,'Assump - LNG'!$C26*('Assump - LNG'!$F26+('Assump - LNG'!$G26-'Assump - LNG'!$F26)*MIN(1,((YEAR($A83)-YEAR(IF('Assump - LNG'!$D26&gt;='Assump - LNG'!$B$6,EDATE('Assump - LNG'!$D26,'Assump - LNG'!$B$4),'Assump - LNG'!$D26)))*12+MONTH($A83)-MONTH(IF('Assump - LNG'!$D26&gt;='Assump - LNG'!$B$6,EDATE('Assump - LNG'!$D26,'Assump - LNG'!$B$4),'Assump - LNG'!$D26)))/MAX('Assump - LNG'!$E26,1)))*INDEX('Assump - LNG'!$J$38:$J$49,MONTH($A83))))</f>
        <v/>
      </c>
      <c r="AK83" s="14">
        <f>IF('Assump - LNG'!$D27="",0,IF($A83&lt;IF('Assump - LNG'!$D27&gt;='Assump - LNG'!$B$6,EDATE('Assump - LNG'!$D27,'Assump - LNG'!$B$4),'Assump - LNG'!$D27),0,'Assump - LNG'!$C27*('Assump - LNG'!$F27+('Assump - LNG'!$G27-'Assump - LNG'!$F27)*MIN(1,((YEAR($A83)-YEAR(IF('Assump - LNG'!$D27&gt;='Assump - LNG'!$B$6,EDATE('Assump - LNG'!$D27,'Assump - LNG'!$B$4),'Assump - LNG'!$D27)))*12+MONTH($A83)-MONTH(IF('Assump - LNG'!$D27&gt;='Assump - LNG'!$B$6,EDATE('Assump - LNG'!$D27,'Assump - LNG'!$B$4),'Assump - LNG'!$D27)))/MAX('Assump - LNG'!$E27,1)))*INDEX('Assump - LNG'!$J$38:$J$49,MONTH($A83))))</f>
        <v/>
      </c>
      <c r="AL83" s="14">
        <f>IF('Assump - LNG'!$D28="",0,IF($A83&lt;IF('Assump - LNG'!$D28&gt;='Assump - LNG'!$B$6,EDATE('Assump - LNG'!$D28,'Assump - LNG'!$B$4),'Assump - LNG'!$D28),0,'Assump - LNG'!$C28*('Assump - LNG'!$F28+('Assump - LNG'!$G28-'Assump - LNG'!$F28)*MIN(1,((YEAR($A83)-YEAR(IF('Assump - LNG'!$D28&gt;='Assump - LNG'!$B$6,EDATE('Assump - LNG'!$D28,'Assump - LNG'!$B$4),'Assump - LNG'!$D28)))*12+MONTH($A83)-MONTH(IF('Assump - LNG'!$D28&gt;='Assump - LNG'!$B$6,EDATE('Assump - LNG'!$D28,'Assump - LNG'!$B$4),'Assump - LNG'!$D28)))/MAX('Assump - LNG'!$E28,1)))*INDEX('Assump - LNG'!$J$38:$J$49,MONTH($A83))))</f>
        <v/>
      </c>
      <c r="AM83" s="14">
        <f>IF('Assump - LNG'!$D29="",0,IF($A83&lt;IF('Assump - LNG'!$D29&gt;='Assump - LNG'!$B$6,EDATE('Assump - LNG'!$D29,'Assump - LNG'!$B$4),'Assump - LNG'!$D29),0,'Assump - LNG'!$C29*('Assump - LNG'!$F29+('Assump - LNG'!$G29-'Assump - LNG'!$F29)*MIN(1,((YEAR($A83)-YEAR(IF('Assump - LNG'!$D29&gt;='Assump - LNG'!$B$6,EDATE('Assump - LNG'!$D29,'Assump - LNG'!$B$4),'Assump - LNG'!$D29)))*12+MONTH($A83)-MONTH(IF('Assump - LNG'!$D29&gt;='Assump - LNG'!$B$6,EDATE('Assump - LNG'!$D29,'Assump - LNG'!$B$4),'Assump - LNG'!$D29)))/MAX('Assump - LNG'!$E29,1)))*INDEX('Assump - LNG'!$J$38:$J$49,MONTH($A83))))</f>
        <v/>
      </c>
      <c r="AN83" s="14">
        <f>IF('Assump - LNG'!$D30="",0,IF($A83&lt;IF('Assump - LNG'!$D30&gt;='Assump - LNG'!$B$6,EDATE('Assump - LNG'!$D30,'Assump - LNG'!$B$4),'Assump - LNG'!$D30),0,'Assump - LNG'!$C30*('Assump - LNG'!$F30+('Assump - LNG'!$G30-'Assump - LNG'!$F30)*MIN(1,((YEAR($A83)-YEAR(IF('Assump - LNG'!$D30&gt;='Assump - LNG'!$B$6,EDATE('Assump - LNG'!$D30,'Assump - LNG'!$B$4),'Assump - LNG'!$D30)))*12+MONTH($A83)-MONTH(IF('Assump - LNG'!$D30&gt;='Assump - LNG'!$B$6,EDATE('Assump - LNG'!$D30,'Assump - LNG'!$B$4),'Assump - LNG'!$D30)))/MAX('Assump - LNG'!$E30,1)))*INDEX('Assump - LNG'!$J$38:$J$49,MONTH($A83))))</f>
        <v/>
      </c>
      <c r="AO83" s="14">
        <f>IF('Assump - LNG'!$D31="",0,IF($A83&lt;IF('Assump - LNG'!$D31&gt;='Assump - LNG'!$B$6,EDATE('Assump - LNG'!$D31,'Assump - LNG'!$B$4),'Assump - LNG'!$D31),0,'Assump - LNG'!$C31*('Assump - LNG'!$F31+('Assump - LNG'!$G31-'Assump - LNG'!$F31)*MIN(1,((YEAR($A83)-YEAR(IF('Assump - LNG'!$D31&gt;='Assump - LNG'!$B$6,EDATE('Assump - LNG'!$D31,'Assump - LNG'!$B$4),'Assump - LNG'!$D31)))*12+MONTH($A83)-MONTH(IF('Assump - LNG'!$D31&gt;='Assump - LNG'!$B$6,EDATE('Assump - LNG'!$D31,'Assump - LNG'!$B$4),'Assump - LNG'!$D31)))/MAX('Assump - LNG'!$E31,1)))*INDEX('Assump - LNG'!$J$38:$J$49,MONTH($A83))))</f>
        <v/>
      </c>
    </row>
    <row r="84">
      <c r="A84" s="12" t="n">
        <v>46569</v>
      </c>
      <c r="B84" s="14">
        <f>IF('Assump - LNG'!$D12="",0,IF($A84&lt;'Assump - LNG'!$D12,0,'Assump - LNG'!$C12*('Assump - LNG'!$F12+('Assump - LNG'!$G12-'Assump - LNG'!$F12)*MIN(1,((YEAR($A84)-YEAR('Assump - LNG'!$D12))*12+MONTH($A84)-MONTH('Assump - LNG'!$D12))/MAX('Assump - LNG'!$E12,1)))*INDEX('Assump - LNG'!$J$38:$J$49,MONTH($A84))))</f>
        <v/>
      </c>
      <c r="C84" s="14">
        <f>IF('Assump - LNG'!$D13="",0,IF($A84&lt;'Assump - LNG'!$D13,0,'Assump - LNG'!$C13*('Assump - LNG'!$F13+('Assump - LNG'!$G13-'Assump - LNG'!$F13)*MIN(1,((YEAR($A84)-YEAR('Assump - LNG'!$D13))*12+MONTH($A84)-MONTH('Assump - LNG'!$D13))/MAX('Assump - LNG'!$E13,1)))*INDEX('Assump - LNG'!$J$38:$J$49,MONTH($A84))))</f>
        <v/>
      </c>
      <c r="D84" s="14">
        <f>IF('Assump - LNG'!$D14="",0,IF($A84&lt;'Assump - LNG'!$D14,0,'Assump - LNG'!$C14*('Assump - LNG'!$F14+('Assump - LNG'!$G14-'Assump - LNG'!$F14)*MIN(1,((YEAR($A84)-YEAR('Assump - LNG'!$D14))*12+MONTH($A84)-MONTH('Assump - LNG'!$D14))/MAX('Assump - LNG'!$E14,1)))*INDEX('Assump - LNG'!$J$38:$J$49,MONTH($A84))))</f>
        <v/>
      </c>
      <c r="E84" s="14">
        <f>IF('Assump - LNG'!$D15="",0,IF($A84&lt;'Assump - LNG'!$D15,0,'Assump - LNG'!$C15*('Assump - LNG'!$F15+('Assump - LNG'!$G15-'Assump - LNG'!$F15)*MIN(1,((YEAR($A84)-YEAR('Assump - LNG'!$D15))*12+MONTH($A84)-MONTH('Assump - LNG'!$D15))/MAX('Assump - LNG'!$E15,1)))*INDEX('Assump - LNG'!$J$38:$J$49,MONTH($A84))))</f>
        <v/>
      </c>
      <c r="F84" s="14">
        <f>IF('Assump - LNG'!$D16="",0,IF($A84&lt;'Assump - LNG'!$D16,0,'Assump - LNG'!$C16*('Assump - LNG'!$F16+('Assump - LNG'!$G16-'Assump - LNG'!$F16)*MIN(1,((YEAR($A84)-YEAR('Assump - LNG'!$D16))*12+MONTH($A84)-MONTH('Assump - LNG'!$D16))/MAX('Assump - LNG'!$E16,1)))*INDEX('Assump - LNG'!$J$38:$J$49,MONTH($A84))))</f>
        <v/>
      </c>
      <c r="G84" s="14">
        <f>IF('Assump - LNG'!$D17="",0,IF($A84&lt;'Assump - LNG'!$D17,0,'Assump - LNG'!$C17*('Assump - LNG'!$F17+('Assump - LNG'!$G17-'Assump - LNG'!$F17)*MIN(1,((YEAR($A84)-YEAR('Assump - LNG'!$D17))*12+MONTH($A84)-MONTH('Assump - LNG'!$D17))/MAX('Assump - LNG'!$E17,1)))*INDEX('Assump - LNG'!$J$38:$J$49,MONTH($A84))))</f>
        <v/>
      </c>
      <c r="H84" s="14">
        <f>IF('Assump - LNG'!$D18="",0,IF($A84&lt;'Assump - LNG'!$D18,0,'Assump - LNG'!$C18*('Assump - LNG'!$F18+('Assump - LNG'!$G18-'Assump - LNG'!$F18)*MIN(1,((YEAR($A84)-YEAR('Assump - LNG'!$D18))*12+MONTH($A84)-MONTH('Assump - LNG'!$D18))/MAX('Assump - LNG'!$E18,1)))*INDEX('Assump - LNG'!$J$38:$J$49,MONTH($A84))))</f>
        <v/>
      </c>
      <c r="I84" s="14">
        <f>IF('Assump - LNG'!$D19="",0,IF($A84&lt;'Assump - LNG'!$D19,0,'Assump - LNG'!$C19*('Assump - LNG'!$F19+('Assump - LNG'!$G19-'Assump - LNG'!$F19)*MIN(1,((YEAR($A84)-YEAR('Assump - LNG'!$D19))*12+MONTH($A84)-MONTH('Assump - LNG'!$D19))/MAX('Assump - LNG'!$E19,1)))*INDEX('Assump - LNG'!$J$38:$J$49,MONTH($A84))))</f>
        <v/>
      </c>
      <c r="J84" s="14">
        <f>IF('Assump - LNG'!$D20="",0,IF($A84&lt;'Assump - LNG'!$D20,0,'Assump - LNG'!$C20*('Assump - LNG'!$F20+('Assump - LNG'!$G20-'Assump - LNG'!$F20)*MIN(1,((YEAR($A84)-YEAR('Assump - LNG'!$D20))*12+MONTH($A84)-MONTH('Assump - LNG'!$D20))/MAX('Assump - LNG'!$E20,1)))*INDEX('Assump - LNG'!$J$38:$J$49,MONTH($A84))))</f>
        <v/>
      </c>
      <c r="K84" s="14">
        <f>IF('Assump - LNG'!$D21="",0,IF($A84&lt;'Assump - LNG'!$D21,0,'Assump - LNG'!$C21*('Assump - LNG'!$F21+('Assump - LNG'!$G21-'Assump - LNG'!$F21)*MIN(1,((YEAR($A84)-YEAR('Assump - LNG'!$D21))*12+MONTH($A84)-MONTH('Assump - LNG'!$D21))/MAX('Assump - LNG'!$E21,1)))*INDEX('Assump - LNG'!$J$38:$J$49,MONTH($A84))))</f>
        <v/>
      </c>
      <c r="L84" s="14">
        <f>IF('Assump - LNG'!$D22="",0,IF($A84&lt;'Assump - LNG'!$D22,0,'Assump - LNG'!$C22*('Assump - LNG'!$F22+('Assump - LNG'!$G22-'Assump - LNG'!$F22)*MIN(1,((YEAR($A84)-YEAR('Assump - LNG'!$D22))*12+MONTH($A84)-MONTH('Assump - LNG'!$D22))/MAX('Assump - LNG'!$E22,1)))*INDEX('Assump - LNG'!$J$38:$J$49,MONTH($A84))))</f>
        <v/>
      </c>
      <c r="M84" s="14">
        <f>IF('Assump - LNG'!$D23="",0,IF($A84&lt;'Assump - LNG'!$D23,0,'Assump - LNG'!$C23*('Assump - LNG'!$F23+('Assump - LNG'!$G23-'Assump - LNG'!$F23)*MIN(1,((YEAR($A84)-YEAR('Assump - LNG'!$D23))*12+MONTH($A84)-MONTH('Assump - LNG'!$D23))/MAX('Assump - LNG'!$E23,1)))*INDEX('Assump - LNG'!$J$38:$J$49,MONTH($A84))))</f>
        <v/>
      </c>
      <c r="N84" s="14">
        <f>IF('Assump - LNG'!$D24="",0,IF($A84&lt;'Assump - LNG'!$D24,0,'Assump - LNG'!$C24*('Assump - LNG'!$F24+('Assump - LNG'!$G24-'Assump - LNG'!$F24)*MIN(1,((YEAR($A84)-YEAR('Assump - LNG'!$D24))*12+MONTH($A84)-MONTH('Assump - LNG'!$D24))/MAX('Assump - LNG'!$E24,1)))*INDEX('Assump - LNG'!$J$38:$J$49,MONTH($A84))))</f>
        <v/>
      </c>
      <c r="O84" s="14">
        <f>IF('Assump - LNG'!$D25="",0,IF($A84&lt;'Assump - LNG'!$D25,0,'Assump - LNG'!$C25*('Assump - LNG'!$F25+('Assump - LNG'!$G25-'Assump - LNG'!$F25)*MIN(1,((YEAR($A84)-YEAR('Assump - LNG'!$D25))*12+MONTH($A84)-MONTH('Assump - LNG'!$D25))/MAX('Assump - LNG'!$E25,1)))*INDEX('Assump - LNG'!$J$38:$J$49,MONTH($A84))))</f>
        <v/>
      </c>
      <c r="P84" s="14">
        <f>IF('Assump - LNG'!$D26="",0,IF($A84&lt;'Assump - LNG'!$D26,0,'Assump - LNG'!$C26*('Assump - LNG'!$F26+('Assump - LNG'!$G26-'Assump - LNG'!$F26)*MIN(1,((YEAR($A84)-YEAR('Assump - LNG'!$D26))*12+MONTH($A84)-MONTH('Assump - LNG'!$D26))/MAX('Assump - LNG'!$E26,1)))*INDEX('Assump - LNG'!$J$38:$J$49,MONTH($A84))))</f>
        <v/>
      </c>
      <c r="Q84" s="14">
        <f>IF('Assump - LNG'!$D27="",0,IF($A84&lt;'Assump - LNG'!$D27,0,'Assump - LNG'!$C27*('Assump - LNG'!$F27+('Assump - LNG'!$G27-'Assump - LNG'!$F27)*MIN(1,((YEAR($A84)-YEAR('Assump - LNG'!$D27))*12+MONTH($A84)-MONTH('Assump - LNG'!$D27))/MAX('Assump - LNG'!$E27,1)))*INDEX('Assump - LNG'!$J$38:$J$49,MONTH($A84))))</f>
        <v/>
      </c>
      <c r="R84" s="14">
        <f>IF('Assump - LNG'!$D28="",0,IF($A84&lt;'Assump - LNG'!$D28,0,'Assump - LNG'!$C28*('Assump - LNG'!$F28+('Assump - LNG'!$G28-'Assump - LNG'!$F28)*MIN(1,((YEAR($A84)-YEAR('Assump - LNG'!$D28))*12+MONTH($A84)-MONTH('Assump - LNG'!$D28))/MAX('Assump - LNG'!$E28,1)))*INDEX('Assump - LNG'!$J$38:$J$49,MONTH($A84))))</f>
        <v/>
      </c>
      <c r="S84" s="14">
        <f>IF('Assump - LNG'!$D29="",0,IF($A84&lt;'Assump - LNG'!$D29,0,'Assump - LNG'!$C29*('Assump - LNG'!$F29+('Assump - LNG'!$G29-'Assump - LNG'!$F29)*MIN(1,((YEAR($A84)-YEAR('Assump - LNG'!$D29))*12+MONTH($A84)-MONTH('Assump - LNG'!$D29))/MAX('Assump - LNG'!$E29,1)))*INDEX('Assump - LNG'!$J$38:$J$49,MONTH($A84))))</f>
        <v/>
      </c>
      <c r="T84" s="14">
        <f>IF('Assump - LNG'!$D30="",0,IF($A84&lt;'Assump - LNG'!$D30,0,'Assump - LNG'!$C30*('Assump - LNG'!$F30+('Assump - LNG'!$G30-'Assump - LNG'!$F30)*MIN(1,((YEAR($A84)-YEAR('Assump - LNG'!$D30))*12+MONTH($A84)-MONTH('Assump - LNG'!$D30))/MAX('Assump - LNG'!$E30,1)))*INDEX('Assump - LNG'!$J$38:$J$49,MONTH($A84))))</f>
        <v/>
      </c>
      <c r="U84" s="14">
        <f>IF('Assump - LNG'!$D31="",0,IF($A84&lt;'Assump - LNG'!$D31,0,'Assump - LNG'!$C31*('Assump - LNG'!$F31+('Assump - LNG'!$G31-'Assump - LNG'!$F31)*MIN(1,((YEAR($A84)-YEAR('Assump - LNG'!$D31))*12+MONTH($A84)-MONTH('Assump - LNG'!$D31))/MAX('Assump - LNG'!$E31,1)))*INDEX('Assump - LNG'!$J$38:$J$49,MONTH($A84))))</f>
        <v/>
      </c>
      <c r="V84" s="14">
        <f>IF('Assump - LNG'!$D12="",0,IF($A84&lt;IF('Assump - LNG'!$D12&gt;='Assump - LNG'!$B$6,EDATE('Assump - LNG'!$D12,'Assump - LNG'!$B$4),'Assump - LNG'!$D12),0,'Assump - LNG'!$C12*('Assump - LNG'!$F12+('Assump - LNG'!$G12-'Assump - LNG'!$F12)*MIN(1,((YEAR($A84)-YEAR(IF('Assump - LNG'!$D12&gt;='Assump - LNG'!$B$6,EDATE('Assump - LNG'!$D12,'Assump - LNG'!$B$4),'Assump - LNG'!$D12)))*12+MONTH($A84)-MONTH(IF('Assump - LNG'!$D12&gt;='Assump - LNG'!$B$6,EDATE('Assump - LNG'!$D12,'Assump - LNG'!$B$4),'Assump - LNG'!$D12)))/MAX('Assump - LNG'!$E12,1)))*INDEX('Assump - LNG'!$J$38:$J$49,MONTH($A84))))</f>
        <v/>
      </c>
      <c r="W84" s="14">
        <f>IF('Assump - LNG'!$D13="",0,IF($A84&lt;IF('Assump - LNG'!$D13&gt;='Assump - LNG'!$B$6,EDATE('Assump - LNG'!$D13,'Assump - LNG'!$B$4),'Assump - LNG'!$D13),0,'Assump - LNG'!$C13*('Assump - LNG'!$F13+('Assump - LNG'!$G13-'Assump - LNG'!$F13)*MIN(1,((YEAR($A84)-YEAR(IF('Assump - LNG'!$D13&gt;='Assump - LNG'!$B$6,EDATE('Assump - LNG'!$D13,'Assump - LNG'!$B$4),'Assump - LNG'!$D13)))*12+MONTH($A84)-MONTH(IF('Assump - LNG'!$D13&gt;='Assump - LNG'!$B$6,EDATE('Assump - LNG'!$D13,'Assump - LNG'!$B$4),'Assump - LNG'!$D13)))/MAX('Assump - LNG'!$E13,1)))*INDEX('Assump - LNG'!$J$38:$J$49,MONTH($A84))))</f>
        <v/>
      </c>
      <c r="X84" s="14">
        <f>IF('Assump - LNG'!$D14="",0,IF($A84&lt;IF('Assump - LNG'!$D14&gt;='Assump - LNG'!$B$6,EDATE('Assump - LNG'!$D14,'Assump - LNG'!$B$4),'Assump - LNG'!$D14),0,'Assump - LNG'!$C14*('Assump - LNG'!$F14+('Assump - LNG'!$G14-'Assump - LNG'!$F14)*MIN(1,((YEAR($A84)-YEAR(IF('Assump - LNG'!$D14&gt;='Assump - LNG'!$B$6,EDATE('Assump - LNG'!$D14,'Assump - LNG'!$B$4),'Assump - LNG'!$D14)))*12+MONTH($A84)-MONTH(IF('Assump - LNG'!$D14&gt;='Assump - LNG'!$B$6,EDATE('Assump - LNG'!$D14,'Assump - LNG'!$B$4),'Assump - LNG'!$D14)))/MAX('Assump - LNG'!$E14,1)))*INDEX('Assump - LNG'!$J$38:$J$49,MONTH($A84))))</f>
        <v/>
      </c>
      <c r="Y84" s="14">
        <f>IF('Assump - LNG'!$D15="",0,IF($A84&lt;IF('Assump - LNG'!$D15&gt;='Assump - LNG'!$B$6,EDATE('Assump - LNG'!$D15,'Assump - LNG'!$B$4),'Assump - LNG'!$D15),0,'Assump - LNG'!$C15*('Assump - LNG'!$F15+('Assump - LNG'!$G15-'Assump - LNG'!$F15)*MIN(1,((YEAR($A84)-YEAR(IF('Assump - LNG'!$D15&gt;='Assump - LNG'!$B$6,EDATE('Assump - LNG'!$D15,'Assump - LNG'!$B$4),'Assump - LNG'!$D15)))*12+MONTH($A84)-MONTH(IF('Assump - LNG'!$D15&gt;='Assump - LNG'!$B$6,EDATE('Assump - LNG'!$D15,'Assump - LNG'!$B$4),'Assump - LNG'!$D15)))/MAX('Assump - LNG'!$E15,1)))*INDEX('Assump - LNG'!$J$38:$J$49,MONTH($A84))))</f>
        <v/>
      </c>
      <c r="Z84" s="14">
        <f>IF('Assump - LNG'!$D16="",0,IF($A84&lt;IF('Assump - LNG'!$D16&gt;='Assump - LNG'!$B$6,EDATE('Assump - LNG'!$D16,'Assump - LNG'!$B$4),'Assump - LNG'!$D16),0,'Assump - LNG'!$C16*('Assump - LNG'!$F16+('Assump - LNG'!$G16-'Assump - LNG'!$F16)*MIN(1,((YEAR($A84)-YEAR(IF('Assump - LNG'!$D16&gt;='Assump - LNG'!$B$6,EDATE('Assump - LNG'!$D16,'Assump - LNG'!$B$4),'Assump - LNG'!$D16)))*12+MONTH($A84)-MONTH(IF('Assump - LNG'!$D16&gt;='Assump - LNG'!$B$6,EDATE('Assump - LNG'!$D16,'Assump - LNG'!$B$4),'Assump - LNG'!$D16)))/MAX('Assump - LNG'!$E16,1)))*INDEX('Assump - LNG'!$J$38:$J$49,MONTH($A84))))</f>
        <v/>
      </c>
      <c r="AA84" s="14">
        <f>IF('Assump - LNG'!$D17="",0,IF($A84&lt;IF('Assump - LNG'!$D17&gt;='Assump - LNG'!$B$6,EDATE('Assump - LNG'!$D17,'Assump - LNG'!$B$4),'Assump - LNG'!$D17),0,'Assump - LNG'!$C17*('Assump - LNG'!$F17+('Assump - LNG'!$G17-'Assump - LNG'!$F17)*MIN(1,((YEAR($A84)-YEAR(IF('Assump - LNG'!$D17&gt;='Assump - LNG'!$B$6,EDATE('Assump - LNG'!$D17,'Assump - LNG'!$B$4),'Assump - LNG'!$D17)))*12+MONTH($A84)-MONTH(IF('Assump - LNG'!$D17&gt;='Assump - LNG'!$B$6,EDATE('Assump - LNG'!$D17,'Assump - LNG'!$B$4),'Assump - LNG'!$D17)))/MAX('Assump - LNG'!$E17,1)))*INDEX('Assump - LNG'!$J$38:$J$49,MONTH($A84))))</f>
        <v/>
      </c>
      <c r="AB84" s="14">
        <f>IF('Assump - LNG'!$D18="",0,IF($A84&lt;IF('Assump - LNG'!$D18&gt;='Assump - LNG'!$B$6,EDATE('Assump - LNG'!$D18,'Assump - LNG'!$B$4),'Assump - LNG'!$D18),0,'Assump - LNG'!$C18*('Assump - LNG'!$F18+('Assump - LNG'!$G18-'Assump - LNG'!$F18)*MIN(1,((YEAR($A84)-YEAR(IF('Assump - LNG'!$D18&gt;='Assump - LNG'!$B$6,EDATE('Assump - LNG'!$D18,'Assump - LNG'!$B$4),'Assump - LNG'!$D18)))*12+MONTH($A84)-MONTH(IF('Assump - LNG'!$D18&gt;='Assump - LNG'!$B$6,EDATE('Assump - LNG'!$D18,'Assump - LNG'!$B$4),'Assump - LNG'!$D18)))/MAX('Assump - LNG'!$E18,1)))*INDEX('Assump - LNG'!$J$38:$J$49,MONTH($A84))))</f>
        <v/>
      </c>
      <c r="AC84" s="14">
        <f>IF('Assump - LNG'!$D19="",0,IF($A84&lt;IF('Assump - LNG'!$D19&gt;='Assump - LNG'!$B$6,EDATE('Assump - LNG'!$D19,'Assump - LNG'!$B$4),'Assump - LNG'!$D19),0,'Assump - LNG'!$C19*('Assump - LNG'!$F19+('Assump - LNG'!$G19-'Assump - LNG'!$F19)*MIN(1,((YEAR($A84)-YEAR(IF('Assump - LNG'!$D19&gt;='Assump - LNG'!$B$6,EDATE('Assump - LNG'!$D19,'Assump - LNG'!$B$4),'Assump - LNG'!$D19)))*12+MONTH($A84)-MONTH(IF('Assump - LNG'!$D19&gt;='Assump - LNG'!$B$6,EDATE('Assump - LNG'!$D19,'Assump - LNG'!$B$4),'Assump - LNG'!$D19)))/MAX('Assump - LNG'!$E19,1)))*INDEX('Assump - LNG'!$J$38:$J$49,MONTH($A84))))</f>
        <v/>
      </c>
      <c r="AD84" s="14">
        <f>IF('Assump - LNG'!$D20="",0,IF($A84&lt;IF('Assump - LNG'!$D20&gt;='Assump - LNG'!$B$6,EDATE('Assump - LNG'!$D20,'Assump - LNG'!$B$4),'Assump - LNG'!$D20),0,'Assump - LNG'!$C20*('Assump - LNG'!$F20+('Assump - LNG'!$G20-'Assump - LNG'!$F20)*MIN(1,((YEAR($A84)-YEAR(IF('Assump - LNG'!$D20&gt;='Assump - LNG'!$B$6,EDATE('Assump - LNG'!$D20,'Assump - LNG'!$B$4),'Assump - LNG'!$D20)))*12+MONTH($A84)-MONTH(IF('Assump - LNG'!$D20&gt;='Assump - LNG'!$B$6,EDATE('Assump - LNG'!$D20,'Assump - LNG'!$B$4),'Assump - LNG'!$D20)))/MAX('Assump - LNG'!$E20,1)))*INDEX('Assump - LNG'!$J$38:$J$49,MONTH($A84))))</f>
        <v/>
      </c>
      <c r="AE84" s="14">
        <f>IF('Assump - LNG'!$D21="",0,IF($A84&lt;IF('Assump - LNG'!$D21&gt;='Assump - LNG'!$B$6,EDATE('Assump - LNG'!$D21,'Assump - LNG'!$B$4),'Assump - LNG'!$D21),0,'Assump - LNG'!$C21*('Assump - LNG'!$F21+('Assump - LNG'!$G21-'Assump - LNG'!$F21)*MIN(1,((YEAR($A84)-YEAR(IF('Assump - LNG'!$D21&gt;='Assump - LNG'!$B$6,EDATE('Assump - LNG'!$D21,'Assump - LNG'!$B$4),'Assump - LNG'!$D21)))*12+MONTH($A84)-MONTH(IF('Assump - LNG'!$D21&gt;='Assump - LNG'!$B$6,EDATE('Assump - LNG'!$D21,'Assump - LNG'!$B$4),'Assump - LNG'!$D21)))/MAX('Assump - LNG'!$E21,1)))*INDEX('Assump - LNG'!$J$38:$J$49,MONTH($A84))))</f>
        <v/>
      </c>
      <c r="AF84" s="14">
        <f>IF('Assump - LNG'!$D22="",0,IF($A84&lt;IF('Assump - LNG'!$D22&gt;='Assump - LNG'!$B$6,EDATE('Assump - LNG'!$D22,'Assump - LNG'!$B$4),'Assump - LNG'!$D22),0,'Assump - LNG'!$C22*('Assump - LNG'!$F22+('Assump - LNG'!$G22-'Assump - LNG'!$F22)*MIN(1,((YEAR($A84)-YEAR(IF('Assump - LNG'!$D22&gt;='Assump - LNG'!$B$6,EDATE('Assump - LNG'!$D22,'Assump - LNG'!$B$4),'Assump - LNG'!$D22)))*12+MONTH($A84)-MONTH(IF('Assump - LNG'!$D22&gt;='Assump - LNG'!$B$6,EDATE('Assump - LNG'!$D22,'Assump - LNG'!$B$4),'Assump - LNG'!$D22)))/MAX('Assump - LNG'!$E22,1)))*INDEX('Assump - LNG'!$J$38:$J$49,MONTH($A84))))</f>
        <v/>
      </c>
      <c r="AG84" s="14">
        <f>IF('Assump - LNG'!$D23="",0,IF($A84&lt;IF('Assump - LNG'!$D23&gt;='Assump - LNG'!$B$6,EDATE('Assump - LNG'!$D23,'Assump - LNG'!$B$4),'Assump - LNG'!$D23),0,'Assump - LNG'!$C23*('Assump - LNG'!$F23+('Assump - LNG'!$G23-'Assump - LNG'!$F23)*MIN(1,((YEAR($A84)-YEAR(IF('Assump - LNG'!$D23&gt;='Assump - LNG'!$B$6,EDATE('Assump - LNG'!$D23,'Assump - LNG'!$B$4),'Assump - LNG'!$D23)))*12+MONTH($A84)-MONTH(IF('Assump - LNG'!$D23&gt;='Assump - LNG'!$B$6,EDATE('Assump - LNG'!$D23,'Assump - LNG'!$B$4),'Assump - LNG'!$D23)))/MAX('Assump - LNG'!$E23,1)))*INDEX('Assump - LNG'!$J$38:$J$49,MONTH($A84))))</f>
        <v/>
      </c>
      <c r="AH84" s="14">
        <f>IF('Assump - LNG'!$D24="",0,IF($A84&lt;IF('Assump - LNG'!$D24&gt;='Assump - LNG'!$B$6,EDATE('Assump - LNG'!$D24,'Assump - LNG'!$B$4),'Assump - LNG'!$D24),0,'Assump - LNG'!$C24*('Assump - LNG'!$F24+('Assump - LNG'!$G24-'Assump - LNG'!$F24)*MIN(1,((YEAR($A84)-YEAR(IF('Assump - LNG'!$D24&gt;='Assump - LNG'!$B$6,EDATE('Assump - LNG'!$D24,'Assump - LNG'!$B$4),'Assump - LNG'!$D24)))*12+MONTH($A84)-MONTH(IF('Assump - LNG'!$D24&gt;='Assump - LNG'!$B$6,EDATE('Assump - LNG'!$D24,'Assump - LNG'!$B$4),'Assump - LNG'!$D24)))/MAX('Assump - LNG'!$E24,1)))*INDEX('Assump - LNG'!$J$38:$J$49,MONTH($A84))))</f>
        <v/>
      </c>
      <c r="AI84" s="14">
        <f>IF('Assump - LNG'!$D25="",0,IF($A84&lt;IF('Assump - LNG'!$D25&gt;='Assump - LNG'!$B$6,EDATE('Assump - LNG'!$D25,'Assump - LNG'!$B$4),'Assump - LNG'!$D25),0,'Assump - LNG'!$C25*('Assump - LNG'!$F25+('Assump - LNG'!$G25-'Assump - LNG'!$F25)*MIN(1,((YEAR($A84)-YEAR(IF('Assump - LNG'!$D25&gt;='Assump - LNG'!$B$6,EDATE('Assump - LNG'!$D25,'Assump - LNG'!$B$4),'Assump - LNG'!$D25)))*12+MONTH($A84)-MONTH(IF('Assump - LNG'!$D25&gt;='Assump - LNG'!$B$6,EDATE('Assump - LNG'!$D25,'Assump - LNG'!$B$4),'Assump - LNG'!$D25)))/MAX('Assump - LNG'!$E25,1)))*INDEX('Assump - LNG'!$J$38:$J$49,MONTH($A84))))</f>
        <v/>
      </c>
      <c r="AJ84" s="14">
        <f>IF('Assump - LNG'!$D26="",0,IF($A84&lt;IF('Assump - LNG'!$D26&gt;='Assump - LNG'!$B$6,EDATE('Assump - LNG'!$D26,'Assump - LNG'!$B$4),'Assump - LNG'!$D26),0,'Assump - LNG'!$C26*('Assump - LNG'!$F26+('Assump - LNG'!$G26-'Assump - LNG'!$F26)*MIN(1,((YEAR($A84)-YEAR(IF('Assump - LNG'!$D26&gt;='Assump - LNG'!$B$6,EDATE('Assump - LNG'!$D26,'Assump - LNG'!$B$4),'Assump - LNG'!$D26)))*12+MONTH($A84)-MONTH(IF('Assump - LNG'!$D26&gt;='Assump - LNG'!$B$6,EDATE('Assump - LNG'!$D26,'Assump - LNG'!$B$4),'Assump - LNG'!$D26)))/MAX('Assump - LNG'!$E26,1)))*INDEX('Assump - LNG'!$J$38:$J$49,MONTH($A84))))</f>
        <v/>
      </c>
      <c r="AK84" s="14">
        <f>IF('Assump - LNG'!$D27="",0,IF($A84&lt;IF('Assump - LNG'!$D27&gt;='Assump - LNG'!$B$6,EDATE('Assump - LNG'!$D27,'Assump - LNG'!$B$4),'Assump - LNG'!$D27),0,'Assump - LNG'!$C27*('Assump - LNG'!$F27+('Assump - LNG'!$G27-'Assump - LNG'!$F27)*MIN(1,((YEAR($A84)-YEAR(IF('Assump - LNG'!$D27&gt;='Assump - LNG'!$B$6,EDATE('Assump - LNG'!$D27,'Assump - LNG'!$B$4),'Assump - LNG'!$D27)))*12+MONTH($A84)-MONTH(IF('Assump - LNG'!$D27&gt;='Assump - LNG'!$B$6,EDATE('Assump - LNG'!$D27,'Assump - LNG'!$B$4),'Assump - LNG'!$D27)))/MAX('Assump - LNG'!$E27,1)))*INDEX('Assump - LNG'!$J$38:$J$49,MONTH($A84))))</f>
        <v/>
      </c>
      <c r="AL84" s="14">
        <f>IF('Assump - LNG'!$D28="",0,IF($A84&lt;IF('Assump - LNG'!$D28&gt;='Assump - LNG'!$B$6,EDATE('Assump - LNG'!$D28,'Assump - LNG'!$B$4),'Assump - LNG'!$D28),0,'Assump - LNG'!$C28*('Assump - LNG'!$F28+('Assump - LNG'!$G28-'Assump - LNG'!$F28)*MIN(1,((YEAR($A84)-YEAR(IF('Assump - LNG'!$D28&gt;='Assump - LNG'!$B$6,EDATE('Assump - LNG'!$D28,'Assump - LNG'!$B$4),'Assump - LNG'!$D28)))*12+MONTH($A84)-MONTH(IF('Assump - LNG'!$D28&gt;='Assump - LNG'!$B$6,EDATE('Assump - LNG'!$D28,'Assump - LNG'!$B$4),'Assump - LNG'!$D28)))/MAX('Assump - LNG'!$E28,1)))*INDEX('Assump - LNG'!$J$38:$J$49,MONTH($A84))))</f>
        <v/>
      </c>
      <c r="AM84" s="14">
        <f>IF('Assump - LNG'!$D29="",0,IF($A84&lt;IF('Assump - LNG'!$D29&gt;='Assump - LNG'!$B$6,EDATE('Assump - LNG'!$D29,'Assump - LNG'!$B$4),'Assump - LNG'!$D29),0,'Assump - LNG'!$C29*('Assump - LNG'!$F29+('Assump - LNG'!$G29-'Assump - LNG'!$F29)*MIN(1,((YEAR($A84)-YEAR(IF('Assump - LNG'!$D29&gt;='Assump - LNG'!$B$6,EDATE('Assump - LNG'!$D29,'Assump - LNG'!$B$4),'Assump - LNG'!$D29)))*12+MONTH($A84)-MONTH(IF('Assump - LNG'!$D29&gt;='Assump - LNG'!$B$6,EDATE('Assump - LNG'!$D29,'Assump - LNG'!$B$4),'Assump - LNG'!$D29)))/MAX('Assump - LNG'!$E29,1)))*INDEX('Assump - LNG'!$J$38:$J$49,MONTH($A84))))</f>
        <v/>
      </c>
      <c r="AN84" s="14">
        <f>IF('Assump - LNG'!$D30="",0,IF($A84&lt;IF('Assump - LNG'!$D30&gt;='Assump - LNG'!$B$6,EDATE('Assump - LNG'!$D30,'Assump - LNG'!$B$4),'Assump - LNG'!$D30),0,'Assump - LNG'!$C30*('Assump - LNG'!$F30+('Assump - LNG'!$G30-'Assump - LNG'!$F30)*MIN(1,((YEAR($A84)-YEAR(IF('Assump - LNG'!$D30&gt;='Assump - LNG'!$B$6,EDATE('Assump - LNG'!$D30,'Assump - LNG'!$B$4),'Assump - LNG'!$D30)))*12+MONTH($A84)-MONTH(IF('Assump - LNG'!$D30&gt;='Assump - LNG'!$B$6,EDATE('Assump - LNG'!$D30,'Assump - LNG'!$B$4),'Assump - LNG'!$D30)))/MAX('Assump - LNG'!$E30,1)))*INDEX('Assump - LNG'!$J$38:$J$49,MONTH($A84))))</f>
        <v/>
      </c>
      <c r="AO84" s="14">
        <f>IF('Assump - LNG'!$D31="",0,IF($A84&lt;IF('Assump - LNG'!$D31&gt;='Assump - LNG'!$B$6,EDATE('Assump - LNG'!$D31,'Assump - LNG'!$B$4),'Assump - LNG'!$D31),0,'Assump - LNG'!$C31*('Assump - LNG'!$F31+('Assump - LNG'!$G31-'Assump - LNG'!$F31)*MIN(1,((YEAR($A84)-YEAR(IF('Assump - LNG'!$D31&gt;='Assump - LNG'!$B$6,EDATE('Assump - LNG'!$D31,'Assump - LNG'!$B$4),'Assump - LNG'!$D31)))*12+MONTH($A84)-MONTH(IF('Assump - LNG'!$D31&gt;='Assump - LNG'!$B$6,EDATE('Assump - LNG'!$D31,'Assump - LNG'!$B$4),'Assump - LNG'!$D31)))/MAX('Assump - LNG'!$E31,1)))*INDEX('Assump - LNG'!$J$38:$J$49,MONTH($A84))))</f>
        <v/>
      </c>
    </row>
    <row r="85">
      <c r="A85" s="12" t="n">
        <v>46600</v>
      </c>
      <c r="B85" s="14">
        <f>IF('Assump - LNG'!$D12="",0,IF($A85&lt;'Assump - LNG'!$D12,0,'Assump - LNG'!$C12*('Assump - LNG'!$F12+('Assump - LNG'!$G12-'Assump - LNG'!$F12)*MIN(1,((YEAR($A85)-YEAR('Assump - LNG'!$D12))*12+MONTH($A85)-MONTH('Assump - LNG'!$D12))/MAX('Assump - LNG'!$E12,1)))*INDEX('Assump - LNG'!$J$38:$J$49,MONTH($A85))))</f>
        <v/>
      </c>
      <c r="C85" s="14">
        <f>IF('Assump - LNG'!$D13="",0,IF($A85&lt;'Assump - LNG'!$D13,0,'Assump - LNG'!$C13*('Assump - LNG'!$F13+('Assump - LNG'!$G13-'Assump - LNG'!$F13)*MIN(1,((YEAR($A85)-YEAR('Assump - LNG'!$D13))*12+MONTH($A85)-MONTH('Assump - LNG'!$D13))/MAX('Assump - LNG'!$E13,1)))*INDEX('Assump - LNG'!$J$38:$J$49,MONTH($A85))))</f>
        <v/>
      </c>
      <c r="D85" s="14">
        <f>IF('Assump - LNG'!$D14="",0,IF($A85&lt;'Assump - LNG'!$D14,0,'Assump - LNG'!$C14*('Assump - LNG'!$F14+('Assump - LNG'!$G14-'Assump - LNG'!$F14)*MIN(1,((YEAR($A85)-YEAR('Assump - LNG'!$D14))*12+MONTH($A85)-MONTH('Assump - LNG'!$D14))/MAX('Assump - LNG'!$E14,1)))*INDEX('Assump - LNG'!$J$38:$J$49,MONTH($A85))))</f>
        <v/>
      </c>
      <c r="E85" s="14">
        <f>IF('Assump - LNG'!$D15="",0,IF($A85&lt;'Assump - LNG'!$D15,0,'Assump - LNG'!$C15*('Assump - LNG'!$F15+('Assump - LNG'!$G15-'Assump - LNG'!$F15)*MIN(1,((YEAR($A85)-YEAR('Assump - LNG'!$D15))*12+MONTH($A85)-MONTH('Assump - LNG'!$D15))/MAX('Assump - LNG'!$E15,1)))*INDEX('Assump - LNG'!$J$38:$J$49,MONTH($A85))))</f>
        <v/>
      </c>
      <c r="F85" s="14">
        <f>IF('Assump - LNG'!$D16="",0,IF($A85&lt;'Assump - LNG'!$D16,0,'Assump - LNG'!$C16*('Assump - LNG'!$F16+('Assump - LNG'!$G16-'Assump - LNG'!$F16)*MIN(1,((YEAR($A85)-YEAR('Assump - LNG'!$D16))*12+MONTH($A85)-MONTH('Assump - LNG'!$D16))/MAX('Assump - LNG'!$E16,1)))*INDEX('Assump - LNG'!$J$38:$J$49,MONTH($A85))))</f>
        <v/>
      </c>
      <c r="G85" s="14">
        <f>IF('Assump - LNG'!$D17="",0,IF($A85&lt;'Assump - LNG'!$D17,0,'Assump - LNG'!$C17*('Assump - LNG'!$F17+('Assump - LNG'!$G17-'Assump - LNG'!$F17)*MIN(1,((YEAR($A85)-YEAR('Assump - LNG'!$D17))*12+MONTH($A85)-MONTH('Assump - LNG'!$D17))/MAX('Assump - LNG'!$E17,1)))*INDEX('Assump - LNG'!$J$38:$J$49,MONTH($A85))))</f>
        <v/>
      </c>
      <c r="H85" s="14">
        <f>IF('Assump - LNG'!$D18="",0,IF($A85&lt;'Assump - LNG'!$D18,0,'Assump - LNG'!$C18*('Assump - LNG'!$F18+('Assump - LNG'!$G18-'Assump - LNG'!$F18)*MIN(1,((YEAR($A85)-YEAR('Assump - LNG'!$D18))*12+MONTH($A85)-MONTH('Assump - LNG'!$D18))/MAX('Assump - LNG'!$E18,1)))*INDEX('Assump - LNG'!$J$38:$J$49,MONTH($A85))))</f>
        <v/>
      </c>
      <c r="I85" s="14">
        <f>IF('Assump - LNG'!$D19="",0,IF($A85&lt;'Assump - LNG'!$D19,0,'Assump - LNG'!$C19*('Assump - LNG'!$F19+('Assump - LNG'!$G19-'Assump - LNG'!$F19)*MIN(1,((YEAR($A85)-YEAR('Assump - LNG'!$D19))*12+MONTH($A85)-MONTH('Assump - LNG'!$D19))/MAX('Assump - LNG'!$E19,1)))*INDEX('Assump - LNG'!$J$38:$J$49,MONTH($A85))))</f>
        <v/>
      </c>
      <c r="J85" s="14">
        <f>IF('Assump - LNG'!$D20="",0,IF($A85&lt;'Assump - LNG'!$D20,0,'Assump - LNG'!$C20*('Assump - LNG'!$F20+('Assump - LNG'!$G20-'Assump - LNG'!$F20)*MIN(1,((YEAR($A85)-YEAR('Assump - LNG'!$D20))*12+MONTH($A85)-MONTH('Assump - LNG'!$D20))/MAX('Assump - LNG'!$E20,1)))*INDEX('Assump - LNG'!$J$38:$J$49,MONTH($A85))))</f>
        <v/>
      </c>
      <c r="K85" s="14">
        <f>IF('Assump - LNG'!$D21="",0,IF($A85&lt;'Assump - LNG'!$D21,0,'Assump - LNG'!$C21*('Assump - LNG'!$F21+('Assump - LNG'!$G21-'Assump - LNG'!$F21)*MIN(1,((YEAR($A85)-YEAR('Assump - LNG'!$D21))*12+MONTH($A85)-MONTH('Assump - LNG'!$D21))/MAX('Assump - LNG'!$E21,1)))*INDEX('Assump - LNG'!$J$38:$J$49,MONTH($A85))))</f>
        <v/>
      </c>
      <c r="L85" s="14">
        <f>IF('Assump - LNG'!$D22="",0,IF($A85&lt;'Assump - LNG'!$D22,0,'Assump - LNG'!$C22*('Assump - LNG'!$F22+('Assump - LNG'!$G22-'Assump - LNG'!$F22)*MIN(1,((YEAR($A85)-YEAR('Assump - LNG'!$D22))*12+MONTH($A85)-MONTH('Assump - LNG'!$D22))/MAX('Assump - LNG'!$E22,1)))*INDEX('Assump - LNG'!$J$38:$J$49,MONTH($A85))))</f>
        <v/>
      </c>
      <c r="M85" s="14">
        <f>IF('Assump - LNG'!$D23="",0,IF($A85&lt;'Assump - LNG'!$D23,0,'Assump - LNG'!$C23*('Assump - LNG'!$F23+('Assump - LNG'!$G23-'Assump - LNG'!$F23)*MIN(1,((YEAR($A85)-YEAR('Assump - LNG'!$D23))*12+MONTH($A85)-MONTH('Assump - LNG'!$D23))/MAX('Assump - LNG'!$E23,1)))*INDEX('Assump - LNG'!$J$38:$J$49,MONTH($A85))))</f>
        <v/>
      </c>
      <c r="N85" s="14">
        <f>IF('Assump - LNG'!$D24="",0,IF($A85&lt;'Assump - LNG'!$D24,0,'Assump - LNG'!$C24*('Assump - LNG'!$F24+('Assump - LNG'!$G24-'Assump - LNG'!$F24)*MIN(1,((YEAR($A85)-YEAR('Assump - LNG'!$D24))*12+MONTH($A85)-MONTH('Assump - LNG'!$D24))/MAX('Assump - LNG'!$E24,1)))*INDEX('Assump - LNG'!$J$38:$J$49,MONTH($A85))))</f>
        <v/>
      </c>
      <c r="O85" s="14">
        <f>IF('Assump - LNG'!$D25="",0,IF($A85&lt;'Assump - LNG'!$D25,0,'Assump - LNG'!$C25*('Assump - LNG'!$F25+('Assump - LNG'!$G25-'Assump - LNG'!$F25)*MIN(1,((YEAR($A85)-YEAR('Assump - LNG'!$D25))*12+MONTH($A85)-MONTH('Assump - LNG'!$D25))/MAX('Assump - LNG'!$E25,1)))*INDEX('Assump - LNG'!$J$38:$J$49,MONTH($A85))))</f>
        <v/>
      </c>
      <c r="P85" s="14">
        <f>IF('Assump - LNG'!$D26="",0,IF($A85&lt;'Assump - LNG'!$D26,0,'Assump - LNG'!$C26*('Assump - LNG'!$F26+('Assump - LNG'!$G26-'Assump - LNG'!$F26)*MIN(1,((YEAR($A85)-YEAR('Assump - LNG'!$D26))*12+MONTH($A85)-MONTH('Assump - LNG'!$D26))/MAX('Assump - LNG'!$E26,1)))*INDEX('Assump - LNG'!$J$38:$J$49,MONTH($A85))))</f>
        <v/>
      </c>
      <c r="Q85" s="14">
        <f>IF('Assump - LNG'!$D27="",0,IF($A85&lt;'Assump - LNG'!$D27,0,'Assump - LNG'!$C27*('Assump - LNG'!$F27+('Assump - LNG'!$G27-'Assump - LNG'!$F27)*MIN(1,((YEAR($A85)-YEAR('Assump - LNG'!$D27))*12+MONTH($A85)-MONTH('Assump - LNG'!$D27))/MAX('Assump - LNG'!$E27,1)))*INDEX('Assump - LNG'!$J$38:$J$49,MONTH($A85))))</f>
        <v/>
      </c>
      <c r="R85" s="14">
        <f>IF('Assump - LNG'!$D28="",0,IF($A85&lt;'Assump - LNG'!$D28,0,'Assump - LNG'!$C28*('Assump - LNG'!$F28+('Assump - LNG'!$G28-'Assump - LNG'!$F28)*MIN(1,((YEAR($A85)-YEAR('Assump - LNG'!$D28))*12+MONTH($A85)-MONTH('Assump - LNG'!$D28))/MAX('Assump - LNG'!$E28,1)))*INDEX('Assump - LNG'!$J$38:$J$49,MONTH($A85))))</f>
        <v/>
      </c>
      <c r="S85" s="14">
        <f>IF('Assump - LNG'!$D29="",0,IF($A85&lt;'Assump - LNG'!$D29,0,'Assump - LNG'!$C29*('Assump - LNG'!$F29+('Assump - LNG'!$G29-'Assump - LNG'!$F29)*MIN(1,((YEAR($A85)-YEAR('Assump - LNG'!$D29))*12+MONTH($A85)-MONTH('Assump - LNG'!$D29))/MAX('Assump - LNG'!$E29,1)))*INDEX('Assump - LNG'!$J$38:$J$49,MONTH($A85))))</f>
        <v/>
      </c>
      <c r="T85" s="14">
        <f>IF('Assump - LNG'!$D30="",0,IF($A85&lt;'Assump - LNG'!$D30,0,'Assump - LNG'!$C30*('Assump - LNG'!$F30+('Assump - LNG'!$G30-'Assump - LNG'!$F30)*MIN(1,((YEAR($A85)-YEAR('Assump - LNG'!$D30))*12+MONTH($A85)-MONTH('Assump - LNG'!$D30))/MAX('Assump - LNG'!$E30,1)))*INDEX('Assump - LNG'!$J$38:$J$49,MONTH($A85))))</f>
        <v/>
      </c>
      <c r="U85" s="14">
        <f>IF('Assump - LNG'!$D31="",0,IF($A85&lt;'Assump - LNG'!$D31,0,'Assump - LNG'!$C31*('Assump - LNG'!$F31+('Assump - LNG'!$G31-'Assump - LNG'!$F31)*MIN(1,((YEAR($A85)-YEAR('Assump - LNG'!$D31))*12+MONTH($A85)-MONTH('Assump - LNG'!$D31))/MAX('Assump - LNG'!$E31,1)))*INDEX('Assump - LNG'!$J$38:$J$49,MONTH($A85))))</f>
        <v/>
      </c>
      <c r="V85" s="14">
        <f>IF('Assump - LNG'!$D12="",0,IF($A85&lt;IF('Assump - LNG'!$D12&gt;='Assump - LNG'!$B$6,EDATE('Assump - LNG'!$D12,'Assump - LNG'!$B$4),'Assump - LNG'!$D12),0,'Assump - LNG'!$C12*('Assump - LNG'!$F12+('Assump - LNG'!$G12-'Assump - LNG'!$F12)*MIN(1,((YEAR($A85)-YEAR(IF('Assump - LNG'!$D12&gt;='Assump - LNG'!$B$6,EDATE('Assump - LNG'!$D12,'Assump - LNG'!$B$4),'Assump - LNG'!$D12)))*12+MONTH($A85)-MONTH(IF('Assump - LNG'!$D12&gt;='Assump - LNG'!$B$6,EDATE('Assump - LNG'!$D12,'Assump - LNG'!$B$4),'Assump - LNG'!$D12)))/MAX('Assump - LNG'!$E12,1)))*INDEX('Assump - LNG'!$J$38:$J$49,MONTH($A85))))</f>
        <v/>
      </c>
      <c r="W85" s="14">
        <f>IF('Assump - LNG'!$D13="",0,IF($A85&lt;IF('Assump - LNG'!$D13&gt;='Assump - LNG'!$B$6,EDATE('Assump - LNG'!$D13,'Assump - LNG'!$B$4),'Assump - LNG'!$D13),0,'Assump - LNG'!$C13*('Assump - LNG'!$F13+('Assump - LNG'!$G13-'Assump - LNG'!$F13)*MIN(1,((YEAR($A85)-YEAR(IF('Assump - LNG'!$D13&gt;='Assump - LNG'!$B$6,EDATE('Assump - LNG'!$D13,'Assump - LNG'!$B$4),'Assump - LNG'!$D13)))*12+MONTH($A85)-MONTH(IF('Assump - LNG'!$D13&gt;='Assump - LNG'!$B$6,EDATE('Assump - LNG'!$D13,'Assump - LNG'!$B$4),'Assump - LNG'!$D13)))/MAX('Assump - LNG'!$E13,1)))*INDEX('Assump - LNG'!$J$38:$J$49,MONTH($A85))))</f>
        <v/>
      </c>
      <c r="X85" s="14">
        <f>IF('Assump - LNG'!$D14="",0,IF($A85&lt;IF('Assump - LNG'!$D14&gt;='Assump - LNG'!$B$6,EDATE('Assump - LNG'!$D14,'Assump - LNG'!$B$4),'Assump - LNG'!$D14),0,'Assump - LNG'!$C14*('Assump - LNG'!$F14+('Assump - LNG'!$G14-'Assump - LNG'!$F14)*MIN(1,((YEAR($A85)-YEAR(IF('Assump - LNG'!$D14&gt;='Assump - LNG'!$B$6,EDATE('Assump - LNG'!$D14,'Assump - LNG'!$B$4),'Assump - LNG'!$D14)))*12+MONTH($A85)-MONTH(IF('Assump - LNG'!$D14&gt;='Assump - LNG'!$B$6,EDATE('Assump - LNG'!$D14,'Assump - LNG'!$B$4),'Assump - LNG'!$D14)))/MAX('Assump - LNG'!$E14,1)))*INDEX('Assump - LNG'!$J$38:$J$49,MONTH($A85))))</f>
        <v/>
      </c>
      <c r="Y85" s="14">
        <f>IF('Assump - LNG'!$D15="",0,IF($A85&lt;IF('Assump - LNG'!$D15&gt;='Assump - LNG'!$B$6,EDATE('Assump - LNG'!$D15,'Assump - LNG'!$B$4),'Assump - LNG'!$D15),0,'Assump - LNG'!$C15*('Assump - LNG'!$F15+('Assump - LNG'!$G15-'Assump - LNG'!$F15)*MIN(1,((YEAR($A85)-YEAR(IF('Assump - LNG'!$D15&gt;='Assump - LNG'!$B$6,EDATE('Assump - LNG'!$D15,'Assump - LNG'!$B$4),'Assump - LNG'!$D15)))*12+MONTH($A85)-MONTH(IF('Assump - LNG'!$D15&gt;='Assump - LNG'!$B$6,EDATE('Assump - LNG'!$D15,'Assump - LNG'!$B$4),'Assump - LNG'!$D15)))/MAX('Assump - LNG'!$E15,1)))*INDEX('Assump - LNG'!$J$38:$J$49,MONTH($A85))))</f>
        <v/>
      </c>
      <c r="Z85" s="14">
        <f>IF('Assump - LNG'!$D16="",0,IF($A85&lt;IF('Assump - LNG'!$D16&gt;='Assump - LNG'!$B$6,EDATE('Assump - LNG'!$D16,'Assump - LNG'!$B$4),'Assump - LNG'!$D16),0,'Assump - LNG'!$C16*('Assump - LNG'!$F16+('Assump - LNG'!$G16-'Assump - LNG'!$F16)*MIN(1,((YEAR($A85)-YEAR(IF('Assump - LNG'!$D16&gt;='Assump - LNG'!$B$6,EDATE('Assump - LNG'!$D16,'Assump - LNG'!$B$4),'Assump - LNG'!$D16)))*12+MONTH($A85)-MONTH(IF('Assump - LNG'!$D16&gt;='Assump - LNG'!$B$6,EDATE('Assump - LNG'!$D16,'Assump - LNG'!$B$4),'Assump - LNG'!$D16)))/MAX('Assump - LNG'!$E16,1)))*INDEX('Assump - LNG'!$J$38:$J$49,MONTH($A85))))</f>
        <v/>
      </c>
      <c r="AA85" s="14">
        <f>IF('Assump - LNG'!$D17="",0,IF($A85&lt;IF('Assump - LNG'!$D17&gt;='Assump - LNG'!$B$6,EDATE('Assump - LNG'!$D17,'Assump - LNG'!$B$4),'Assump - LNG'!$D17),0,'Assump - LNG'!$C17*('Assump - LNG'!$F17+('Assump - LNG'!$G17-'Assump - LNG'!$F17)*MIN(1,((YEAR($A85)-YEAR(IF('Assump - LNG'!$D17&gt;='Assump - LNG'!$B$6,EDATE('Assump - LNG'!$D17,'Assump - LNG'!$B$4),'Assump - LNG'!$D17)))*12+MONTH($A85)-MONTH(IF('Assump - LNG'!$D17&gt;='Assump - LNG'!$B$6,EDATE('Assump - LNG'!$D17,'Assump - LNG'!$B$4),'Assump - LNG'!$D17)))/MAX('Assump - LNG'!$E17,1)))*INDEX('Assump - LNG'!$J$38:$J$49,MONTH($A85))))</f>
        <v/>
      </c>
      <c r="AB85" s="14">
        <f>IF('Assump - LNG'!$D18="",0,IF($A85&lt;IF('Assump - LNG'!$D18&gt;='Assump - LNG'!$B$6,EDATE('Assump - LNG'!$D18,'Assump - LNG'!$B$4),'Assump - LNG'!$D18),0,'Assump - LNG'!$C18*('Assump - LNG'!$F18+('Assump - LNG'!$G18-'Assump - LNG'!$F18)*MIN(1,((YEAR($A85)-YEAR(IF('Assump - LNG'!$D18&gt;='Assump - LNG'!$B$6,EDATE('Assump - LNG'!$D18,'Assump - LNG'!$B$4),'Assump - LNG'!$D18)))*12+MONTH($A85)-MONTH(IF('Assump - LNG'!$D18&gt;='Assump - LNG'!$B$6,EDATE('Assump - LNG'!$D18,'Assump - LNG'!$B$4),'Assump - LNG'!$D18)))/MAX('Assump - LNG'!$E18,1)))*INDEX('Assump - LNG'!$J$38:$J$49,MONTH($A85))))</f>
        <v/>
      </c>
      <c r="AC85" s="14">
        <f>IF('Assump - LNG'!$D19="",0,IF($A85&lt;IF('Assump - LNG'!$D19&gt;='Assump - LNG'!$B$6,EDATE('Assump - LNG'!$D19,'Assump - LNG'!$B$4),'Assump - LNG'!$D19),0,'Assump - LNG'!$C19*('Assump - LNG'!$F19+('Assump - LNG'!$G19-'Assump - LNG'!$F19)*MIN(1,((YEAR($A85)-YEAR(IF('Assump - LNG'!$D19&gt;='Assump - LNG'!$B$6,EDATE('Assump - LNG'!$D19,'Assump - LNG'!$B$4),'Assump - LNG'!$D19)))*12+MONTH($A85)-MONTH(IF('Assump - LNG'!$D19&gt;='Assump - LNG'!$B$6,EDATE('Assump - LNG'!$D19,'Assump - LNG'!$B$4),'Assump - LNG'!$D19)))/MAX('Assump - LNG'!$E19,1)))*INDEX('Assump - LNG'!$J$38:$J$49,MONTH($A85))))</f>
        <v/>
      </c>
      <c r="AD85" s="14">
        <f>IF('Assump - LNG'!$D20="",0,IF($A85&lt;IF('Assump - LNG'!$D20&gt;='Assump - LNG'!$B$6,EDATE('Assump - LNG'!$D20,'Assump - LNG'!$B$4),'Assump - LNG'!$D20),0,'Assump - LNG'!$C20*('Assump - LNG'!$F20+('Assump - LNG'!$G20-'Assump - LNG'!$F20)*MIN(1,((YEAR($A85)-YEAR(IF('Assump - LNG'!$D20&gt;='Assump - LNG'!$B$6,EDATE('Assump - LNG'!$D20,'Assump - LNG'!$B$4),'Assump - LNG'!$D20)))*12+MONTH($A85)-MONTH(IF('Assump - LNG'!$D20&gt;='Assump - LNG'!$B$6,EDATE('Assump - LNG'!$D20,'Assump - LNG'!$B$4),'Assump - LNG'!$D20)))/MAX('Assump - LNG'!$E20,1)))*INDEX('Assump - LNG'!$J$38:$J$49,MONTH($A85))))</f>
        <v/>
      </c>
      <c r="AE85" s="14">
        <f>IF('Assump - LNG'!$D21="",0,IF($A85&lt;IF('Assump - LNG'!$D21&gt;='Assump - LNG'!$B$6,EDATE('Assump - LNG'!$D21,'Assump - LNG'!$B$4),'Assump - LNG'!$D21),0,'Assump - LNG'!$C21*('Assump - LNG'!$F21+('Assump - LNG'!$G21-'Assump - LNG'!$F21)*MIN(1,((YEAR($A85)-YEAR(IF('Assump - LNG'!$D21&gt;='Assump - LNG'!$B$6,EDATE('Assump - LNG'!$D21,'Assump - LNG'!$B$4),'Assump - LNG'!$D21)))*12+MONTH($A85)-MONTH(IF('Assump - LNG'!$D21&gt;='Assump - LNG'!$B$6,EDATE('Assump - LNG'!$D21,'Assump - LNG'!$B$4),'Assump - LNG'!$D21)))/MAX('Assump - LNG'!$E21,1)))*INDEX('Assump - LNG'!$J$38:$J$49,MONTH($A85))))</f>
        <v/>
      </c>
      <c r="AF85" s="14">
        <f>IF('Assump - LNG'!$D22="",0,IF($A85&lt;IF('Assump - LNG'!$D22&gt;='Assump - LNG'!$B$6,EDATE('Assump - LNG'!$D22,'Assump - LNG'!$B$4),'Assump - LNG'!$D22),0,'Assump - LNG'!$C22*('Assump - LNG'!$F22+('Assump - LNG'!$G22-'Assump - LNG'!$F22)*MIN(1,((YEAR($A85)-YEAR(IF('Assump - LNG'!$D22&gt;='Assump - LNG'!$B$6,EDATE('Assump - LNG'!$D22,'Assump - LNG'!$B$4),'Assump - LNG'!$D22)))*12+MONTH($A85)-MONTH(IF('Assump - LNG'!$D22&gt;='Assump - LNG'!$B$6,EDATE('Assump - LNG'!$D22,'Assump - LNG'!$B$4),'Assump - LNG'!$D22)))/MAX('Assump - LNG'!$E22,1)))*INDEX('Assump - LNG'!$J$38:$J$49,MONTH($A85))))</f>
        <v/>
      </c>
      <c r="AG85" s="14">
        <f>IF('Assump - LNG'!$D23="",0,IF($A85&lt;IF('Assump - LNG'!$D23&gt;='Assump - LNG'!$B$6,EDATE('Assump - LNG'!$D23,'Assump - LNG'!$B$4),'Assump - LNG'!$D23),0,'Assump - LNG'!$C23*('Assump - LNG'!$F23+('Assump - LNG'!$G23-'Assump - LNG'!$F23)*MIN(1,((YEAR($A85)-YEAR(IF('Assump - LNG'!$D23&gt;='Assump - LNG'!$B$6,EDATE('Assump - LNG'!$D23,'Assump - LNG'!$B$4),'Assump - LNG'!$D23)))*12+MONTH($A85)-MONTH(IF('Assump - LNG'!$D23&gt;='Assump - LNG'!$B$6,EDATE('Assump - LNG'!$D23,'Assump - LNG'!$B$4),'Assump - LNG'!$D23)))/MAX('Assump - LNG'!$E23,1)))*INDEX('Assump - LNG'!$J$38:$J$49,MONTH($A85))))</f>
        <v/>
      </c>
      <c r="AH85" s="14">
        <f>IF('Assump - LNG'!$D24="",0,IF($A85&lt;IF('Assump - LNG'!$D24&gt;='Assump - LNG'!$B$6,EDATE('Assump - LNG'!$D24,'Assump - LNG'!$B$4),'Assump - LNG'!$D24),0,'Assump - LNG'!$C24*('Assump - LNG'!$F24+('Assump - LNG'!$G24-'Assump - LNG'!$F24)*MIN(1,((YEAR($A85)-YEAR(IF('Assump - LNG'!$D24&gt;='Assump - LNG'!$B$6,EDATE('Assump - LNG'!$D24,'Assump - LNG'!$B$4),'Assump - LNG'!$D24)))*12+MONTH($A85)-MONTH(IF('Assump - LNG'!$D24&gt;='Assump - LNG'!$B$6,EDATE('Assump - LNG'!$D24,'Assump - LNG'!$B$4),'Assump - LNG'!$D24)))/MAX('Assump - LNG'!$E24,1)))*INDEX('Assump - LNG'!$J$38:$J$49,MONTH($A85))))</f>
        <v/>
      </c>
      <c r="AI85" s="14">
        <f>IF('Assump - LNG'!$D25="",0,IF($A85&lt;IF('Assump - LNG'!$D25&gt;='Assump - LNG'!$B$6,EDATE('Assump - LNG'!$D25,'Assump - LNG'!$B$4),'Assump - LNG'!$D25),0,'Assump - LNG'!$C25*('Assump - LNG'!$F25+('Assump - LNG'!$G25-'Assump - LNG'!$F25)*MIN(1,((YEAR($A85)-YEAR(IF('Assump - LNG'!$D25&gt;='Assump - LNG'!$B$6,EDATE('Assump - LNG'!$D25,'Assump - LNG'!$B$4),'Assump - LNG'!$D25)))*12+MONTH($A85)-MONTH(IF('Assump - LNG'!$D25&gt;='Assump - LNG'!$B$6,EDATE('Assump - LNG'!$D25,'Assump - LNG'!$B$4),'Assump - LNG'!$D25)))/MAX('Assump - LNG'!$E25,1)))*INDEX('Assump - LNG'!$J$38:$J$49,MONTH($A85))))</f>
        <v/>
      </c>
      <c r="AJ85" s="14">
        <f>IF('Assump - LNG'!$D26="",0,IF($A85&lt;IF('Assump - LNG'!$D26&gt;='Assump - LNG'!$B$6,EDATE('Assump - LNG'!$D26,'Assump - LNG'!$B$4),'Assump - LNG'!$D26),0,'Assump - LNG'!$C26*('Assump - LNG'!$F26+('Assump - LNG'!$G26-'Assump - LNG'!$F26)*MIN(1,((YEAR($A85)-YEAR(IF('Assump - LNG'!$D26&gt;='Assump - LNG'!$B$6,EDATE('Assump - LNG'!$D26,'Assump - LNG'!$B$4),'Assump - LNG'!$D26)))*12+MONTH($A85)-MONTH(IF('Assump - LNG'!$D26&gt;='Assump - LNG'!$B$6,EDATE('Assump - LNG'!$D26,'Assump - LNG'!$B$4),'Assump - LNG'!$D26)))/MAX('Assump - LNG'!$E26,1)))*INDEX('Assump - LNG'!$J$38:$J$49,MONTH($A85))))</f>
        <v/>
      </c>
      <c r="AK85" s="14">
        <f>IF('Assump - LNG'!$D27="",0,IF($A85&lt;IF('Assump - LNG'!$D27&gt;='Assump - LNG'!$B$6,EDATE('Assump - LNG'!$D27,'Assump - LNG'!$B$4),'Assump - LNG'!$D27),0,'Assump - LNG'!$C27*('Assump - LNG'!$F27+('Assump - LNG'!$G27-'Assump - LNG'!$F27)*MIN(1,((YEAR($A85)-YEAR(IF('Assump - LNG'!$D27&gt;='Assump - LNG'!$B$6,EDATE('Assump - LNG'!$D27,'Assump - LNG'!$B$4),'Assump - LNG'!$D27)))*12+MONTH($A85)-MONTH(IF('Assump - LNG'!$D27&gt;='Assump - LNG'!$B$6,EDATE('Assump - LNG'!$D27,'Assump - LNG'!$B$4),'Assump - LNG'!$D27)))/MAX('Assump - LNG'!$E27,1)))*INDEX('Assump - LNG'!$J$38:$J$49,MONTH($A85))))</f>
        <v/>
      </c>
      <c r="AL85" s="14">
        <f>IF('Assump - LNG'!$D28="",0,IF($A85&lt;IF('Assump - LNG'!$D28&gt;='Assump - LNG'!$B$6,EDATE('Assump - LNG'!$D28,'Assump - LNG'!$B$4),'Assump - LNG'!$D28),0,'Assump - LNG'!$C28*('Assump - LNG'!$F28+('Assump - LNG'!$G28-'Assump - LNG'!$F28)*MIN(1,((YEAR($A85)-YEAR(IF('Assump - LNG'!$D28&gt;='Assump - LNG'!$B$6,EDATE('Assump - LNG'!$D28,'Assump - LNG'!$B$4),'Assump - LNG'!$D28)))*12+MONTH($A85)-MONTH(IF('Assump - LNG'!$D28&gt;='Assump - LNG'!$B$6,EDATE('Assump - LNG'!$D28,'Assump - LNG'!$B$4),'Assump - LNG'!$D28)))/MAX('Assump - LNG'!$E28,1)))*INDEX('Assump - LNG'!$J$38:$J$49,MONTH($A85))))</f>
        <v/>
      </c>
      <c r="AM85" s="14">
        <f>IF('Assump - LNG'!$D29="",0,IF($A85&lt;IF('Assump - LNG'!$D29&gt;='Assump - LNG'!$B$6,EDATE('Assump - LNG'!$D29,'Assump - LNG'!$B$4),'Assump - LNG'!$D29),0,'Assump - LNG'!$C29*('Assump - LNG'!$F29+('Assump - LNG'!$G29-'Assump - LNG'!$F29)*MIN(1,((YEAR($A85)-YEAR(IF('Assump - LNG'!$D29&gt;='Assump - LNG'!$B$6,EDATE('Assump - LNG'!$D29,'Assump - LNG'!$B$4),'Assump - LNG'!$D29)))*12+MONTH($A85)-MONTH(IF('Assump - LNG'!$D29&gt;='Assump - LNG'!$B$6,EDATE('Assump - LNG'!$D29,'Assump - LNG'!$B$4),'Assump - LNG'!$D29)))/MAX('Assump - LNG'!$E29,1)))*INDEX('Assump - LNG'!$J$38:$J$49,MONTH($A85))))</f>
        <v/>
      </c>
      <c r="AN85" s="14">
        <f>IF('Assump - LNG'!$D30="",0,IF($A85&lt;IF('Assump - LNG'!$D30&gt;='Assump - LNG'!$B$6,EDATE('Assump - LNG'!$D30,'Assump - LNG'!$B$4),'Assump - LNG'!$D30),0,'Assump - LNG'!$C30*('Assump - LNG'!$F30+('Assump - LNG'!$G30-'Assump - LNG'!$F30)*MIN(1,((YEAR($A85)-YEAR(IF('Assump - LNG'!$D30&gt;='Assump - LNG'!$B$6,EDATE('Assump - LNG'!$D30,'Assump - LNG'!$B$4),'Assump - LNG'!$D30)))*12+MONTH($A85)-MONTH(IF('Assump - LNG'!$D30&gt;='Assump - LNG'!$B$6,EDATE('Assump - LNG'!$D30,'Assump - LNG'!$B$4),'Assump - LNG'!$D30)))/MAX('Assump - LNG'!$E30,1)))*INDEX('Assump - LNG'!$J$38:$J$49,MONTH($A85))))</f>
        <v/>
      </c>
      <c r="AO85" s="14">
        <f>IF('Assump - LNG'!$D31="",0,IF($A85&lt;IF('Assump - LNG'!$D31&gt;='Assump - LNG'!$B$6,EDATE('Assump - LNG'!$D31,'Assump - LNG'!$B$4),'Assump - LNG'!$D31),0,'Assump - LNG'!$C31*('Assump - LNG'!$F31+('Assump - LNG'!$G31-'Assump - LNG'!$F31)*MIN(1,((YEAR($A85)-YEAR(IF('Assump - LNG'!$D31&gt;='Assump - LNG'!$B$6,EDATE('Assump - LNG'!$D31,'Assump - LNG'!$B$4),'Assump - LNG'!$D31)))*12+MONTH($A85)-MONTH(IF('Assump - LNG'!$D31&gt;='Assump - LNG'!$B$6,EDATE('Assump - LNG'!$D31,'Assump - LNG'!$B$4),'Assump - LNG'!$D31)))/MAX('Assump - LNG'!$E31,1)))*INDEX('Assump - LNG'!$J$38:$J$49,MONTH($A85))))</f>
        <v/>
      </c>
    </row>
    <row r="86">
      <c r="A86" s="12" t="n">
        <v>46631</v>
      </c>
      <c r="B86" s="14">
        <f>IF('Assump - LNG'!$D12="",0,IF($A86&lt;'Assump - LNG'!$D12,0,'Assump - LNG'!$C12*('Assump - LNG'!$F12+('Assump - LNG'!$G12-'Assump - LNG'!$F12)*MIN(1,((YEAR($A86)-YEAR('Assump - LNG'!$D12))*12+MONTH($A86)-MONTH('Assump - LNG'!$D12))/MAX('Assump - LNG'!$E12,1)))*INDEX('Assump - LNG'!$J$38:$J$49,MONTH($A86))))</f>
        <v/>
      </c>
      <c r="C86" s="14">
        <f>IF('Assump - LNG'!$D13="",0,IF($A86&lt;'Assump - LNG'!$D13,0,'Assump - LNG'!$C13*('Assump - LNG'!$F13+('Assump - LNG'!$G13-'Assump - LNG'!$F13)*MIN(1,((YEAR($A86)-YEAR('Assump - LNG'!$D13))*12+MONTH($A86)-MONTH('Assump - LNG'!$D13))/MAX('Assump - LNG'!$E13,1)))*INDEX('Assump - LNG'!$J$38:$J$49,MONTH($A86))))</f>
        <v/>
      </c>
      <c r="D86" s="14">
        <f>IF('Assump - LNG'!$D14="",0,IF($A86&lt;'Assump - LNG'!$D14,0,'Assump - LNG'!$C14*('Assump - LNG'!$F14+('Assump - LNG'!$G14-'Assump - LNG'!$F14)*MIN(1,((YEAR($A86)-YEAR('Assump - LNG'!$D14))*12+MONTH($A86)-MONTH('Assump - LNG'!$D14))/MAX('Assump - LNG'!$E14,1)))*INDEX('Assump - LNG'!$J$38:$J$49,MONTH($A86))))</f>
        <v/>
      </c>
      <c r="E86" s="14">
        <f>IF('Assump - LNG'!$D15="",0,IF($A86&lt;'Assump - LNG'!$D15,0,'Assump - LNG'!$C15*('Assump - LNG'!$F15+('Assump - LNG'!$G15-'Assump - LNG'!$F15)*MIN(1,((YEAR($A86)-YEAR('Assump - LNG'!$D15))*12+MONTH($A86)-MONTH('Assump - LNG'!$D15))/MAX('Assump - LNG'!$E15,1)))*INDEX('Assump - LNG'!$J$38:$J$49,MONTH($A86))))</f>
        <v/>
      </c>
      <c r="F86" s="14">
        <f>IF('Assump - LNG'!$D16="",0,IF($A86&lt;'Assump - LNG'!$D16,0,'Assump - LNG'!$C16*('Assump - LNG'!$F16+('Assump - LNG'!$G16-'Assump - LNG'!$F16)*MIN(1,((YEAR($A86)-YEAR('Assump - LNG'!$D16))*12+MONTH($A86)-MONTH('Assump - LNG'!$D16))/MAX('Assump - LNG'!$E16,1)))*INDEX('Assump - LNG'!$J$38:$J$49,MONTH($A86))))</f>
        <v/>
      </c>
      <c r="G86" s="14">
        <f>IF('Assump - LNG'!$D17="",0,IF($A86&lt;'Assump - LNG'!$D17,0,'Assump - LNG'!$C17*('Assump - LNG'!$F17+('Assump - LNG'!$G17-'Assump - LNG'!$F17)*MIN(1,((YEAR($A86)-YEAR('Assump - LNG'!$D17))*12+MONTH($A86)-MONTH('Assump - LNG'!$D17))/MAX('Assump - LNG'!$E17,1)))*INDEX('Assump - LNG'!$J$38:$J$49,MONTH($A86))))</f>
        <v/>
      </c>
      <c r="H86" s="14">
        <f>IF('Assump - LNG'!$D18="",0,IF($A86&lt;'Assump - LNG'!$D18,0,'Assump - LNG'!$C18*('Assump - LNG'!$F18+('Assump - LNG'!$G18-'Assump - LNG'!$F18)*MIN(1,((YEAR($A86)-YEAR('Assump - LNG'!$D18))*12+MONTH($A86)-MONTH('Assump - LNG'!$D18))/MAX('Assump - LNG'!$E18,1)))*INDEX('Assump - LNG'!$J$38:$J$49,MONTH($A86))))</f>
        <v/>
      </c>
      <c r="I86" s="14">
        <f>IF('Assump - LNG'!$D19="",0,IF($A86&lt;'Assump - LNG'!$D19,0,'Assump - LNG'!$C19*('Assump - LNG'!$F19+('Assump - LNG'!$G19-'Assump - LNG'!$F19)*MIN(1,((YEAR($A86)-YEAR('Assump - LNG'!$D19))*12+MONTH($A86)-MONTH('Assump - LNG'!$D19))/MAX('Assump - LNG'!$E19,1)))*INDEX('Assump - LNG'!$J$38:$J$49,MONTH($A86))))</f>
        <v/>
      </c>
      <c r="J86" s="14">
        <f>IF('Assump - LNG'!$D20="",0,IF($A86&lt;'Assump - LNG'!$D20,0,'Assump - LNG'!$C20*('Assump - LNG'!$F20+('Assump - LNG'!$G20-'Assump - LNG'!$F20)*MIN(1,((YEAR($A86)-YEAR('Assump - LNG'!$D20))*12+MONTH($A86)-MONTH('Assump - LNG'!$D20))/MAX('Assump - LNG'!$E20,1)))*INDEX('Assump - LNG'!$J$38:$J$49,MONTH($A86))))</f>
        <v/>
      </c>
      <c r="K86" s="14">
        <f>IF('Assump - LNG'!$D21="",0,IF($A86&lt;'Assump - LNG'!$D21,0,'Assump - LNG'!$C21*('Assump - LNG'!$F21+('Assump - LNG'!$G21-'Assump - LNG'!$F21)*MIN(1,((YEAR($A86)-YEAR('Assump - LNG'!$D21))*12+MONTH($A86)-MONTH('Assump - LNG'!$D21))/MAX('Assump - LNG'!$E21,1)))*INDEX('Assump - LNG'!$J$38:$J$49,MONTH($A86))))</f>
        <v/>
      </c>
      <c r="L86" s="14">
        <f>IF('Assump - LNG'!$D22="",0,IF($A86&lt;'Assump - LNG'!$D22,0,'Assump - LNG'!$C22*('Assump - LNG'!$F22+('Assump - LNG'!$G22-'Assump - LNG'!$F22)*MIN(1,((YEAR($A86)-YEAR('Assump - LNG'!$D22))*12+MONTH($A86)-MONTH('Assump - LNG'!$D22))/MAX('Assump - LNG'!$E22,1)))*INDEX('Assump - LNG'!$J$38:$J$49,MONTH($A86))))</f>
        <v/>
      </c>
      <c r="M86" s="14">
        <f>IF('Assump - LNG'!$D23="",0,IF($A86&lt;'Assump - LNG'!$D23,0,'Assump - LNG'!$C23*('Assump - LNG'!$F23+('Assump - LNG'!$G23-'Assump - LNG'!$F23)*MIN(1,((YEAR($A86)-YEAR('Assump - LNG'!$D23))*12+MONTH($A86)-MONTH('Assump - LNG'!$D23))/MAX('Assump - LNG'!$E23,1)))*INDEX('Assump - LNG'!$J$38:$J$49,MONTH($A86))))</f>
        <v/>
      </c>
      <c r="N86" s="14">
        <f>IF('Assump - LNG'!$D24="",0,IF($A86&lt;'Assump - LNG'!$D24,0,'Assump - LNG'!$C24*('Assump - LNG'!$F24+('Assump - LNG'!$G24-'Assump - LNG'!$F24)*MIN(1,((YEAR($A86)-YEAR('Assump - LNG'!$D24))*12+MONTH($A86)-MONTH('Assump - LNG'!$D24))/MAX('Assump - LNG'!$E24,1)))*INDEX('Assump - LNG'!$J$38:$J$49,MONTH($A86))))</f>
        <v/>
      </c>
      <c r="O86" s="14">
        <f>IF('Assump - LNG'!$D25="",0,IF($A86&lt;'Assump - LNG'!$D25,0,'Assump - LNG'!$C25*('Assump - LNG'!$F25+('Assump - LNG'!$G25-'Assump - LNG'!$F25)*MIN(1,((YEAR($A86)-YEAR('Assump - LNG'!$D25))*12+MONTH($A86)-MONTH('Assump - LNG'!$D25))/MAX('Assump - LNG'!$E25,1)))*INDEX('Assump - LNG'!$J$38:$J$49,MONTH($A86))))</f>
        <v/>
      </c>
      <c r="P86" s="14">
        <f>IF('Assump - LNG'!$D26="",0,IF($A86&lt;'Assump - LNG'!$D26,0,'Assump - LNG'!$C26*('Assump - LNG'!$F26+('Assump - LNG'!$G26-'Assump - LNG'!$F26)*MIN(1,((YEAR($A86)-YEAR('Assump - LNG'!$D26))*12+MONTH($A86)-MONTH('Assump - LNG'!$D26))/MAX('Assump - LNG'!$E26,1)))*INDEX('Assump - LNG'!$J$38:$J$49,MONTH($A86))))</f>
        <v/>
      </c>
      <c r="Q86" s="14">
        <f>IF('Assump - LNG'!$D27="",0,IF($A86&lt;'Assump - LNG'!$D27,0,'Assump - LNG'!$C27*('Assump - LNG'!$F27+('Assump - LNG'!$G27-'Assump - LNG'!$F27)*MIN(1,((YEAR($A86)-YEAR('Assump - LNG'!$D27))*12+MONTH($A86)-MONTH('Assump - LNG'!$D27))/MAX('Assump - LNG'!$E27,1)))*INDEX('Assump - LNG'!$J$38:$J$49,MONTH($A86))))</f>
        <v/>
      </c>
      <c r="R86" s="14">
        <f>IF('Assump - LNG'!$D28="",0,IF($A86&lt;'Assump - LNG'!$D28,0,'Assump - LNG'!$C28*('Assump - LNG'!$F28+('Assump - LNG'!$G28-'Assump - LNG'!$F28)*MIN(1,((YEAR($A86)-YEAR('Assump - LNG'!$D28))*12+MONTH($A86)-MONTH('Assump - LNG'!$D28))/MAX('Assump - LNG'!$E28,1)))*INDEX('Assump - LNG'!$J$38:$J$49,MONTH($A86))))</f>
        <v/>
      </c>
      <c r="S86" s="14">
        <f>IF('Assump - LNG'!$D29="",0,IF($A86&lt;'Assump - LNG'!$D29,0,'Assump - LNG'!$C29*('Assump - LNG'!$F29+('Assump - LNG'!$G29-'Assump - LNG'!$F29)*MIN(1,((YEAR($A86)-YEAR('Assump - LNG'!$D29))*12+MONTH($A86)-MONTH('Assump - LNG'!$D29))/MAX('Assump - LNG'!$E29,1)))*INDEX('Assump - LNG'!$J$38:$J$49,MONTH($A86))))</f>
        <v/>
      </c>
      <c r="T86" s="14">
        <f>IF('Assump - LNG'!$D30="",0,IF($A86&lt;'Assump - LNG'!$D30,0,'Assump - LNG'!$C30*('Assump - LNG'!$F30+('Assump - LNG'!$G30-'Assump - LNG'!$F30)*MIN(1,((YEAR($A86)-YEAR('Assump - LNG'!$D30))*12+MONTH($A86)-MONTH('Assump - LNG'!$D30))/MAX('Assump - LNG'!$E30,1)))*INDEX('Assump - LNG'!$J$38:$J$49,MONTH($A86))))</f>
        <v/>
      </c>
      <c r="U86" s="14">
        <f>IF('Assump - LNG'!$D31="",0,IF($A86&lt;'Assump - LNG'!$D31,0,'Assump - LNG'!$C31*('Assump - LNG'!$F31+('Assump - LNG'!$G31-'Assump - LNG'!$F31)*MIN(1,((YEAR($A86)-YEAR('Assump - LNG'!$D31))*12+MONTH($A86)-MONTH('Assump - LNG'!$D31))/MAX('Assump - LNG'!$E31,1)))*INDEX('Assump - LNG'!$J$38:$J$49,MONTH($A86))))</f>
        <v/>
      </c>
      <c r="V86" s="14">
        <f>IF('Assump - LNG'!$D12="",0,IF($A86&lt;IF('Assump - LNG'!$D12&gt;='Assump - LNG'!$B$6,EDATE('Assump - LNG'!$D12,'Assump - LNG'!$B$4),'Assump - LNG'!$D12),0,'Assump - LNG'!$C12*('Assump - LNG'!$F12+('Assump - LNG'!$G12-'Assump - LNG'!$F12)*MIN(1,((YEAR($A86)-YEAR(IF('Assump - LNG'!$D12&gt;='Assump - LNG'!$B$6,EDATE('Assump - LNG'!$D12,'Assump - LNG'!$B$4),'Assump - LNG'!$D12)))*12+MONTH($A86)-MONTH(IF('Assump - LNG'!$D12&gt;='Assump - LNG'!$B$6,EDATE('Assump - LNG'!$D12,'Assump - LNG'!$B$4),'Assump - LNG'!$D12)))/MAX('Assump - LNG'!$E12,1)))*INDEX('Assump - LNG'!$J$38:$J$49,MONTH($A86))))</f>
        <v/>
      </c>
      <c r="W86" s="14">
        <f>IF('Assump - LNG'!$D13="",0,IF($A86&lt;IF('Assump - LNG'!$D13&gt;='Assump - LNG'!$B$6,EDATE('Assump - LNG'!$D13,'Assump - LNG'!$B$4),'Assump - LNG'!$D13),0,'Assump - LNG'!$C13*('Assump - LNG'!$F13+('Assump - LNG'!$G13-'Assump - LNG'!$F13)*MIN(1,((YEAR($A86)-YEAR(IF('Assump - LNG'!$D13&gt;='Assump - LNG'!$B$6,EDATE('Assump - LNG'!$D13,'Assump - LNG'!$B$4),'Assump - LNG'!$D13)))*12+MONTH($A86)-MONTH(IF('Assump - LNG'!$D13&gt;='Assump - LNG'!$B$6,EDATE('Assump - LNG'!$D13,'Assump - LNG'!$B$4),'Assump - LNG'!$D13)))/MAX('Assump - LNG'!$E13,1)))*INDEX('Assump - LNG'!$J$38:$J$49,MONTH($A86))))</f>
        <v/>
      </c>
      <c r="X86" s="14">
        <f>IF('Assump - LNG'!$D14="",0,IF($A86&lt;IF('Assump - LNG'!$D14&gt;='Assump - LNG'!$B$6,EDATE('Assump - LNG'!$D14,'Assump - LNG'!$B$4),'Assump - LNG'!$D14),0,'Assump - LNG'!$C14*('Assump - LNG'!$F14+('Assump - LNG'!$G14-'Assump - LNG'!$F14)*MIN(1,((YEAR($A86)-YEAR(IF('Assump - LNG'!$D14&gt;='Assump - LNG'!$B$6,EDATE('Assump - LNG'!$D14,'Assump - LNG'!$B$4),'Assump - LNG'!$D14)))*12+MONTH($A86)-MONTH(IF('Assump - LNG'!$D14&gt;='Assump - LNG'!$B$6,EDATE('Assump - LNG'!$D14,'Assump - LNG'!$B$4),'Assump - LNG'!$D14)))/MAX('Assump - LNG'!$E14,1)))*INDEX('Assump - LNG'!$J$38:$J$49,MONTH($A86))))</f>
        <v/>
      </c>
      <c r="Y86" s="14">
        <f>IF('Assump - LNG'!$D15="",0,IF($A86&lt;IF('Assump - LNG'!$D15&gt;='Assump - LNG'!$B$6,EDATE('Assump - LNG'!$D15,'Assump - LNG'!$B$4),'Assump - LNG'!$D15),0,'Assump - LNG'!$C15*('Assump - LNG'!$F15+('Assump - LNG'!$G15-'Assump - LNG'!$F15)*MIN(1,((YEAR($A86)-YEAR(IF('Assump - LNG'!$D15&gt;='Assump - LNG'!$B$6,EDATE('Assump - LNG'!$D15,'Assump - LNG'!$B$4),'Assump - LNG'!$D15)))*12+MONTH($A86)-MONTH(IF('Assump - LNG'!$D15&gt;='Assump - LNG'!$B$6,EDATE('Assump - LNG'!$D15,'Assump - LNG'!$B$4),'Assump - LNG'!$D15)))/MAX('Assump - LNG'!$E15,1)))*INDEX('Assump - LNG'!$J$38:$J$49,MONTH($A86))))</f>
        <v/>
      </c>
      <c r="Z86" s="14">
        <f>IF('Assump - LNG'!$D16="",0,IF($A86&lt;IF('Assump - LNG'!$D16&gt;='Assump - LNG'!$B$6,EDATE('Assump - LNG'!$D16,'Assump - LNG'!$B$4),'Assump - LNG'!$D16),0,'Assump - LNG'!$C16*('Assump - LNG'!$F16+('Assump - LNG'!$G16-'Assump - LNG'!$F16)*MIN(1,((YEAR($A86)-YEAR(IF('Assump - LNG'!$D16&gt;='Assump - LNG'!$B$6,EDATE('Assump - LNG'!$D16,'Assump - LNG'!$B$4),'Assump - LNG'!$D16)))*12+MONTH($A86)-MONTH(IF('Assump - LNG'!$D16&gt;='Assump - LNG'!$B$6,EDATE('Assump - LNG'!$D16,'Assump - LNG'!$B$4),'Assump - LNG'!$D16)))/MAX('Assump - LNG'!$E16,1)))*INDEX('Assump - LNG'!$J$38:$J$49,MONTH($A86))))</f>
        <v/>
      </c>
      <c r="AA86" s="14">
        <f>IF('Assump - LNG'!$D17="",0,IF($A86&lt;IF('Assump - LNG'!$D17&gt;='Assump - LNG'!$B$6,EDATE('Assump - LNG'!$D17,'Assump - LNG'!$B$4),'Assump - LNG'!$D17),0,'Assump - LNG'!$C17*('Assump - LNG'!$F17+('Assump - LNG'!$G17-'Assump - LNG'!$F17)*MIN(1,((YEAR($A86)-YEAR(IF('Assump - LNG'!$D17&gt;='Assump - LNG'!$B$6,EDATE('Assump - LNG'!$D17,'Assump - LNG'!$B$4),'Assump - LNG'!$D17)))*12+MONTH($A86)-MONTH(IF('Assump - LNG'!$D17&gt;='Assump - LNG'!$B$6,EDATE('Assump - LNG'!$D17,'Assump - LNG'!$B$4),'Assump - LNG'!$D17)))/MAX('Assump - LNG'!$E17,1)))*INDEX('Assump - LNG'!$J$38:$J$49,MONTH($A86))))</f>
        <v/>
      </c>
      <c r="AB86" s="14">
        <f>IF('Assump - LNG'!$D18="",0,IF($A86&lt;IF('Assump - LNG'!$D18&gt;='Assump - LNG'!$B$6,EDATE('Assump - LNG'!$D18,'Assump - LNG'!$B$4),'Assump - LNG'!$D18),0,'Assump - LNG'!$C18*('Assump - LNG'!$F18+('Assump - LNG'!$G18-'Assump - LNG'!$F18)*MIN(1,((YEAR($A86)-YEAR(IF('Assump - LNG'!$D18&gt;='Assump - LNG'!$B$6,EDATE('Assump - LNG'!$D18,'Assump - LNG'!$B$4),'Assump - LNG'!$D18)))*12+MONTH($A86)-MONTH(IF('Assump - LNG'!$D18&gt;='Assump - LNG'!$B$6,EDATE('Assump - LNG'!$D18,'Assump - LNG'!$B$4),'Assump - LNG'!$D18)))/MAX('Assump - LNG'!$E18,1)))*INDEX('Assump - LNG'!$J$38:$J$49,MONTH($A86))))</f>
        <v/>
      </c>
      <c r="AC86" s="14">
        <f>IF('Assump - LNG'!$D19="",0,IF($A86&lt;IF('Assump - LNG'!$D19&gt;='Assump - LNG'!$B$6,EDATE('Assump - LNG'!$D19,'Assump - LNG'!$B$4),'Assump - LNG'!$D19),0,'Assump - LNG'!$C19*('Assump - LNG'!$F19+('Assump - LNG'!$G19-'Assump - LNG'!$F19)*MIN(1,((YEAR($A86)-YEAR(IF('Assump - LNG'!$D19&gt;='Assump - LNG'!$B$6,EDATE('Assump - LNG'!$D19,'Assump - LNG'!$B$4),'Assump - LNG'!$D19)))*12+MONTH($A86)-MONTH(IF('Assump - LNG'!$D19&gt;='Assump - LNG'!$B$6,EDATE('Assump - LNG'!$D19,'Assump - LNG'!$B$4),'Assump - LNG'!$D19)))/MAX('Assump - LNG'!$E19,1)))*INDEX('Assump - LNG'!$J$38:$J$49,MONTH($A86))))</f>
        <v/>
      </c>
      <c r="AD86" s="14">
        <f>IF('Assump - LNG'!$D20="",0,IF($A86&lt;IF('Assump - LNG'!$D20&gt;='Assump - LNG'!$B$6,EDATE('Assump - LNG'!$D20,'Assump - LNG'!$B$4),'Assump - LNG'!$D20),0,'Assump - LNG'!$C20*('Assump - LNG'!$F20+('Assump - LNG'!$G20-'Assump - LNG'!$F20)*MIN(1,((YEAR($A86)-YEAR(IF('Assump - LNG'!$D20&gt;='Assump - LNG'!$B$6,EDATE('Assump - LNG'!$D20,'Assump - LNG'!$B$4),'Assump - LNG'!$D20)))*12+MONTH($A86)-MONTH(IF('Assump - LNG'!$D20&gt;='Assump - LNG'!$B$6,EDATE('Assump - LNG'!$D20,'Assump - LNG'!$B$4),'Assump - LNG'!$D20)))/MAX('Assump - LNG'!$E20,1)))*INDEX('Assump - LNG'!$J$38:$J$49,MONTH($A86))))</f>
        <v/>
      </c>
      <c r="AE86" s="14">
        <f>IF('Assump - LNG'!$D21="",0,IF($A86&lt;IF('Assump - LNG'!$D21&gt;='Assump - LNG'!$B$6,EDATE('Assump - LNG'!$D21,'Assump - LNG'!$B$4),'Assump - LNG'!$D21),0,'Assump - LNG'!$C21*('Assump - LNG'!$F21+('Assump - LNG'!$G21-'Assump - LNG'!$F21)*MIN(1,((YEAR($A86)-YEAR(IF('Assump - LNG'!$D21&gt;='Assump - LNG'!$B$6,EDATE('Assump - LNG'!$D21,'Assump - LNG'!$B$4),'Assump - LNG'!$D21)))*12+MONTH($A86)-MONTH(IF('Assump - LNG'!$D21&gt;='Assump - LNG'!$B$6,EDATE('Assump - LNG'!$D21,'Assump - LNG'!$B$4),'Assump - LNG'!$D21)))/MAX('Assump - LNG'!$E21,1)))*INDEX('Assump - LNG'!$J$38:$J$49,MONTH($A86))))</f>
        <v/>
      </c>
      <c r="AF86" s="14">
        <f>IF('Assump - LNG'!$D22="",0,IF($A86&lt;IF('Assump - LNG'!$D22&gt;='Assump - LNG'!$B$6,EDATE('Assump - LNG'!$D22,'Assump - LNG'!$B$4),'Assump - LNG'!$D22),0,'Assump - LNG'!$C22*('Assump - LNG'!$F22+('Assump - LNG'!$G22-'Assump - LNG'!$F22)*MIN(1,((YEAR($A86)-YEAR(IF('Assump - LNG'!$D22&gt;='Assump - LNG'!$B$6,EDATE('Assump - LNG'!$D22,'Assump - LNG'!$B$4),'Assump - LNG'!$D22)))*12+MONTH($A86)-MONTH(IF('Assump - LNG'!$D22&gt;='Assump - LNG'!$B$6,EDATE('Assump - LNG'!$D22,'Assump - LNG'!$B$4),'Assump - LNG'!$D22)))/MAX('Assump - LNG'!$E22,1)))*INDEX('Assump - LNG'!$J$38:$J$49,MONTH($A86))))</f>
        <v/>
      </c>
      <c r="AG86" s="14">
        <f>IF('Assump - LNG'!$D23="",0,IF($A86&lt;IF('Assump - LNG'!$D23&gt;='Assump - LNG'!$B$6,EDATE('Assump - LNG'!$D23,'Assump - LNG'!$B$4),'Assump - LNG'!$D23),0,'Assump - LNG'!$C23*('Assump - LNG'!$F23+('Assump - LNG'!$G23-'Assump - LNG'!$F23)*MIN(1,((YEAR($A86)-YEAR(IF('Assump - LNG'!$D23&gt;='Assump - LNG'!$B$6,EDATE('Assump - LNG'!$D23,'Assump - LNG'!$B$4),'Assump - LNG'!$D23)))*12+MONTH($A86)-MONTH(IF('Assump - LNG'!$D23&gt;='Assump - LNG'!$B$6,EDATE('Assump - LNG'!$D23,'Assump - LNG'!$B$4),'Assump - LNG'!$D23)))/MAX('Assump - LNG'!$E23,1)))*INDEX('Assump - LNG'!$J$38:$J$49,MONTH($A86))))</f>
        <v/>
      </c>
      <c r="AH86" s="14">
        <f>IF('Assump - LNG'!$D24="",0,IF($A86&lt;IF('Assump - LNG'!$D24&gt;='Assump - LNG'!$B$6,EDATE('Assump - LNG'!$D24,'Assump - LNG'!$B$4),'Assump - LNG'!$D24),0,'Assump - LNG'!$C24*('Assump - LNG'!$F24+('Assump - LNG'!$G24-'Assump - LNG'!$F24)*MIN(1,((YEAR($A86)-YEAR(IF('Assump - LNG'!$D24&gt;='Assump - LNG'!$B$6,EDATE('Assump - LNG'!$D24,'Assump - LNG'!$B$4),'Assump - LNG'!$D24)))*12+MONTH($A86)-MONTH(IF('Assump - LNG'!$D24&gt;='Assump - LNG'!$B$6,EDATE('Assump - LNG'!$D24,'Assump - LNG'!$B$4),'Assump - LNG'!$D24)))/MAX('Assump - LNG'!$E24,1)))*INDEX('Assump - LNG'!$J$38:$J$49,MONTH($A86))))</f>
        <v/>
      </c>
      <c r="AI86" s="14">
        <f>IF('Assump - LNG'!$D25="",0,IF($A86&lt;IF('Assump - LNG'!$D25&gt;='Assump - LNG'!$B$6,EDATE('Assump - LNG'!$D25,'Assump - LNG'!$B$4),'Assump - LNG'!$D25),0,'Assump - LNG'!$C25*('Assump - LNG'!$F25+('Assump - LNG'!$G25-'Assump - LNG'!$F25)*MIN(1,((YEAR($A86)-YEAR(IF('Assump - LNG'!$D25&gt;='Assump - LNG'!$B$6,EDATE('Assump - LNG'!$D25,'Assump - LNG'!$B$4),'Assump - LNG'!$D25)))*12+MONTH($A86)-MONTH(IF('Assump - LNG'!$D25&gt;='Assump - LNG'!$B$6,EDATE('Assump - LNG'!$D25,'Assump - LNG'!$B$4),'Assump - LNG'!$D25)))/MAX('Assump - LNG'!$E25,1)))*INDEX('Assump - LNG'!$J$38:$J$49,MONTH($A86))))</f>
        <v/>
      </c>
      <c r="AJ86" s="14">
        <f>IF('Assump - LNG'!$D26="",0,IF($A86&lt;IF('Assump - LNG'!$D26&gt;='Assump - LNG'!$B$6,EDATE('Assump - LNG'!$D26,'Assump - LNG'!$B$4),'Assump - LNG'!$D26),0,'Assump - LNG'!$C26*('Assump - LNG'!$F26+('Assump - LNG'!$G26-'Assump - LNG'!$F26)*MIN(1,((YEAR($A86)-YEAR(IF('Assump - LNG'!$D26&gt;='Assump - LNG'!$B$6,EDATE('Assump - LNG'!$D26,'Assump - LNG'!$B$4),'Assump - LNG'!$D26)))*12+MONTH($A86)-MONTH(IF('Assump - LNG'!$D26&gt;='Assump - LNG'!$B$6,EDATE('Assump - LNG'!$D26,'Assump - LNG'!$B$4),'Assump - LNG'!$D26)))/MAX('Assump - LNG'!$E26,1)))*INDEX('Assump - LNG'!$J$38:$J$49,MONTH($A86))))</f>
        <v/>
      </c>
      <c r="AK86" s="14">
        <f>IF('Assump - LNG'!$D27="",0,IF($A86&lt;IF('Assump - LNG'!$D27&gt;='Assump - LNG'!$B$6,EDATE('Assump - LNG'!$D27,'Assump - LNG'!$B$4),'Assump - LNG'!$D27),0,'Assump - LNG'!$C27*('Assump - LNG'!$F27+('Assump - LNG'!$G27-'Assump - LNG'!$F27)*MIN(1,((YEAR($A86)-YEAR(IF('Assump - LNG'!$D27&gt;='Assump - LNG'!$B$6,EDATE('Assump - LNG'!$D27,'Assump - LNG'!$B$4),'Assump - LNG'!$D27)))*12+MONTH($A86)-MONTH(IF('Assump - LNG'!$D27&gt;='Assump - LNG'!$B$6,EDATE('Assump - LNG'!$D27,'Assump - LNG'!$B$4),'Assump - LNG'!$D27)))/MAX('Assump - LNG'!$E27,1)))*INDEX('Assump - LNG'!$J$38:$J$49,MONTH($A86))))</f>
        <v/>
      </c>
      <c r="AL86" s="14">
        <f>IF('Assump - LNG'!$D28="",0,IF($A86&lt;IF('Assump - LNG'!$D28&gt;='Assump - LNG'!$B$6,EDATE('Assump - LNG'!$D28,'Assump - LNG'!$B$4),'Assump - LNG'!$D28),0,'Assump - LNG'!$C28*('Assump - LNG'!$F28+('Assump - LNG'!$G28-'Assump - LNG'!$F28)*MIN(1,((YEAR($A86)-YEAR(IF('Assump - LNG'!$D28&gt;='Assump - LNG'!$B$6,EDATE('Assump - LNG'!$D28,'Assump - LNG'!$B$4),'Assump - LNG'!$D28)))*12+MONTH($A86)-MONTH(IF('Assump - LNG'!$D28&gt;='Assump - LNG'!$B$6,EDATE('Assump - LNG'!$D28,'Assump - LNG'!$B$4),'Assump - LNG'!$D28)))/MAX('Assump - LNG'!$E28,1)))*INDEX('Assump - LNG'!$J$38:$J$49,MONTH($A86))))</f>
        <v/>
      </c>
      <c r="AM86" s="14">
        <f>IF('Assump - LNG'!$D29="",0,IF($A86&lt;IF('Assump - LNG'!$D29&gt;='Assump - LNG'!$B$6,EDATE('Assump - LNG'!$D29,'Assump - LNG'!$B$4),'Assump - LNG'!$D29),0,'Assump - LNG'!$C29*('Assump - LNG'!$F29+('Assump - LNG'!$G29-'Assump - LNG'!$F29)*MIN(1,((YEAR($A86)-YEAR(IF('Assump - LNG'!$D29&gt;='Assump - LNG'!$B$6,EDATE('Assump - LNG'!$D29,'Assump - LNG'!$B$4),'Assump - LNG'!$D29)))*12+MONTH($A86)-MONTH(IF('Assump - LNG'!$D29&gt;='Assump - LNG'!$B$6,EDATE('Assump - LNG'!$D29,'Assump - LNG'!$B$4),'Assump - LNG'!$D29)))/MAX('Assump - LNG'!$E29,1)))*INDEX('Assump - LNG'!$J$38:$J$49,MONTH($A86))))</f>
        <v/>
      </c>
      <c r="AN86" s="14">
        <f>IF('Assump - LNG'!$D30="",0,IF($A86&lt;IF('Assump - LNG'!$D30&gt;='Assump - LNG'!$B$6,EDATE('Assump - LNG'!$D30,'Assump - LNG'!$B$4),'Assump - LNG'!$D30),0,'Assump - LNG'!$C30*('Assump - LNG'!$F30+('Assump - LNG'!$G30-'Assump - LNG'!$F30)*MIN(1,((YEAR($A86)-YEAR(IF('Assump - LNG'!$D30&gt;='Assump - LNG'!$B$6,EDATE('Assump - LNG'!$D30,'Assump - LNG'!$B$4),'Assump - LNG'!$D30)))*12+MONTH($A86)-MONTH(IF('Assump - LNG'!$D30&gt;='Assump - LNG'!$B$6,EDATE('Assump - LNG'!$D30,'Assump - LNG'!$B$4),'Assump - LNG'!$D30)))/MAX('Assump - LNG'!$E30,1)))*INDEX('Assump - LNG'!$J$38:$J$49,MONTH($A86))))</f>
        <v/>
      </c>
      <c r="AO86" s="14">
        <f>IF('Assump - LNG'!$D31="",0,IF($A86&lt;IF('Assump - LNG'!$D31&gt;='Assump - LNG'!$B$6,EDATE('Assump - LNG'!$D31,'Assump - LNG'!$B$4),'Assump - LNG'!$D31),0,'Assump - LNG'!$C31*('Assump - LNG'!$F31+('Assump - LNG'!$G31-'Assump - LNG'!$F31)*MIN(1,((YEAR($A86)-YEAR(IF('Assump - LNG'!$D31&gt;='Assump - LNG'!$B$6,EDATE('Assump - LNG'!$D31,'Assump - LNG'!$B$4),'Assump - LNG'!$D31)))*12+MONTH($A86)-MONTH(IF('Assump - LNG'!$D31&gt;='Assump - LNG'!$B$6,EDATE('Assump - LNG'!$D31,'Assump - LNG'!$B$4),'Assump - LNG'!$D31)))/MAX('Assump - LNG'!$E31,1)))*INDEX('Assump - LNG'!$J$38:$J$49,MONTH($A86))))</f>
        <v/>
      </c>
    </row>
    <row r="87">
      <c r="A87" s="12" t="n">
        <v>46661</v>
      </c>
      <c r="B87" s="14">
        <f>IF('Assump - LNG'!$D12="",0,IF($A87&lt;'Assump - LNG'!$D12,0,'Assump - LNG'!$C12*('Assump - LNG'!$F12+('Assump - LNG'!$G12-'Assump - LNG'!$F12)*MIN(1,((YEAR($A87)-YEAR('Assump - LNG'!$D12))*12+MONTH($A87)-MONTH('Assump - LNG'!$D12))/MAX('Assump - LNG'!$E12,1)))*INDEX('Assump - LNG'!$J$38:$J$49,MONTH($A87))))</f>
        <v/>
      </c>
      <c r="C87" s="14">
        <f>IF('Assump - LNG'!$D13="",0,IF($A87&lt;'Assump - LNG'!$D13,0,'Assump - LNG'!$C13*('Assump - LNG'!$F13+('Assump - LNG'!$G13-'Assump - LNG'!$F13)*MIN(1,((YEAR($A87)-YEAR('Assump - LNG'!$D13))*12+MONTH($A87)-MONTH('Assump - LNG'!$D13))/MAX('Assump - LNG'!$E13,1)))*INDEX('Assump - LNG'!$J$38:$J$49,MONTH($A87))))</f>
        <v/>
      </c>
      <c r="D87" s="14">
        <f>IF('Assump - LNG'!$D14="",0,IF($A87&lt;'Assump - LNG'!$D14,0,'Assump - LNG'!$C14*('Assump - LNG'!$F14+('Assump - LNG'!$G14-'Assump - LNG'!$F14)*MIN(1,((YEAR($A87)-YEAR('Assump - LNG'!$D14))*12+MONTH($A87)-MONTH('Assump - LNG'!$D14))/MAX('Assump - LNG'!$E14,1)))*INDEX('Assump - LNG'!$J$38:$J$49,MONTH($A87))))</f>
        <v/>
      </c>
      <c r="E87" s="14">
        <f>IF('Assump - LNG'!$D15="",0,IF($A87&lt;'Assump - LNG'!$D15,0,'Assump - LNG'!$C15*('Assump - LNG'!$F15+('Assump - LNG'!$G15-'Assump - LNG'!$F15)*MIN(1,((YEAR($A87)-YEAR('Assump - LNG'!$D15))*12+MONTH($A87)-MONTH('Assump - LNG'!$D15))/MAX('Assump - LNG'!$E15,1)))*INDEX('Assump - LNG'!$J$38:$J$49,MONTH($A87))))</f>
        <v/>
      </c>
      <c r="F87" s="14">
        <f>IF('Assump - LNG'!$D16="",0,IF($A87&lt;'Assump - LNG'!$D16,0,'Assump - LNG'!$C16*('Assump - LNG'!$F16+('Assump - LNG'!$G16-'Assump - LNG'!$F16)*MIN(1,((YEAR($A87)-YEAR('Assump - LNG'!$D16))*12+MONTH($A87)-MONTH('Assump - LNG'!$D16))/MAX('Assump - LNG'!$E16,1)))*INDEX('Assump - LNG'!$J$38:$J$49,MONTH($A87))))</f>
        <v/>
      </c>
      <c r="G87" s="14">
        <f>IF('Assump - LNG'!$D17="",0,IF($A87&lt;'Assump - LNG'!$D17,0,'Assump - LNG'!$C17*('Assump - LNG'!$F17+('Assump - LNG'!$G17-'Assump - LNG'!$F17)*MIN(1,((YEAR($A87)-YEAR('Assump - LNG'!$D17))*12+MONTH($A87)-MONTH('Assump - LNG'!$D17))/MAX('Assump - LNG'!$E17,1)))*INDEX('Assump - LNG'!$J$38:$J$49,MONTH($A87))))</f>
        <v/>
      </c>
      <c r="H87" s="14">
        <f>IF('Assump - LNG'!$D18="",0,IF($A87&lt;'Assump - LNG'!$D18,0,'Assump - LNG'!$C18*('Assump - LNG'!$F18+('Assump - LNG'!$G18-'Assump - LNG'!$F18)*MIN(1,((YEAR($A87)-YEAR('Assump - LNG'!$D18))*12+MONTH($A87)-MONTH('Assump - LNG'!$D18))/MAX('Assump - LNG'!$E18,1)))*INDEX('Assump - LNG'!$J$38:$J$49,MONTH($A87))))</f>
        <v/>
      </c>
      <c r="I87" s="14">
        <f>IF('Assump - LNG'!$D19="",0,IF($A87&lt;'Assump - LNG'!$D19,0,'Assump - LNG'!$C19*('Assump - LNG'!$F19+('Assump - LNG'!$G19-'Assump - LNG'!$F19)*MIN(1,((YEAR($A87)-YEAR('Assump - LNG'!$D19))*12+MONTH($A87)-MONTH('Assump - LNG'!$D19))/MAX('Assump - LNG'!$E19,1)))*INDEX('Assump - LNG'!$J$38:$J$49,MONTH($A87))))</f>
        <v/>
      </c>
      <c r="J87" s="14">
        <f>IF('Assump - LNG'!$D20="",0,IF($A87&lt;'Assump - LNG'!$D20,0,'Assump - LNG'!$C20*('Assump - LNG'!$F20+('Assump - LNG'!$G20-'Assump - LNG'!$F20)*MIN(1,((YEAR($A87)-YEAR('Assump - LNG'!$D20))*12+MONTH($A87)-MONTH('Assump - LNG'!$D20))/MAX('Assump - LNG'!$E20,1)))*INDEX('Assump - LNG'!$J$38:$J$49,MONTH($A87))))</f>
        <v/>
      </c>
      <c r="K87" s="14">
        <f>IF('Assump - LNG'!$D21="",0,IF($A87&lt;'Assump - LNG'!$D21,0,'Assump - LNG'!$C21*('Assump - LNG'!$F21+('Assump - LNG'!$G21-'Assump - LNG'!$F21)*MIN(1,((YEAR($A87)-YEAR('Assump - LNG'!$D21))*12+MONTH($A87)-MONTH('Assump - LNG'!$D21))/MAX('Assump - LNG'!$E21,1)))*INDEX('Assump - LNG'!$J$38:$J$49,MONTH($A87))))</f>
        <v/>
      </c>
      <c r="L87" s="14">
        <f>IF('Assump - LNG'!$D22="",0,IF($A87&lt;'Assump - LNG'!$D22,0,'Assump - LNG'!$C22*('Assump - LNG'!$F22+('Assump - LNG'!$G22-'Assump - LNG'!$F22)*MIN(1,((YEAR($A87)-YEAR('Assump - LNG'!$D22))*12+MONTH($A87)-MONTH('Assump - LNG'!$D22))/MAX('Assump - LNG'!$E22,1)))*INDEX('Assump - LNG'!$J$38:$J$49,MONTH($A87))))</f>
        <v/>
      </c>
      <c r="M87" s="14">
        <f>IF('Assump - LNG'!$D23="",0,IF($A87&lt;'Assump - LNG'!$D23,0,'Assump - LNG'!$C23*('Assump - LNG'!$F23+('Assump - LNG'!$G23-'Assump - LNG'!$F23)*MIN(1,((YEAR($A87)-YEAR('Assump - LNG'!$D23))*12+MONTH($A87)-MONTH('Assump - LNG'!$D23))/MAX('Assump - LNG'!$E23,1)))*INDEX('Assump - LNG'!$J$38:$J$49,MONTH($A87))))</f>
        <v/>
      </c>
      <c r="N87" s="14">
        <f>IF('Assump - LNG'!$D24="",0,IF($A87&lt;'Assump - LNG'!$D24,0,'Assump - LNG'!$C24*('Assump - LNG'!$F24+('Assump - LNG'!$G24-'Assump - LNG'!$F24)*MIN(1,((YEAR($A87)-YEAR('Assump - LNG'!$D24))*12+MONTH($A87)-MONTH('Assump - LNG'!$D24))/MAX('Assump - LNG'!$E24,1)))*INDEX('Assump - LNG'!$J$38:$J$49,MONTH($A87))))</f>
        <v/>
      </c>
      <c r="O87" s="14">
        <f>IF('Assump - LNG'!$D25="",0,IF($A87&lt;'Assump - LNG'!$D25,0,'Assump - LNG'!$C25*('Assump - LNG'!$F25+('Assump - LNG'!$G25-'Assump - LNG'!$F25)*MIN(1,((YEAR($A87)-YEAR('Assump - LNG'!$D25))*12+MONTH($A87)-MONTH('Assump - LNG'!$D25))/MAX('Assump - LNG'!$E25,1)))*INDEX('Assump - LNG'!$J$38:$J$49,MONTH($A87))))</f>
        <v/>
      </c>
      <c r="P87" s="14">
        <f>IF('Assump - LNG'!$D26="",0,IF($A87&lt;'Assump - LNG'!$D26,0,'Assump - LNG'!$C26*('Assump - LNG'!$F26+('Assump - LNG'!$G26-'Assump - LNG'!$F26)*MIN(1,((YEAR($A87)-YEAR('Assump - LNG'!$D26))*12+MONTH($A87)-MONTH('Assump - LNG'!$D26))/MAX('Assump - LNG'!$E26,1)))*INDEX('Assump - LNG'!$J$38:$J$49,MONTH($A87))))</f>
        <v/>
      </c>
      <c r="Q87" s="14">
        <f>IF('Assump - LNG'!$D27="",0,IF($A87&lt;'Assump - LNG'!$D27,0,'Assump - LNG'!$C27*('Assump - LNG'!$F27+('Assump - LNG'!$G27-'Assump - LNG'!$F27)*MIN(1,((YEAR($A87)-YEAR('Assump - LNG'!$D27))*12+MONTH($A87)-MONTH('Assump - LNG'!$D27))/MAX('Assump - LNG'!$E27,1)))*INDEX('Assump - LNG'!$J$38:$J$49,MONTH($A87))))</f>
        <v/>
      </c>
      <c r="R87" s="14">
        <f>IF('Assump - LNG'!$D28="",0,IF($A87&lt;'Assump - LNG'!$D28,0,'Assump - LNG'!$C28*('Assump - LNG'!$F28+('Assump - LNG'!$G28-'Assump - LNG'!$F28)*MIN(1,((YEAR($A87)-YEAR('Assump - LNG'!$D28))*12+MONTH($A87)-MONTH('Assump - LNG'!$D28))/MAX('Assump - LNG'!$E28,1)))*INDEX('Assump - LNG'!$J$38:$J$49,MONTH($A87))))</f>
        <v/>
      </c>
      <c r="S87" s="14">
        <f>IF('Assump - LNG'!$D29="",0,IF($A87&lt;'Assump - LNG'!$D29,0,'Assump - LNG'!$C29*('Assump - LNG'!$F29+('Assump - LNG'!$G29-'Assump - LNG'!$F29)*MIN(1,((YEAR($A87)-YEAR('Assump - LNG'!$D29))*12+MONTH($A87)-MONTH('Assump - LNG'!$D29))/MAX('Assump - LNG'!$E29,1)))*INDEX('Assump - LNG'!$J$38:$J$49,MONTH($A87))))</f>
        <v/>
      </c>
      <c r="T87" s="14">
        <f>IF('Assump - LNG'!$D30="",0,IF($A87&lt;'Assump - LNG'!$D30,0,'Assump - LNG'!$C30*('Assump - LNG'!$F30+('Assump - LNG'!$G30-'Assump - LNG'!$F30)*MIN(1,((YEAR($A87)-YEAR('Assump - LNG'!$D30))*12+MONTH($A87)-MONTH('Assump - LNG'!$D30))/MAX('Assump - LNG'!$E30,1)))*INDEX('Assump - LNG'!$J$38:$J$49,MONTH($A87))))</f>
        <v/>
      </c>
      <c r="U87" s="14">
        <f>IF('Assump - LNG'!$D31="",0,IF($A87&lt;'Assump - LNG'!$D31,0,'Assump - LNG'!$C31*('Assump - LNG'!$F31+('Assump - LNG'!$G31-'Assump - LNG'!$F31)*MIN(1,((YEAR($A87)-YEAR('Assump - LNG'!$D31))*12+MONTH($A87)-MONTH('Assump - LNG'!$D31))/MAX('Assump - LNG'!$E31,1)))*INDEX('Assump - LNG'!$J$38:$J$49,MONTH($A87))))</f>
        <v/>
      </c>
      <c r="V87" s="14">
        <f>IF('Assump - LNG'!$D12="",0,IF($A87&lt;IF('Assump - LNG'!$D12&gt;='Assump - LNG'!$B$6,EDATE('Assump - LNG'!$D12,'Assump - LNG'!$B$4),'Assump - LNG'!$D12),0,'Assump - LNG'!$C12*('Assump - LNG'!$F12+('Assump - LNG'!$G12-'Assump - LNG'!$F12)*MIN(1,((YEAR($A87)-YEAR(IF('Assump - LNG'!$D12&gt;='Assump - LNG'!$B$6,EDATE('Assump - LNG'!$D12,'Assump - LNG'!$B$4),'Assump - LNG'!$D12)))*12+MONTH($A87)-MONTH(IF('Assump - LNG'!$D12&gt;='Assump - LNG'!$B$6,EDATE('Assump - LNG'!$D12,'Assump - LNG'!$B$4),'Assump - LNG'!$D12)))/MAX('Assump - LNG'!$E12,1)))*INDEX('Assump - LNG'!$J$38:$J$49,MONTH($A87))))</f>
        <v/>
      </c>
      <c r="W87" s="14">
        <f>IF('Assump - LNG'!$D13="",0,IF($A87&lt;IF('Assump - LNG'!$D13&gt;='Assump - LNG'!$B$6,EDATE('Assump - LNG'!$D13,'Assump - LNG'!$B$4),'Assump - LNG'!$D13),0,'Assump - LNG'!$C13*('Assump - LNG'!$F13+('Assump - LNG'!$G13-'Assump - LNG'!$F13)*MIN(1,((YEAR($A87)-YEAR(IF('Assump - LNG'!$D13&gt;='Assump - LNG'!$B$6,EDATE('Assump - LNG'!$D13,'Assump - LNG'!$B$4),'Assump - LNG'!$D13)))*12+MONTH($A87)-MONTH(IF('Assump - LNG'!$D13&gt;='Assump - LNG'!$B$6,EDATE('Assump - LNG'!$D13,'Assump - LNG'!$B$4),'Assump - LNG'!$D13)))/MAX('Assump - LNG'!$E13,1)))*INDEX('Assump - LNG'!$J$38:$J$49,MONTH($A87))))</f>
        <v/>
      </c>
      <c r="X87" s="14">
        <f>IF('Assump - LNG'!$D14="",0,IF($A87&lt;IF('Assump - LNG'!$D14&gt;='Assump - LNG'!$B$6,EDATE('Assump - LNG'!$D14,'Assump - LNG'!$B$4),'Assump - LNG'!$D14),0,'Assump - LNG'!$C14*('Assump - LNG'!$F14+('Assump - LNG'!$G14-'Assump - LNG'!$F14)*MIN(1,((YEAR($A87)-YEAR(IF('Assump - LNG'!$D14&gt;='Assump - LNG'!$B$6,EDATE('Assump - LNG'!$D14,'Assump - LNG'!$B$4),'Assump - LNG'!$D14)))*12+MONTH($A87)-MONTH(IF('Assump - LNG'!$D14&gt;='Assump - LNG'!$B$6,EDATE('Assump - LNG'!$D14,'Assump - LNG'!$B$4),'Assump - LNG'!$D14)))/MAX('Assump - LNG'!$E14,1)))*INDEX('Assump - LNG'!$J$38:$J$49,MONTH($A87))))</f>
        <v/>
      </c>
      <c r="Y87" s="14">
        <f>IF('Assump - LNG'!$D15="",0,IF($A87&lt;IF('Assump - LNG'!$D15&gt;='Assump - LNG'!$B$6,EDATE('Assump - LNG'!$D15,'Assump - LNG'!$B$4),'Assump - LNG'!$D15),0,'Assump - LNG'!$C15*('Assump - LNG'!$F15+('Assump - LNG'!$G15-'Assump - LNG'!$F15)*MIN(1,((YEAR($A87)-YEAR(IF('Assump - LNG'!$D15&gt;='Assump - LNG'!$B$6,EDATE('Assump - LNG'!$D15,'Assump - LNG'!$B$4),'Assump - LNG'!$D15)))*12+MONTH($A87)-MONTH(IF('Assump - LNG'!$D15&gt;='Assump - LNG'!$B$6,EDATE('Assump - LNG'!$D15,'Assump - LNG'!$B$4),'Assump - LNG'!$D15)))/MAX('Assump - LNG'!$E15,1)))*INDEX('Assump - LNG'!$J$38:$J$49,MONTH($A87))))</f>
        <v/>
      </c>
      <c r="Z87" s="14">
        <f>IF('Assump - LNG'!$D16="",0,IF($A87&lt;IF('Assump - LNG'!$D16&gt;='Assump - LNG'!$B$6,EDATE('Assump - LNG'!$D16,'Assump - LNG'!$B$4),'Assump - LNG'!$D16),0,'Assump - LNG'!$C16*('Assump - LNG'!$F16+('Assump - LNG'!$G16-'Assump - LNG'!$F16)*MIN(1,((YEAR($A87)-YEAR(IF('Assump - LNG'!$D16&gt;='Assump - LNG'!$B$6,EDATE('Assump - LNG'!$D16,'Assump - LNG'!$B$4),'Assump - LNG'!$D16)))*12+MONTH($A87)-MONTH(IF('Assump - LNG'!$D16&gt;='Assump - LNG'!$B$6,EDATE('Assump - LNG'!$D16,'Assump - LNG'!$B$4),'Assump - LNG'!$D16)))/MAX('Assump - LNG'!$E16,1)))*INDEX('Assump - LNG'!$J$38:$J$49,MONTH($A87))))</f>
        <v/>
      </c>
      <c r="AA87" s="14">
        <f>IF('Assump - LNG'!$D17="",0,IF($A87&lt;IF('Assump - LNG'!$D17&gt;='Assump - LNG'!$B$6,EDATE('Assump - LNG'!$D17,'Assump - LNG'!$B$4),'Assump - LNG'!$D17),0,'Assump - LNG'!$C17*('Assump - LNG'!$F17+('Assump - LNG'!$G17-'Assump - LNG'!$F17)*MIN(1,((YEAR($A87)-YEAR(IF('Assump - LNG'!$D17&gt;='Assump - LNG'!$B$6,EDATE('Assump - LNG'!$D17,'Assump - LNG'!$B$4),'Assump - LNG'!$D17)))*12+MONTH($A87)-MONTH(IF('Assump - LNG'!$D17&gt;='Assump - LNG'!$B$6,EDATE('Assump - LNG'!$D17,'Assump - LNG'!$B$4),'Assump - LNG'!$D17)))/MAX('Assump - LNG'!$E17,1)))*INDEX('Assump - LNG'!$J$38:$J$49,MONTH($A87))))</f>
        <v/>
      </c>
      <c r="AB87" s="14">
        <f>IF('Assump - LNG'!$D18="",0,IF($A87&lt;IF('Assump - LNG'!$D18&gt;='Assump - LNG'!$B$6,EDATE('Assump - LNG'!$D18,'Assump - LNG'!$B$4),'Assump - LNG'!$D18),0,'Assump - LNG'!$C18*('Assump - LNG'!$F18+('Assump - LNG'!$G18-'Assump - LNG'!$F18)*MIN(1,((YEAR($A87)-YEAR(IF('Assump - LNG'!$D18&gt;='Assump - LNG'!$B$6,EDATE('Assump - LNG'!$D18,'Assump - LNG'!$B$4),'Assump - LNG'!$D18)))*12+MONTH($A87)-MONTH(IF('Assump - LNG'!$D18&gt;='Assump - LNG'!$B$6,EDATE('Assump - LNG'!$D18,'Assump - LNG'!$B$4),'Assump - LNG'!$D18)))/MAX('Assump - LNG'!$E18,1)))*INDEX('Assump - LNG'!$J$38:$J$49,MONTH($A87))))</f>
        <v/>
      </c>
      <c r="AC87" s="14">
        <f>IF('Assump - LNG'!$D19="",0,IF($A87&lt;IF('Assump - LNG'!$D19&gt;='Assump - LNG'!$B$6,EDATE('Assump - LNG'!$D19,'Assump - LNG'!$B$4),'Assump - LNG'!$D19),0,'Assump - LNG'!$C19*('Assump - LNG'!$F19+('Assump - LNG'!$G19-'Assump - LNG'!$F19)*MIN(1,((YEAR($A87)-YEAR(IF('Assump - LNG'!$D19&gt;='Assump - LNG'!$B$6,EDATE('Assump - LNG'!$D19,'Assump - LNG'!$B$4),'Assump - LNG'!$D19)))*12+MONTH($A87)-MONTH(IF('Assump - LNG'!$D19&gt;='Assump - LNG'!$B$6,EDATE('Assump - LNG'!$D19,'Assump - LNG'!$B$4),'Assump - LNG'!$D19)))/MAX('Assump - LNG'!$E19,1)))*INDEX('Assump - LNG'!$J$38:$J$49,MONTH($A87))))</f>
        <v/>
      </c>
      <c r="AD87" s="14">
        <f>IF('Assump - LNG'!$D20="",0,IF($A87&lt;IF('Assump - LNG'!$D20&gt;='Assump - LNG'!$B$6,EDATE('Assump - LNG'!$D20,'Assump - LNG'!$B$4),'Assump - LNG'!$D20),0,'Assump - LNG'!$C20*('Assump - LNG'!$F20+('Assump - LNG'!$G20-'Assump - LNG'!$F20)*MIN(1,((YEAR($A87)-YEAR(IF('Assump - LNG'!$D20&gt;='Assump - LNG'!$B$6,EDATE('Assump - LNG'!$D20,'Assump - LNG'!$B$4),'Assump - LNG'!$D20)))*12+MONTH($A87)-MONTH(IF('Assump - LNG'!$D20&gt;='Assump - LNG'!$B$6,EDATE('Assump - LNG'!$D20,'Assump - LNG'!$B$4),'Assump - LNG'!$D20)))/MAX('Assump - LNG'!$E20,1)))*INDEX('Assump - LNG'!$J$38:$J$49,MONTH($A87))))</f>
        <v/>
      </c>
      <c r="AE87" s="14">
        <f>IF('Assump - LNG'!$D21="",0,IF($A87&lt;IF('Assump - LNG'!$D21&gt;='Assump - LNG'!$B$6,EDATE('Assump - LNG'!$D21,'Assump - LNG'!$B$4),'Assump - LNG'!$D21),0,'Assump - LNG'!$C21*('Assump - LNG'!$F21+('Assump - LNG'!$G21-'Assump - LNG'!$F21)*MIN(1,((YEAR($A87)-YEAR(IF('Assump - LNG'!$D21&gt;='Assump - LNG'!$B$6,EDATE('Assump - LNG'!$D21,'Assump - LNG'!$B$4),'Assump - LNG'!$D21)))*12+MONTH($A87)-MONTH(IF('Assump - LNG'!$D21&gt;='Assump - LNG'!$B$6,EDATE('Assump - LNG'!$D21,'Assump - LNG'!$B$4),'Assump - LNG'!$D21)))/MAX('Assump - LNG'!$E21,1)))*INDEX('Assump - LNG'!$J$38:$J$49,MONTH($A87))))</f>
        <v/>
      </c>
      <c r="AF87" s="14">
        <f>IF('Assump - LNG'!$D22="",0,IF($A87&lt;IF('Assump - LNG'!$D22&gt;='Assump - LNG'!$B$6,EDATE('Assump - LNG'!$D22,'Assump - LNG'!$B$4),'Assump - LNG'!$D22),0,'Assump - LNG'!$C22*('Assump - LNG'!$F22+('Assump - LNG'!$G22-'Assump - LNG'!$F22)*MIN(1,((YEAR($A87)-YEAR(IF('Assump - LNG'!$D22&gt;='Assump - LNG'!$B$6,EDATE('Assump - LNG'!$D22,'Assump - LNG'!$B$4),'Assump - LNG'!$D22)))*12+MONTH($A87)-MONTH(IF('Assump - LNG'!$D22&gt;='Assump - LNG'!$B$6,EDATE('Assump - LNG'!$D22,'Assump - LNG'!$B$4),'Assump - LNG'!$D22)))/MAX('Assump - LNG'!$E22,1)))*INDEX('Assump - LNG'!$J$38:$J$49,MONTH($A87))))</f>
        <v/>
      </c>
      <c r="AG87" s="14">
        <f>IF('Assump - LNG'!$D23="",0,IF($A87&lt;IF('Assump - LNG'!$D23&gt;='Assump - LNG'!$B$6,EDATE('Assump - LNG'!$D23,'Assump - LNG'!$B$4),'Assump - LNG'!$D23),0,'Assump - LNG'!$C23*('Assump - LNG'!$F23+('Assump - LNG'!$G23-'Assump - LNG'!$F23)*MIN(1,((YEAR($A87)-YEAR(IF('Assump - LNG'!$D23&gt;='Assump - LNG'!$B$6,EDATE('Assump - LNG'!$D23,'Assump - LNG'!$B$4),'Assump - LNG'!$D23)))*12+MONTH($A87)-MONTH(IF('Assump - LNG'!$D23&gt;='Assump - LNG'!$B$6,EDATE('Assump - LNG'!$D23,'Assump - LNG'!$B$4),'Assump - LNG'!$D23)))/MAX('Assump - LNG'!$E23,1)))*INDEX('Assump - LNG'!$J$38:$J$49,MONTH($A87))))</f>
        <v/>
      </c>
      <c r="AH87" s="14">
        <f>IF('Assump - LNG'!$D24="",0,IF($A87&lt;IF('Assump - LNG'!$D24&gt;='Assump - LNG'!$B$6,EDATE('Assump - LNG'!$D24,'Assump - LNG'!$B$4),'Assump - LNG'!$D24),0,'Assump - LNG'!$C24*('Assump - LNG'!$F24+('Assump - LNG'!$G24-'Assump - LNG'!$F24)*MIN(1,((YEAR($A87)-YEAR(IF('Assump - LNG'!$D24&gt;='Assump - LNG'!$B$6,EDATE('Assump - LNG'!$D24,'Assump - LNG'!$B$4),'Assump - LNG'!$D24)))*12+MONTH($A87)-MONTH(IF('Assump - LNG'!$D24&gt;='Assump - LNG'!$B$6,EDATE('Assump - LNG'!$D24,'Assump - LNG'!$B$4),'Assump - LNG'!$D24)))/MAX('Assump - LNG'!$E24,1)))*INDEX('Assump - LNG'!$J$38:$J$49,MONTH($A87))))</f>
        <v/>
      </c>
      <c r="AI87" s="14">
        <f>IF('Assump - LNG'!$D25="",0,IF($A87&lt;IF('Assump - LNG'!$D25&gt;='Assump - LNG'!$B$6,EDATE('Assump - LNG'!$D25,'Assump - LNG'!$B$4),'Assump - LNG'!$D25),0,'Assump - LNG'!$C25*('Assump - LNG'!$F25+('Assump - LNG'!$G25-'Assump - LNG'!$F25)*MIN(1,((YEAR($A87)-YEAR(IF('Assump - LNG'!$D25&gt;='Assump - LNG'!$B$6,EDATE('Assump - LNG'!$D25,'Assump - LNG'!$B$4),'Assump - LNG'!$D25)))*12+MONTH($A87)-MONTH(IF('Assump - LNG'!$D25&gt;='Assump - LNG'!$B$6,EDATE('Assump - LNG'!$D25,'Assump - LNG'!$B$4),'Assump - LNG'!$D25)))/MAX('Assump - LNG'!$E25,1)))*INDEX('Assump - LNG'!$J$38:$J$49,MONTH($A87))))</f>
        <v/>
      </c>
      <c r="AJ87" s="14">
        <f>IF('Assump - LNG'!$D26="",0,IF($A87&lt;IF('Assump - LNG'!$D26&gt;='Assump - LNG'!$B$6,EDATE('Assump - LNG'!$D26,'Assump - LNG'!$B$4),'Assump - LNG'!$D26),0,'Assump - LNG'!$C26*('Assump - LNG'!$F26+('Assump - LNG'!$G26-'Assump - LNG'!$F26)*MIN(1,((YEAR($A87)-YEAR(IF('Assump - LNG'!$D26&gt;='Assump - LNG'!$B$6,EDATE('Assump - LNG'!$D26,'Assump - LNG'!$B$4),'Assump - LNG'!$D26)))*12+MONTH($A87)-MONTH(IF('Assump - LNG'!$D26&gt;='Assump - LNG'!$B$6,EDATE('Assump - LNG'!$D26,'Assump - LNG'!$B$4),'Assump - LNG'!$D26)))/MAX('Assump - LNG'!$E26,1)))*INDEX('Assump - LNG'!$J$38:$J$49,MONTH($A87))))</f>
        <v/>
      </c>
      <c r="AK87" s="14">
        <f>IF('Assump - LNG'!$D27="",0,IF($A87&lt;IF('Assump - LNG'!$D27&gt;='Assump - LNG'!$B$6,EDATE('Assump - LNG'!$D27,'Assump - LNG'!$B$4),'Assump - LNG'!$D27),0,'Assump - LNG'!$C27*('Assump - LNG'!$F27+('Assump - LNG'!$G27-'Assump - LNG'!$F27)*MIN(1,((YEAR($A87)-YEAR(IF('Assump - LNG'!$D27&gt;='Assump - LNG'!$B$6,EDATE('Assump - LNG'!$D27,'Assump - LNG'!$B$4),'Assump - LNG'!$D27)))*12+MONTH($A87)-MONTH(IF('Assump - LNG'!$D27&gt;='Assump - LNG'!$B$6,EDATE('Assump - LNG'!$D27,'Assump - LNG'!$B$4),'Assump - LNG'!$D27)))/MAX('Assump - LNG'!$E27,1)))*INDEX('Assump - LNG'!$J$38:$J$49,MONTH($A87))))</f>
        <v/>
      </c>
      <c r="AL87" s="14">
        <f>IF('Assump - LNG'!$D28="",0,IF($A87&lt;IF('Assump - LNG'!$D28&gt;='Assump - LNG'!$B$6,EDATE('Assump - LNG'!$D28,'Assump - LNG'!$B$4),'Assump - LNG'!$D28),0,'Assump - LNG'!$C28*('Assump - LNG'!$F28+('Assump - LNG'!$G28-'Assump - LNG'!$F28)*MIN(1,((YEAR($A87)-YEAR(IF('Assump - LNG'!$D28&gt;='Assump - LNG'!$B$6,EDATE('Assump - LNG'!$D28,'Assump - LNG'!$B$4),'Assump - LNG'!$D28)))*12+MONTH($A87)-MONTH(IF('Assump - LNG'!$D28&gt;='Assump - LNG'!$B$6,EDATE('Assump - LNG'!$D28,'Assump - LNG'!$B$4),'Assump - LNG'!$D28)))/MAX('Assump - LNG'!$E28,1)))*INDEX('Assump - LNG'!$J$38:$J$49,MONTH($A87))))</f>
        <v/>
      </c>
      <c r="AM87" s="14">
        <f>IF('Assump - LNG'!$D29="",0,IF($A87&lt;IF('Assump - LNG'!$D29&gt;='Assump - LNG'!$B$6,EDATE('Assump - LNG'!$D29,'Assump - LNG'!$B$4),'Assump - LNG'!$D29),0,'Assump - LNG'!$C29*('Assump - LNG'!$F29+('Assump - LNG'!$G29-'Assump - LNG'!$F29)*MIN(1,((YEAR($A87)-YEAR(IF('Assump - LNG'!$D29&gt;='Assump - LNG'!$B$6,EDATE('Assump - LNG'!$D29,'Assump - LNG'!$B$4),'Assump - LNG'!$D29)))*12+MONTH($A87)-MONTH(IF('Assump - LNG'!$D29&gt;='Assump - LNG'!$B$6,EDATE('Assump - LNG'!$D29,'Assump - LNG'!$B$4),'Assump - LNG'!$D29)))/MAX('Assump - LNG'!$E29,1)))*INDEX('Assump - LNG'!$J$38:$J$49,MONTH($A87))))</f>
        <v/>
      </c>
      <c r="AN87" s="14">
        <f>IF('Assump - LNG'!$D30="",0,IF($A87&lt;IF('Assump - LNG'!$D30&gt;='Assump - LNG'!$B$6,EDATE('Assump - LNG'!$D30,'Assump - LNG'!$B$4),'Assump - LNG'!$D30),0,'Assump - LNG'!$C30*('Assump - LNG'!$F30+('Assump - LNG'!$G30-'Assump - LNG'!$F30)*MIN(1,((YEAR($A87)-YEAR(IF('Assump - LNG'!$D30&gt;='Assump - LNG'!$B$6,EDATE('Assump - LNG'!$D30,'Assump - LNG'!$B$4),'Assump - LNG'!$D30)))*12+MONTH($A87)-MONTH(IF('Assump - LNG'!$D30&gt;='Assump - LNG'!$B$6,EDATE('Assump - LNG'!$D30,'Assump - LNG'!$B$4),'Assump - LNG'!$D30)))/MAX('Assump - LNG'!$E30,1)))*INDEX('Assump - LNG'!$J$38:$J$49,MONTH($A87))))</f>
        <v/>
      </c>
      <c r="AO87" s="14">
        <f>IF('Assump - LNG'!$D31="",0,IF($A87&lt;IF('Assump - LNG'!$D31&gt;='Assump - LNG'!$B$6,EDATE('Assump - LNG'!$D31,'Assump - LNG'!$B$4),'Assump - LNG'!$D31),0,'Assump - LNG'!$C31*('Assump - LNG'!$F31+('Assump - LNG'!$G31-'Assump - LNG'!$F31)*MIN(1,((YEAR($A87)-YEAR(IF('Assump - LNG'!$D31&gt;='Assump - LNG'!$B$6,EDATE('Assump - LNG'!$D31,'Assump - LNG'!$B$4),'Assump - LNG'!$D31)))*12+MONTH($A87)-MONTH(IF('Assump - LNG'!$D31&gt;='Assump - LNG'!$B$6,EDATE('Assump - LNG'!$D31,'Assump - LNG'!$B$4),'Assump - LNG'!$D31)))/MAX('Assump - LNG'!$E31,1)))*INDEX('Assump - LNG'!$J$38:$J$49,MONTH($A87))))</f>
        <v/>
      </c>
    </row>
    <row r="88">
      <c r="A88" s="12" t="n">
        <v>46692</v>
      </c>
      <c r="B88" s="14">
        <f>IF('Assump - LNG'!$D12="",0,IF($A88&lt;'Assump - LNG'!$D12,0,'Assump - LNG'!$C12*('Assump - LNG'!$F12+('Assump - LNG'!$G12-'Assump - LNG'!$F12)*MIN(1,((YEAR($A88)-YEAR('Assump - LNG'!$D12))*12+MONTH($A88)-MONTH('Assump - LNG'!$D12))/MAX('Assump - LNG'!$E12,1)))*INDEX('Assump - LNG'!$J$38:$J$49,MONTH($A88))))</f>
        <v/>
      </c>
      <c r="C88" s="14">
        <f>IF('Assump - LNG'!$D13="",0,IF($A88&lt;'Assump - LNG'!$D13,0,'Assump - LNG'!$C13*('Assump - LNG'!$F13+('Assump - LNG'!$G13-'Assump - LNG'!$F13)*MIN(1,((YEAR($A88)-YEAR('Assump - LNG'!$D13))*12+MONTH($A88)-MONTH('Assump - LNG'!$D13))/MAX('Assump - LNG'!$E13,1)))*INDEX('Assump - LNG'!$J$38:$J$49,MONTH($A88))))</f>
        <v/>
      </c>
      <c r="D88" s="14">
        <f>IF('Assump - LNG'!$D14="",0,IF($A88&lt;'Assump - LNG'!$D14,0,'Assump - LNG'!$C14*('Assump - LNG'!$F14+('Assump - LNG'!$G14-'Assump - LNG'!$F14)*MIN(1,((YEAR($A88)-YEAR('Assump - LNG'!$D14))*12+MONTH($A88)-MONTH('Assump - LNG'!$D14))/MAX('Assump - LNG'!$E14,1)))*INDEX('Assump - LNG'!$J$38:$J$49,MONTH($A88))))</f>
        <v/>
      </c>
      <c r="E88" s="14">
        <f>IF('Assump - LNG'!$D15="",0,IF($A88&lt;'Assump - LNG'!$D15,0,'Assump - LNG'!$C15*('Assump - LNG'!$F15+('Assump - LNG'!$G15-'Assump - LNG'!$F15)*MIN(1,((YEAR($A88)-YEAR('Assump - LNG'!$D15))*12+MONTH($A88)-MONTH('Assump - LNG'!$D15))/MAX('Assump - LNG'!$E15,1)))*INDEX('Assump - LNG'!$J$38:$J$49,MONTH($A88))))</f>
        <v/>
      </c>
      <c r="F88" s="14">
        <f>IF('Assump - LNG'!$D16="",0,IF($A88&lt;'Assump - LNG'!$D16,0,'Assump - LNG'!$C16*('Assump - LNG'!$F16+('Assump - LNG'!$G16-'Assump - LNG'!$F16)*MIN(1,((YEAR($A88)-YEAR('Assump - LNG'!$D16))*12+MONTH($A88)-MONTH('Assump - LNG'!$D16))/MAX('Assump - LNG'!$E16,1)))*INDEX('Assump - LNG'!$J$38:$J$49,MONTH($A88))))</f>
        <v/>
      </c>
      <c r="G88" s="14">
        <f>IF('Assump - LNG'!$D17="",0,IF($A88&lt;'Assump - LNG'!$D17,0,'Assump - LNG'!$C17*('Assump - LNG'!$F17+('Assump - LNG'!$G17-'Assump - LNG'!$F17)*MIN(1,((YEAR($A88)-YEAR('Assump - LNG'!$D17))*12+MONTH($A88)-MONTH('Assump - LNG'!$D17))/MAX('Assump - LNG'!$E17,1)))*INDEX('Assump - LNG'!$J$38:$J$49,MONTH($A88))))</f>
        <v/>
      </c>
      <c r="H88" s="14">
        <f>IF('Assump - LNG'!$D18="",0,IF($A88&lt;'Assump - LNG'!$D18,0,'Assump - LNG'!$C18*('Assump - LNG'!$F18+('Assump - LNG'!$G18-'Assump - LNG'!$F18)*MIN(1,((YEAR($A88)-YEAR('Assump - LNG'!$D18))*12+MONTH($A88)-MONTH('Assump - LNG'!$D18))/MAX('Assump - LNG'!$E18,1)))*INDEX('Assump - LNG'!$J$38:$J$49,MONTH($A88))))</f>
        <v/>
      </c>
      <c r="I88" s="14">
        <f>IF('Assump - LNG'!$D19="",0,IF($A88&lt;'Assump - LNG'!$D19,0,'Assump - LNG'!$C19*('Assump - LNG'!$F19+('Assump - LNG'!$G19-'Assump - LNG'!$F19)*MIN(1,((YEAR($A88)-YEAR('Assump - LNG'!$D19))*12+MONTH($A88)-MONTH('Assump - LNG'!$D19))/MAX('Assump - LNG'!$E19,1)))*INDEX('Assump - LNG'!$J$38:$J$49,MONTH($A88))))</f>
        <v/>
      </c>
      <c r="J88" s="14">
        <f>IF('Assump - LNG'!$D20="",0,IF($A88&lt;'Assump - LNG'!$D20,0,'Assump - LNG'!$C20*('Assump - LNG'!$F20+('Assump - LNG'!$G20-'Assump - LNG'!$F20)*MIN(1,((YEAR($A88)-YEAR('Assump - LNG'!$D20))*12+MONTH($A88)-MONTH('Assump - LNG'!$D20))/MAX('Assump - LNG'!$E20,1)))*INDEX('Assump - LNG'!$J$38:$J$49,MONTH($A88))))</f>
        <v/>
      </c>
      <c r="K88" s="14">
        <f>IF('Assump - LNG'!$D21="",0,IF($A88&lt;'Assump - LNG'!$D21,0,'Assump - LNG'!$C21*('Assump - LNG'!$F21+('Assump - LNG'!$G21-'Assump - LNG'!$F21)*MIN(1,((YEAR($A88)-YEAR('Assump - LNG'!$D21))*12+MONTH($A88)-MONTH('Assump - LNG'!$D21))/MAX('Assump - LNG'!$E21,1)))*INDEX('Assump - LNG'!$J$38:$J$49,MONTH($A88))))</f>
        <v/>
      </c>
      <c r="L88" s="14">
        <f>IF('Assump - LNG'!$D22="",0,IF($A88&lt;'Assump - LNG'!$D22,0,'Assump - LNG'!$C22*('Assump - LNG'!$F22+('Assump - LNG'!$G22-'Assump - LNG'!$F22)*MIN(1,((YEAR($A88)-YEAR('Assump - LNG'!$D22))*12+MONTH($A88)-MONTH('Assump - LNG'!$D22))/MAX('Assump - LNG'!$E22,1)))*INDEX('Assump - LNG'!$J$38:$J$49,MONTH($A88))))</f>
        <v/>
      </c>
      <c r="M88" s="14">
        <f>IF('Assump - LNG'!$D23="",0,IF($A88&lt;'Assump - LNG'!$D23,0,'Assump - LNG'!$C23*('Assump - LNG'!$F23+('Assump - LNG'!$G23-'Assump - LNG'!$F23)*MIN(1,((YEAR($A88)-YEAR('Assump - LNG'!$D23))*12+MONTH($A88)-MONTH('Assump - LNG'!$D23))/MAX('Assump - LNG'!$E23,1)))*INDEX('Assump - LNG'!$J$38:$J$49,MONTH($A88))))</f>
        <v/>
      </c>
      <c r="N88" s="14">
        <f>IF('Assump - LNG'!$D24="",0,IF($A88&lt;'Assump - LNG'!$D24,0,'Assump - LNG'!$C24*('Assump - LNG'!$F24+('Assump - LNG'!$G24-'Assump - LNG'!$F24)*MIN(1,((YEAR($A88)-YEAR('Assump - LNG'!$D24))*12+MONTH($A88)-MONTH('Assump - LNG'!$D24))/MAX('Assump - LNG'!$E24,1)))*INDEX('Assump - LNG'!$J$38:$J$49,MONTH($A88))))</f>
        <v/>
      </c>
      <c r="O88" s="14">
        <f>IF('Assump - LNG'!$D25="",0,IF($A88&lt;'Assump - LNG'!$D25,0,'Assump - LNG'!$C25*('Assump - LNG'!$F25+('Assump - LNG'!$G25-'Assump - LNG'!$F25)*MIN(1,((YEAR($A88)-YEAR('Assump - LNG'!$D25))*12+MONTH($A88)-MONTH('Assump - LNG'!$D25))/MAX('Assump - LNG'!$E25,1)))*INDEX('Assump - LNG'!$J$38:$J$49,MONTH($A88))))</f>
        <v/>
      </c>
      <c r="P88" s="14">
        <f>IF('Assump - LNG'!$D26="",0,IF($A88&lt;'Assump - LNG'!$D26,0,'Assump - LNG'!$C26*('Assump - LNG'!$F26+('Assump - LNG'!$G26-'Assump - LNG'!$F26)*MIN(1,((YEAR($A88)-YEAR('Assump - LNG'!$D26))*12+MONTH($A88)-MONTH('Assump - LNG'!$D26))/MAX('Assump - LNG'!$E26,1)))*INDEX('Assump - LNG'!$J$38:$J$49,MONTH($A88))))</f>
        <v/>
      </c>
      <c r="Q88" s="14">
        <f>IF('Assump - LNG'!$D27="",0,IF($A88&lt;'Assump - LNG'!$D27,0,'Assump - LNG'!$C27*('Assump - LNG'!$F27+('Assump - LNG'!$G27-'Assump - LNG'!$F27)*MIN(1,((YEAR($A88)-YEAR('Assump - LNG'!$D27))*12+MONTH($A88)-MONTH('Assump - LNG'!$D27))/MAX('Assump - LNG'!$E27,1)))*INDEX('Assump - LNG'!$J$38:$J$49,MONTH($A88))))</f>
        <v/>
      </c>
      <c r="R88" s="14">
        <f>IF('Assump - LNG'!$D28="",0,IF($A88&lt;'Assump - LNG'!$D28,0,'Assump - LNG'!$C28*('Assump - LNG'!$F28+('Assump - LNG'!$G28-'Assump - LNG'!$F28)*MIN(1,((YEAR($A88)-YEAR('Assump - LNG'!$D28))*12+MONTH($A88)-MONTH('Assump - LNG'!$D28))/MAX('Assump - LNG'!$E28,1)))*INDEX('Assump - LNG'!$J$38:$J$49,MONTH($A88))))</f>
        <v/>
      </c>
      <c r="S88" s="14">
        <f>IF('Assump - LNG'!$D29="",0,IF($A88&lt;'Assump - LNG'!$D29,0,'Assump - LNG'!$C29*('Assump - LNG'!$F29+('Assump - LNG'!$G29-'Assump - LNG'!$F29)*MIN(1,((YEAR($A88)-YEAR('Assump - LNG'!$D29))*12+MONTH($A88)-MONTH('Assump - LNG'!$D29))/MAX('Assump - LNG'!$E29,1)))*INDEX('Assump - LNG'!$J$38:$J$49,MONTH($A88))))</f>
        <v/>
      </c>
      <c r="T88" s="14">
        <f>IF('Assump - LNG'!$D30="",0,IF($A88&lt;'Assump - LNG'!$D30,0,'Assump - LNG'!$C30*('Assump - LNG'!$F30+('Assump - LNG'!$G30-'Assump - LNG'!$F30)*MIN(1,((YEAR($A88)-YEAR('Assump - LNG'!$D30))*12+MONTH($A88)-MONTH('Assump - LNG'!$D30))/MAX('Assump - LNG'!$E30,1)))*INDEX('Assump - LNG'!$J$38:$J$49,MONTH($A88))))</f>
        <v/>
      </c>
      <c r="U88" s="14">
        <f>IF('Assump - LNG'!$D31="",0,IF($A88&lt;'Assump - LNG'!$D31,0,'Assump - LNG'!$C31*('Assump - LNG'!$F31+('Assump - LNG'!$G31-'Assump - LNG'!$F31)*MIN(1,((YEAR($A88)-YEAR('Assump - LNG'!$D31))*12+MONTH($A88)-MONTH('Assump - LNG'!$D31))/MAX('Assump - LNG'!$E31,1)))*INDEX('Assump - LNG'!$J$38:$J$49,MONTH($A88))))</f>
        <v/>
      </c>
      <c r="V88" s="14">
        <f>IF('Assump - LNG'!$D12="",0,IF($A88&lt;IF('Assump - LNG'!$D12&gt;='Assump - LNG'!$B$6,EDATE('Assump - LNG'!$D12,'Assump - LNG'!$B$4),'Assump - LNG'!$D12),0,'Assump - LNG'!$C12*('Assump - LNG'!$F12+('Assump - LNG'!$G12-'Assump - LNG'!$F12)*MIN(1,((YEAR($A88)-YEAR(IF('Assump - LNG'!$D12&gt;='Assump - LNG'!$B$6,EDATE('Assump - LNG'!$D12,'Assump - LNG'!$B$4),'Assump - LNG'!$D12)))*12+MONTH($A88)-MONTH(IF('Assump - LNG'!$D12&gt;='Assump - LNG'!$B$6,EDATE('Assump - LNG'!$D12,'Assump - LNG'!$B$4),'Assump - LNG'!$D12)))/MAX('Assump - LNG'!$E12,1)))*INDEX('Assump - LNG'!$J$38:$J$49,MONTH($A88))))</f>
        <v/>
      </c>
      <c r="W88" s="14">
        <f>IF('Assump - LNG'!$D13="",0,IF($A88&lt;IF('Assump - LNG'!$D13&gt;='Assump - LNG'!$B$6,EDATE('Assump - LNG'!$D13,'Assump - LNG'!$B$4),'Assump - LNG'!$D13),0,'Assump - LNG'!$C13*('Assump - LNG'!$F13+('Assump - LNG'!$G13-'Assump - LNG'!$F13)*MIN(1,((YEAR($A88)-YEAR(IF('Assump - LNG'!$D13&gt;='Assump - LNG'!$B$6,EDATE('Assump - LNG'!$D13,'Assump - LNG'!$B$4),'Assump - LNG'!$D13)))*12+MONTH($A88)-MONTH(IF('Assump - LNG'!$D13&gt;='Assump - LNG'!$B$6,EDATE('Assump - LNG'!$D13,'Assump - LNG'!$B$4),'Assump - LNG'!$D13)))/MAX('Assump - LNG'!$E13,1)))*INDEX('Assump - LNG'!$J$38:$J$49,MONTH($A88))))</f>
        <v/>
      </c>
      <c r="X88" s="14">
        <f>IF('Assump - LNG'!$D14="",0,IF($A88&lt;IF('Assump - LNG'!$D14&gt;='Assump - LNG'!$B$6,EDATE('Assump - LNG'!$D14,'Assump - LNG'!$B$4),'Assump - LNG'!$D14),0,'Assump - LNG'!$C14*('Assump - LNG'!$F14+('Assump - LNG'!$G14-'Assump - LNG'!$F14)*MIN(1,((YEAR($A88)-YEAR(IF('Assump - LNG'!$D14&gt;='Assump - LNG'!$B$6,EDATE('Assump - LNG'!$D14,'Assump - LNG'!$B$4),'Assump - LNG'!$D14)))*12+MONTH($A88)-MONTH(IF('Assump - LNG'!$D14&gt;='Assump - LNG'!$B$6,EDATE('Assump - LNG'!$D14,'Assump - LNG'!$B$4),'Assump - LNG'!$D14)))/MAX('Assump - LNG'!$E14,1)))*INDEX('Assump - LNG'!$J$38:$J$49,MONTH($A88))))</f>
        <v/>
      </c>
      <c r="Y88" s="14">
        <f>IF('Assump - LNG'!$D15="",0,IF($A88&lt;IF('Assump - LNG'!$D15&gt;='Assump - LNG'!$B$6,EDATE('Assump - LNG'!$D15,'Assump - LNG'!$B$4),'Assump - LNG'!$D15),0,'Assump - LNG'!$C15*('Assump - LNG'!$F15+('Assump - LNG'!$G15-'Assump - LNG'!$F15)*MIN(1,((YEAR($A88)-YEAR(IF('Assump - LNG'!$D15&gt;='Assump - LNG'!$B$6,EDATE('Assump - LNG'!$D15,'Assump - LNG'!$B$4),'Assump - LNG'!$D15)))*12+MONTH($A88)-MONTH(IF('Assump - LNG'!$D15&gt;='Assump - LNG'!$B$6,EDATE('Assump - LNG'!$D15,'Assump - LNG'!$B$4),'Assump - LNG'!$D15)))/MAX('Assump - LNG'!$E15,1)))*INDEX('Assump - LNG'!$J$38:$J$49,MONTH($A88))))</f>
        <v/>
      </c>
      <c r="Z88" s="14">
        <f>IF('Assump - LNG'!$D16="",0,IF($A88&lt;IF('Assump - LNG'!$D16&gt;='Assump - LNG'!$B$6,EDATE('Assump - LNG'!$D16,'Assump - LNG'!$B$4),'Assump - LNG'!$D16),0,'Assump - LNG'!$C16*('Assump - LNG'!$F16+('Assump - LNG'!$G16-'Assump - LNG'!$F16)*MIN(1,((YEAR($A88)-YEAR(IF('Assump - LNG'!$D16&gt;='Assump - LNG'!$B$6,EDATE('Assump - LNG'!$D16,'Assump - LNG'!$B$4),'Assump - LNG'!$D16)))*12+MONTH($A88)-MONTH(IF('Assump - LNG'!$D16&gt;='Assump - LNG'!$B$6,EDATE('Assump - LNG'!$D16,'Assump - LNG'!$B$4),'Assump - LNG'!$D16)))/MAX('Assump - LNG'!$E16,1)))*INDEX('Assump - LNG'!$J$38:$J$49,MONTH($A88))))</f>
        <v/>
      </c>
      <c r="AA88" s="14">
        <f>IF('Assump - LNG'!$D17="",0,IF($A88&lt;IF('Assump - LNG'!$D17&gt;='Assump - LNG'!$B$6,EDATE('Assump - LNG'!$D17,'Assump - LNG'!$B$4),'Assump - LNG'!$D17),0,'Assump - LNG'!$C17*('Assump - LNG'!$F17+('Assump - LNG'!$G17-'Assump - LNG'!$F17)*MIN(1,((YEAR($A88)-YEAR(IF('Assump - LNG'!$D17&gt;='Assump - LNG'!$B$6,EDATE('Assump - LNG'!$D17,'Assump - LNG'!$B$4),'Assump - LNG'!$D17)))*12+MONTH($A88)-MONTH(IF('Assump - LNG'!$D17&gt;='Assump - LNG'!$B$6,EDATE('Assump - LNG'!$D17,'Assump - LNG'!$B$4),'Assump - LNG'!$D17)))/MAX('Assump - LNG'!$E17,1)))*INDEX('Assump - LNG'!$J$38:$J$49,MONTH($A88))))</f>
        <v/>
      </c>
      <c r="AB88" s="14">
        <f>IF('Assump - LNG'!$D18="",0,IF($A88&lt;IF('Assump - LNG'!$D18&gt;='Assump - LNG'!$B$6,EDATE('Assump - LNG'!$D18,'Assump - LNG'!$B$4),'Assump - LNG'!$D18),0,'Assump - LNG'!$C18*('Assump - LNG'!$F18+('Assump - LNG'!$G18-'Assump - LNG'!$F18)*MIN(1,((YEAR($A88)-YEAR(IF('Assump - LNG'!$D18&gt;='Assump - LNG'!$B$6,EDATE('Assump - LNG'!$D18,'Assump - LNG'!$B$4),'Assump - LNG'!$D18)))*12+MONTH($A88)-MONTH(IF('Assump - LNG'!$D18&gt;='Assump - LNG'!$B$6,EDATE('Assump - LNG'!$D18,'Assump - LNG'!$B$4),'Assump - LNG'!$D18)))/MAX('Assump - LNG'!$E18,1)))*INDEX('Assump - LNG'!$J$38:$J$49,MONTH($A88))))</f>
        <v/>
      </c>
      <c r="AC88" s="14">
        <f>IF('Assump - LNG'!$D19="",0,IF($A88&lt;IF('Assump - LNG'!$D19&gt;='Assump - LNG'!$B$6,EDATE('Assump - LNG'!$D19,'Assump - LNG'!$B$4),'Assump - LNG'!$D19),0,'Assump - LNG'!$C19*('Assump - LNG'!$F19+('Assump - LNG'!$G19-'Assump - LNG'!$F19)*MIN(1,((YEAR($A88)-YEAR(IF('Assump - LNG'!$D19&gt;='Assump - LNG'!$B$6,EDATE('Assump - LNG'!$D19,'Assump - LNG'!$B$4),'Assump - LNG'!$D19)))*12+MONTH($A88)-MONTH(IF('Assump - LNG'!$D19&gt;='Assump - LNG'!$B$6,EDATE('Assump - LNG'!$D19,'Assump - LNG'!$B$4),'Assump - LNG'!$D19)))/MAX('Assump - LNG'!$E19,1)))*INDEX('Assump - LNG'!$J$38:$J$49,MONTH($A88))))</f>
        <v/>
      </c>
      <c r="AD88" s="14">
        <f>IF('Assump - LNG'!$D20="",0,IF($A88&lt;IF('Assump - LNG'!$D20&gt;='Assump - LNG'!$B$6,EDATE('Assump - LNG'!$D20,'Assump - LNG'!$B$4),'Assump - LNG'!$D20),0,'Assump - LNG'!$C20*('Assump - LNG'!$F20+('Assump - LNG'!$G20-'Assump - LNG'!$F20)*MIN(1,((YEAR($A88)-YEAR(IF('Assump - LNG'!$D20&gt;='Assump - LNG'!$B$6,EDATE('Assump - LNG'!$D20,'Assump - LNG'!$B$4),'Assump - LNG'!$D20)))*12+MONTH($A88)-MONTH(IF('Assump - LNG'!$D20&gt;='Assump - LNG'!$B$6,EDATE('Assump - LNG'!$D20,'Assump - LNG'!$B$4),'Assump - LNG'!$D20)))/MAX('Assump - LNG'!$E20,1)))*INDEX('Assump - LNG'!$J$38:$J$49,MONTH($A88))))</f>
        <v/>
      </c>
      <c r="AE88" s="14">
        <f>IF('Assump - LNG'!$D21="",0,IF($A88&lt;IF('Assump - LNG'!$D21&gt;='Assump - LNG'!$B$6,EDATE('Assump - LNG'!$D21,'Assump - LNG'!$B$4),'Assump - LNG'!$D21),0,'Assump - LNG'!$C21*('Assump - LNG'!$F21+('Assump - LNG'!$G21-'Assump - LNG'!$F21)*MIN(1,((YEAR($A88)-YEAR(IF('Assump - LNG'!$D21&gt;='Assump - LNG'!$B$6,EDATE('Assump - LNG'!$D21,'Assump - LNG'!$B$4),'Assump - LNG'!$D21)))*12+MONTH($A88)-MONTH(IF('Assump - LNG'!$D21&gt;='Assump - LNG'!$B$6,EDATE('Assump - LNG'!$D21,'Assump - LNG'!$B$4),'Assump - LNG'!$D21)))/MAX('Assump - LNG'!$E21,1)))*INDEX('Assump - LNG'!$J$38:$J$49,MONTH($A88))))</f>
        <v/>
      </c>
      <c r="AF88" s="14">
        <f>IF('Assump - LNG'!$D22="",0,IF($A88&lt;IF('Assump - LNG'!$D22&gt;='Assump - LNG'!$B$6,EDATE('Assump - LNG'!$D22,'Assump - LNG'!$B$4),'Assump - LNG'!$D22),0,'Assump - LNG'!$C22*('Assump - LNG'!$F22+('Assump - LNG'!$G22-'Assump - LNG'!$F22)*MIN(1,((YEAR($A88)-YEAR(IF('Assump - LNG'!$D22&gt;='Assump - LNG'!$B$6,EDATE('Assump - LNG'!$D22,'Assump - LNG'!$B$4),'Assump - LNG'!$D22)))*12+MONTH($A88)-MONTH(IF('Assump - LNG'!$D22&gt;='Assump - LNG'!$B$6,EDATE('Assump - LNG'!$D22,'Assump - LNG'!$B$4),'Assump - LNG'!$D22)))/MAX('Assump - LNG'!$E22,1)))*INDEX('Assump - LNG'!$J$38:$J$49,MONTH($A88))))</f>
        <v/>
      </c>
      <c r="AG88" s="14">
        <f>IF('Assump - LNG'!$D23="",0,IF($A88&lt;IF('Assump - LNG'!$D23&gt;='Assump - LNG'!$B$6,EDATE('Assump - LNG'!$D23,'Assump - LNG'!$B$4),'Assump - LNG'!$D23),0,'Assump - LNG'!$C23*('Assump - LNG'!$F23+('Assump - LNG'!$G23-'Assump - LNG'!$F23)*MIN(1,((YEAR($A88)-YEAR(IF('Assump - LNG'!$D23&gt;='Assump - LNG'!$B$6,EDATE('Assump - LNG'!$D23,'Assump - LNG'!$B$4),'Assump - LNG'!$D23)))*12+MONTH($A88)-MONTH(IF('Assump - LNG'!$D23&gt;='Assump - LNG'!$B$6,EDATE('Assump - LNG'!$D23,'Assump - LNG'!$B$4),'Assump - LNG'!$D23)))/MAX('Assump - LNG'!$E23,1)))*INDEX('Assump - LNG'!$J$38:$J$49,MONTH($A88))))</f>
        <v/>
      </c>
      <c r="AH88" s="14">
        <f>IF('Assump - LNG'!$D24="",0,IF($A88&lt;IF('Assump - LNG'!$D24&gt;='Assump - LNG'!$B$6,EDATE('Assump - LNG'!$D24,'Assump - LNG'!$B$4),'Assump - LNG'!$D24),0,'Assump - LNG'!$C24*('Assump - LNG'!$F24+('Assump - LNG'!$G24-'Assump - LNG'!$F24)*MIN(1,((YEAR($A88)-YEAR(IF('Assump - LNG'!$D24&gt;='Assump - LNG'!$B$6,EDATE('Assump - LNG'!$D24,'Assump - LNG'!$B$4),'Assump - LNG'!$D24)))*12+MONTH($A88)-MONTH(IF('Assump - LNG'!$D24&gt;='Assump - LNG'!$B$6,EDATE('Assump - LNG'!$D24,'Assump - LNG'!$B$4),'Assump - LNG'!$D24)))/MAX('Assump - LNG'!$E24,1)))*INDEX('Assump - LNG'!$J$38:$J$49,MONTH($A88))))</f>
        <v/>
      </c>
      <c r="AI88" s="14">
        <f>IF('Assump - LNG'!$D25="",0,IF($A88&lt;IF('Assump - LNG'!$D25&gt;='Assump - LNG'!$B$6,EDATE('Assump - LNG'!$D25,'Assump - LNG'!$B$4),'Assump - LNG'!$D25),0,'Assump - LNG'!$C25*('Assump - LNG'!$F25+('Assump - LNG'!$G25-'Assump - LNG'!$F25)*MIN(1,((YEAR($A88)-YEAR(IF('Assump - LNG'!$D25&gt;='Assump - LNG'!$B$6,EDATE('Assump - LNG'!$D25,'Assump - LNG'!$B$4),'Assump - LNG'!$D25)))*12+MONTH($A88)-MONTH(IF('Assump - LNG'!$D25&gt;='Assump - LNG'!$B$6,EDATE('Assump - LNG'!$D25,'Assump - LNG'!$B$4),'Assump - LNG'!$D25)))/MAX('Assump - LNG'!$E25,1)))*INDEX('Assump - LNG'!$J$38:$J$49,MONTH($A88))))</f>
        <v/>
      </c>
      <c r="AJ88" s="14">
        <f>IF('Assump - LNG'!$D26="",0,IF($A88&lt;IF('Assump - LNG'!$D26&gt;='Assump - LNG'!$B$6,EDATE('Assump - LNG'!$D26,'Assump - LNG'!$B$4),'Assump - LNG'!$D26),0,'Assump - LNG'!$C26*('Assump - LNG'!$F26+('Assump - LNG'!$G26-'Assump - LNG'!$F26)*MIN(1,((YEAR($A88)-YEAR(IF('Assump - LNG'!$D26&gt;='Assump - LNG'!$B$6,EDATE('Assump - LNG'!$D26,'Assump - LNG'!$B$4),'Assump - LNG'!$D26)))*12+MONTH($A88)-MONTH(IF('Assump - LNG'!$D26&gt;='Assump - LNG'!$B$6,EDATE('Assump - LNG'!$D26,'Assump - LNG'!$B$4),'Assump - LNG'!$D26)))/MAX('Assump - LNG'!$E26,1)))*INDEX('Assump - LNG'!$J$38:$J$49,MONTH($A88))))</f>
        <v/>
      </c>
      <c r="AK88" s="14">
        <f>IF('Assump - LNG'!$D27="",0,IF($A88&lt;IF('Assump - LNG'!$D27&gt;='Assump - LNG'!$B$6,EDATE('Assump - LNG'!$D27,'Assump - LNG'!$B$4),'Assump - LNG'!$D27),0,'Assump - LNG'!$C27*('Assump - LNG'!$F27+('Assump - LNG'!$G27-'Assump - LNG'!$F27)*MIN(1,((YEAR($A88)-YEAR(IF('Assump - LNG'!$D27&gt;='Assump - LNG'!$B$6,EDATE('Assump - LNG'!$D27,'Assump - LNG'!$B$4),'Assump - LNG'!$D27)))*12+MONTH($A88)-MONTH(IF('Assump - LNG'!$D27&gt;='Assump - LNG'!$B$6,EDATE('Assump - LNG'!$D27,'Assump - LNG'!$B$4),'Assump - LNG'!$D27)))/MAX('Assump - LNG'!$E27,1)))*INDEX('Assump - LNG'!$J$38:$J$49,MONTH($A88))))</f>
        <v/>
      </c>
      <c r="AL88" s="14">
        <f>IF('Assump - LNG'!$D28="",0,IF($A88&lt;IF('Assump - LNG'!$D28&gt;='Assump - LNG'!$B$6,EDATE('Assump - LNG'!$D28,'Assump - LNG'!$B$4),'Assump - LNG'!$D28),0,'Assump - LNG'!$C28*('Assump - LNG'!$F28+('Assump - LNG'!$G28-'Assump - LNG'!$F28)*MIN(1,((YEAR($A88)-YEAR(IF('Assump - LNG'!$D28&gt;='Assump - LNG'!$B$6,EDATE('Assump - LNG'!$D28,'Assump - LNG'!$B$4),'Assump - LNG'!$D28)))*12+MONTH($A88)-MONTH(IF('Assump - LNG'!$D28&gt;='Assump - LNG'!$B$6,EDATE('Assump - LNG'!$D28,'Assump - LNG'!$B$4),'Assump - LNG'!$D28)))/MAX('Assump - LNG'!$E28,1)))*INDEX('Assump - LNG'!$J$38:$J$49,MONTH($A88))))</f>
        <v/>
      </c>
      <c r="AM88" s="14">
        <f>IF('Assump - LNG'!$D29="",0,IF($A88&lt;IF('Assump - LNG'!$D29&gt;='Assump - LNG'!$B$6,EDATE('Assump - LNG'!$D29,'Assump - LNG'!$B$4),'Assump - LNG'!$D29),0,'Assump - LNG'!$C29*('Assump - LNG'!$F29+('Assump - LNG'!$G29-'Assump - LNG'!$F29)*MIN(1,((YEAR($A88)-YEAR(IF('Assump - LNG'!$D29&gt;='Assump - LNG'!$B$6,EDATE('Assump - LNG'!$D29,'Assump - LNG'!$B$4),'Assump - LNG'!$D29)))*12+MONTH($A88)-MONTH(IF('Assump - LNG'!$D29&gt;='Assump - LNG'!$B$6,EDATE('Assump - LNG'!$D29,'Assump - LNG'!$B$4),'Assump - LNG'!$D29)))/MAX('Assump - LNG'!$E29,1)))*INDEX('Assump - LNG'!$J$38:$J$49,MONTH($A88))))</f>
        <v/>
      </c>
      <c r="AN88" s="14">
        <f>IF('Assump - LNG'!$D30="",0,IF($A88&lt;IF('Assump - LNG'!$D30&gt;='Assump - LNG'!$B$6,EDATE('Assump - LNG'!$D30,'Assump - LNG'!$B$4),'Assump - LNG'!$D30),0,'Assump - LNG'!$C30*('Assump - LNG'!$F30+('Assump - LNG'!$G30-'Assump - LNG'!$F30)*MIN(1,((YEAR($A88)-YEAR(IF('Assump - LNG'!$D30&gt;='Assump - LNG'!$B$6,EDATE('Assump - LNG'!$D30,'Assump - LNG'!$B$4),'Assump - LNG'!$D30)))*12+MONTH($A88)-MONTH(IF('Assump - LNG'!$D30&gt;='Assump - LNG'!$B$6,EDATE('Assump - LNG'!$D30,'Assump - LNG'!$B$4),'Assump - LNG'!$D30)))/MAX('Assump - LNG'!$E30,1)))*INDEX('Assump - LNG'!$J$38:$J$49,MONTH($A88))))</f>
        <v/>
      </c>
      <c r="AO88" s="14">
        <f>IF('Assump - LNG'!$D31="",0,IF($A88&lt;IF('Assump - LNG'!$D31&gt;='Assump - LNG'!$B$6,EDATE('Assump - LNG'!$D31,'Assump - LNG'!$B$4),'Assump - LNG'!$D31),0,'Assump - LNG'!$C31*('Assump - LNG'!$F31+('Assump - LNG'!$G31-'Assump - LNG'!$F31)*MIN(1,((YEAR($A88)-YEAR(IF('Assump - LNG'!$D31&gt;='Assump - LNG'!$B$6,EDATE('Assump - LNG'!$D31,'Assump - LNG'!$B$4),'Assump - LNG'!$D31)))*12+MONTH($A88)-MONTH(IF('Assump - LNG'!$D31&gt;='Assump - LNG'!$B$6,EDATE('Assump - LNG'!$D31,'Assump - LNG'!$B$4),'Assump - LNG'!$D31)))/MAX('Assump - LNG'!$E31,1)))*INDEX('Assump - LNG'!$J$38:$J$49,MONTH($A88))))</f>
        <v/>
      </c>
    </row>
    <row r="89">
      <c r="A89" s="12" t="n">
        <v>46722</v>
      </c>
      <c r="B89" s="14">
        <f>IF('Assump - LNG'!$D12="",0,IF($A89&lt;'Assump - LNG'!$D12,0,'Assump - LNG'!$C12*('Assump - LNG'!$F12+('Assump - LNG'!$G12-'Assump - LNG'!$F12)*MIN(1,((YEAR($A89)-YEAR('Assump - LNG'!$D12))*12+MONTH($A89)-MONTH('Assump - LNG'!$D12))/MAX('Assump - LNG'!$E12,1)))*INDEX('Assump - LNG'!$J$38:$J$49,MONTH($A89))))</f>
        <v/>
      </c>
      <c r="C89" s="14">
        <f>IF('Assump - LNG'!$D13="",0,IF($A89&lt;'Assump - LNG'!$D13,0,'Assump - LNG'!$C13*('Assump - LNG'!$F13+('Assump - LNG'!$G13-'Assump - LNG'!$F13)*MIN(1,((YEAR($A89)-YEAR('Assump - LNG'!$D13))*12+MONTH($A89)-MONTH('Assump - LNG'!$D13))/MAX('Assump - LNG'!$E13,1)))*INDEX('Assump - LNG'!$J$38:$J$49,MONTH($A89))))</f>
        <v/>
      </c>
      <c r="D89" s="14">
        <f>IF('Assump - LNG'!$D14="",0,IF($A89&lt;'Assump - LNG'!$D14,0,'Assump - LNG'!$C14*('Assump - LNG'!$F14+('Assump - LNG'!$G14-'Assump - LNG'!$F14)*MIN(1,((YEAR($A89)-YEAR('Assump - LNG'!$D14))*12+MONTH($A89)-MONTH('Assump - LNG'!$D14))/MAX('Assump - LNG'!$E14,1)))*INDEX('Assump - LNG'!$J$38:$J$49,MONTH($A89))))</f>
        <v/>
      </c>
      <c r="E89" s="14">
        <f>IF('Assump - LNG'!$D15="",0,IF($A89&lt;'Assump - LNG'!$D15,0,'Assump - LNG'!$C15*('Assump - LNG'!$F15+('Assump - LNG'!$G15-'Assump - LNG'!$F15)*MIN(1,((YEAR($A89)-YEAR('Assump - LNG'!$D15))*12+MONTH($A89)-MONTH('Assump - LNG'!$D15))/MAX('Assump - LNG'!$E15,1)))*INDEX('Assump - LNG'!$J$38:$J$49,MONTH($A89))))</f>
        <v/>
      </c>
      <c r="F89" s="14">
        <f>IF('Assump - LNG'!$D16="",0,IF($A89&lt;'Assump - LNG'!$D16,0,'Assump - LNG'!$C16*('Assump - LNG'!$F16+('Assump - LNG'!$G16-'Assump - LNG'!$F16)*MIN(1,((YEAR($A89)-YEAR('Assump - LNG'!$D16))*12+MONTH($A89)-MONTH('Assump - LNG'!$D16))/MAX('Assump - LNG'!$E16,1)))*INDEX('Assump - LNG'!$J$38:$J$49,MONTH($A89))))</f>
        <v/>
      </c>
      <c r="G89" s="14">
        <f>IF('Assump - LNG'!$D17="",0,IF($A89&lt;'Assump - LNG'!$D17,0,'Assump - LNG'!$C17*('Assump - LNG'!$F17+('Assump - LNG'!$G17-'Assump - LNG'!$F17)*MIN(1,((YEAR($A89)-YEAR('Assump - LNG'!$D17))*12+MONTH($A89)-MONTH('Assump - LNG'!$D17))/MAX('Assump - LNG'!$E17,1)))*INDEX('Assump - LNG'!$J$38:$J$49,MONTH($A89))))</f>
        <v/>
      </c>
      <c r="H89" s="14">
        <f>IF('Assump - LNG'!$D18="",0,IF($A89&lt;'Assump - LNG'!$D18,0,'Assump - LNG'!$C18*('Assump - LNG'!$F18+('Assump - LNG'!$G18-'Assump - LNG'!$F18)*MIN(1,((YEAR($A89)-YEAR('Assump - LNG'!$D18))*12+MONTH($A89)-MONTH('Assump - LNG'!$D18))/MAX('Assump - LNG'!$E18,1)))*INDEX('Assump - LNG'!$J$38:$J$49,MONTH($A89))))</f>
        <v/>
      </c>
      <c r="I89" s="14">
        <f>IF('Assump - LNG'!$D19="",0,IF($A89&lt;'Assump - LNG'!$D19,0,'Assump - LNG'!$C19*('Assump - LNG'!$F19+('Assump - LNG'!$G19-'Assump - LNG'!$F19)*MIN(1,((YEAR($A89)-YEAR('Assump - LNG'!$D19))*12+MONTH($A89)-MONTH('Assump - LNG'!$D19))/MAX('Assump - LNG'!$E19,1)))*INDEX('Assump - LNG'!$J$38:$J$49,MONTH($A89))))</f>
        <v/>
      </c>
      <c r="J89" s="14">
        <f>IF('Assump - LNG'!$D20="",0,IF($A89&lt;'Assump - LNG'!$D20,0,'Assump - LNG'!$C20*('Assump - LNG'!$F20+('Assump - LNG'!$G20-'Assump - LNG'!$F20)*MIN(1,((YEAR($A89)-YEAR('Assump - LNG'!$D20))*12+MONTH($A89)-MONTH('Assump - LNG'!$D20))/MAX('Assump - LNG'!$E20,1)))*INDEX('Assump - LNG'!$J$38:$J$49,MONTH($A89))))</f>
        <v/>
      </c>
      <c r="K89" s="14">
        <f>IF('Assump - LNG'!$D21="",0,IF($A89&lt;'Assump - LNG'!$D21,0,'Assump - LNG'!$C21*('Assump - LNG'!$F21+('Assump - LNG'!$G21-'Assump - LNG'!$F21)*MIN(1,((YEAR($A89)-YEAR('Assump - LNG'!$D21))*12+MONTH($A89)-MONTH('Assump - LNG'!$D21))/MAX('Assump - LNG'!$E21,1)))*INDEX('Assump - LNG'!$J$38:$J$49,MONTH($A89))))</f>
        <v/>
      </c>
      <c r="L89" s="14">
        <f>IF('Assump - LNG'!$D22="",0,IF($A89&lt;'Assump - LNG'!$D22,0,'Assump - LNG'!$C22*('Assump - LNG'!$F22+('Assump - LNG'!$G22-'Assump - LNG'!$F22)*MIN(1,((YEAR($A89)-YEAR('Assump - LNG'!$D22))*12+MONTH($A89)-MONTH('Assump - LNG'!$D22))/MAX('Assump - LNG'!$E22,1)))*INDEX('Assump - LNG'!$J$38:$J$49,MONTH($A89))))</f>
        <v/>
      </c>
      <c r="M89" s="14">
        <f>IF('Assump - LNG'!$D23="",0,IF($A89&lt;'Assump - LNG'!$D23,0,'Assump - LNG'!$C23*('Assump - LNG'!$F23+('Assump - LNG'!$G23-'Assump - LNG'!$F23)*MIN(1,((YEAR($A89)-YEAR('Assump - LNG'!$D23))*12+MONTH($A89)-MONTH('Assump - LNG'!$D23))/MAX('Assump - LNG'!$E23,1)))*INDEX('Assump - LNG'!$J$38:$J$49,MONTH($A89))))</f>
        <v/>
      </c>
      <c r="N89" s="14">
        <f>IF('Assump - LNG'!$D24="",0,IF($A89&lt;'Assump - LNG'!$D24,0,'Assump - LNG'!$C24*('Assump - LNG'!$F24+('Assump - LNG'!$G24-'Assump - LNG'!$F24)*MIN(1,((YEAR($A89)-YEAR('Assump - LNG'!$D24))*12+MONTH($A89)-MONTH('Assump - LNG'!$D24))/MAX('Assump - LNG'!$E24,1)))*INDEX('Assump - LNG'!$J$38:$J$49,MONTH($A89))))</f>
        <v/>
      </c>
      <c r="O89" s="14">
        <f>IF('Assump - LNG'!$D25="",0,IF($A89&lt;'Assump - LNG'!$D25,0,'Assump - LNG'!$C25*('Assump - LNG'!$F25+('Assump - LNG'!$G25-'Assump - LNG'!$F25)*MIN(1,((YEAR($A89)-YEAR('Assump - LNG'!$D25))*12+MONTH($A89)-MONTH('Assump - LNG'!$D25))/MAX('Assump - LNG'!$E25,1)))*INDEX('Assump - LNG'!$J$38:$J$49,MONTH($A89))))</f>
        <v/>
      </c>
      <c r="P89" s="14">
        <f>IF('Assump - LNG'!$D26="",0,IF($A89&lt;'Assump - LNG'!$D26,0,'Assump - LNG'!$C26*('Assump - LNG'!$F26+('Assump - LNG'!$G26-'Assump - LNG'!$F26)*MIN(1,((YEAR($A89)-YEAR('Assump - LNG'!$D26))*12+MONTH($A89)-MONTH('Assump - LNG'!$D26))/MAX('Assump - LNG'!$E26,1)))*INDEX('Assump - LNG'!$J$38:$J$49,MONTH($A89))))</f>
        <v/>
      </c>
      <c r="Q89" s="14">
        <f>IF('Assump - LNG'!$D27="",0,IF($A89&lt;'Assump - LNG'!$D27,0,'Assump - LNG'!$C27*('Assump - LNG'!$F27+('Assump - LNG'!$G27-'Assump - LNG'!$F27)*MIN(1,((YEAR($A89)-YEAR('Assump - LNG'!$D27))*12+MONTH($A89)-MONTH('Assump - LNG'!$D27))/MAX('Assump - LNG'!$E27,1)))*INDEX('Assump - LNG'!$J$38:$J$49,MONTH($A89))))</f>
        <v/>
      </c>
      <c r="R89" s="14">
        <f>IF('Assump - LNG'!$D28="",0,IF($A89&lt;'Assump - LNG'!$D28,0,'Assump - LNG'!$C28*('Assump - LNG'!$F28+('Assump - LNG'!$G28-'Assump - LNG'!$F28)*MIN(1,((YEAR($A89)-YEAR('Assump - LNG'!$D28))*12+MONTH($A89)-MONTH('Assump - LNG'!$D28))/MAX('Assump - LNG'!$E28,1)))*INDEX('Assump - LNG'!$J$38:$J$49,MONTH($A89))))</f>
        <v/>
      </c>
      <c r="S89" s="14">
        <f>IF('Assump - LNG'!$D29="",0,IF($A89&lt;'Assump - LNG'!$D29,0,'Assump - LNG'!$C29*('Assump - LNG'!$F29+('Assump - LNG'!$G29-'Assump - LNG'!$F29)*MIN(1,((YEAR($A89)-YEAR('Assump - LNG'!$D29))*12+MONTH($A89)-MONTH('Assump - LNG'!$D29))/MAX('Assump - LNG'!$E29,1)))*INDEX('Assump - LNG'!$J$38:$J$49,MONTH($A89))))</f>
        <v/>
      </c>
      <c r="T89" s="14">
        <f>IF('Assump - LNG'!$D30="",0,IF($A89&lt;'Assump - LNG'!$D30,0,'Assump - LNG'!$C30*('Assump - LNG'!$F30+('Assump - LNG'!$G30-'Assump - LNG'!$F30)*MIN(1,((YEAR($A89)-YEAR('Assump - LNG'!$D30))*12+MONTH($A89)-MONTH('Assump - LNG'!$D30))/MAX('Assump - LNG'!$E30,1)))*INDEX('Assump - LNG'!$J$38:$J$49,MONTH($A89))))</f>
        <v/>
      </c>
      <c r="U89" s="14">
        <f>IF('Assump - LNG'!$D31="",0,IF($A89&lt;'Assump - LNG'!$D31,0,'Assump - LNG'!$C31*('Assump - LNG'!$F31+('Assump - LNG'!$G31-'Assump - LNG'!$F31)*MIN(1,((YEAR($A89)-YEAR('Assump - LNG'!$D31))*12+MONTH($A89)-MONTH('Assump - LNG'!$D31))/MAX('Assump - LNG'!$E31,1)))*INDEX('Assump - LNG'!$J$38:$J$49,MONTH($A89))))</f>
        <v/>
      </c>
      <c r="V89" s="14">
        <f>IF('Assump - LNG'!$D12="",0,IF($A89&lt;IF('Assump - LNG'!$D12&gt;='Assump - LNG'!$B$6,EDATE('Assump - LNG'!$D12,'Assump - LNG'!$B$4),'Assump - LNG'!$D12),0,'Assump - LNG'!$C12*('Assump - LNG'!$F12+('Assump - LNG'!$G12-'Assump - LNG'!$F12)*MIN(1,((YEAR($A89)-YEAR(IF('Assump - LNG'!$D12&gt;='Assump - LNG'!$B$6,EDATE('Assump - LNG'!$D12,'Assump - LNG'!$B$4),'Assump - LNG'!$D12)))*12+MONTH($A89)-MONTH(IF('Assump - LNG'!$D12&gt;='Assump - LNG'!$B$6,EDATE('Assump - LNG'!$D12,'Assump - LNG'!$B$4),'Assump - LNG'!$D12)))/MAX('Assump - LNG'!$E12,1)))*INDEX('Assump - LNG'!$J$38:$J$49,MONTH($A89))))</f>
        <v/>
      </c>
      <c r="W89" s="14">
        <f>IF('Assump - LNG'!$D13="",0,IF($A89&lt;IF('Assump - LNG'!$D13&gt;='Assump - LNG'!$B$6,EDATE('Assump - LNG'!$D13,'Assump - LNG'!$B$4),'Assump - LNG'!$D13),0,'Assump - LNG'!$C13*('Assump - LNG'!$F13+('Assump - LNG'!$G13-'Assump - LNG'!$F13)*MIN(1,((YEAR($A89)-YEAR(IF('Assump - LNG'!$D13&gt;='Assump - LNG'!$B$6,EDATE('Assump - LNG'!$D13,'Assump - LNG'!$B$4),'Assump - LNG'!$D13)))*12+MONTH($A89)-MONTH(IF('Assump - LNG'!$D13&gt;='Assump - LNG'!$B$6,EDATE('Assump - LNG'!$D13,'Assump - LNG'!$B$4),'Assump - LNG'!$D13)))/MAX('Assump - LNG'!$E13,1)))*INDEX('Assump - LNG'!$J$38:$J$49,MONTH($A89))))</f>
        <v/>
      </c>
      <c r="X89" s="14">
        <f>IF('Assump - LNG'!$D14="",0,IF($A89&lt;IF('Assump - LNG'!$D14&gt;='Assump - LNG'!$B$6,EDATE('Assump - LNG'!$D14,'Assump - LNG'!$B$4),'Assump - LNG'!$D14),0,'Assump - LNG'!$C14*('Assump - LNG'!$F14+('Assump - LNG'!$G14-'Assump - LNG'!$F14)*MIN(1,((YEAR($A89)-YEAR(IF('Assump - LNG'!$D14&gt;='Assump - LNG'!$B$6,EDATE('Assump - LNG'!$D14,'Assump - LNG'!$B$4),'Assump - LNG'!$D14)))*12+MONTH($A89)-MONTH(IF('Assump - LNG'!$D14&gt;='Assump - LNG'!$B$6,EDATE('Assump - LNG'!$D14,'Assump - LNG'!$B$4),'Assump - LNG'!$D14)))/MAX('Assump - LNG'!$E14,1)))*INDEX('Assump - LNG'!$J$38:$J$49,MONTH($A89))))</f>
        <v/>
      </c>
      <c r="Y89" s="14">
        <f>IF('Assump - LNG'!$D15="",0,IF($A89&lt;IF('Assump - LNG'!$D15&gt;='Assump - LNG'!$B$6,EDATE('Assump - LNG'!$D15,'Assump - LNG'!$B$4),'Assump - LNG'!$D15),0,'Assump - LNG'!$C15*('Assump - LNG'!$F15+('Assump - LNG'!$G15-'Assump - LNG'!$F15)*MIN(1,((YEAR($A89)-YEAR(IF('Assump - LNG'!$D15&gt;='Assump - LNG'!$B$6,EDATE('Assump - LNG'!$D15,'Assump - LNG'!$B$4),'Assump - LNG'!$D15)))*12+MONTH($A89)-MONTH(IF('Assump - LNG'!$D15&gt;='Assump - LNG'!$B$6,EDATE('Assump - LNG'!$D15,'Assump - LNG'!$B$4),'Assump - LNG'!$D15)))/MAX('Assump - LNG'!$E15,1)))*INDEX('Assump - LNG'!$J$38:$J$49,MONTH($A89))))</f>
        <v/>
      </c>
      <c r="Z89" s="14">
        <f>IF('Assump - LNG'!$D16="",0,IF($A89&lt;IF('Assump - LNG'!$D16&gt;='Assump - LNG'!$B$6,EDATE('Assump - LNG'!$D16,'Assump - LNG'!$B$4),'Assump - LNG'!$D16),0,'Assump - LNG'!$C16*('Assump - LNG'!$F16+('Assump - LNG'!$G16-'Assump - LNG'!$F16)*MIN(1,((YEAR($A89)-YEAR(IF('Assump - LNG'!$D16&gt;='Assump - LNG'!$B$6,EDATE('Assump - LNG'!$D16,'Assump - LNG'!$B$4),'Assump - LNG'!$D16)))*12+MONTH($A89)-MONTH(IF('Assump - LNG'!$D16&gt;='Assump - LNG'!$B$6,EDATE('Assump - LNG'!$D16,'Assump - LNG'!$B$4),'Assump - LNG'!$D16)))/MAX('Assump - LNG'!$E16,1)))*INDEX('Assump - LNG'!$J$38:$J$49,MONTH($A89))))</f>
        <v/>
      </c>
      <c r="AA89" s="14">
        <f>IF('Assump - LNG'!$D17="",0,IF($A89&lt;IF('Assump - LNG'!$D17&gt;='Assump - LNG'!$B$6,EDATE('Assump - LNG'!$D17,'Assump - LNG'!$B$4),'Assump - LNG'!$D17),0,'Assump - LNG'!$C17*('Assump - LNG'!$F17+('Assump - LNG'!$G17-'Assump - LNG'!$F17)*MIN(1,((YEAR($A89)-YEAR(IF('Assump - LNG'!$D17&gt;='Assump - LNG'!$B$6,EDATE('Assump - LNG'!$D17,'Assump - LNG'!$B$4),'Assump - LNG'!$D17)))*12+MONTH($A89)-MONTH(IF('Assump - LNG'!$D17&gt;='Assump - LNG'!$B$6,EDATE('Assump - LNG'!$D17,'Assump - LNG'!$B$4),'Assump - LNG'!$D17)))/MAX('Assump - LNG'!$E17,1)))*INDEX('Assump - LNG'!$J$38:$J$49,MONTH($A89))))</f>
        <v/>
      </c>
      <c r="AB89" s="14">
        <f>IF('Assump - LNG'!$D18="",0,IF($A89&lt;IF('Assump - LNG'!$D18&gt;='Assump - LNG'!$B$6,EDATE('Assump - LNG'!$D18,'Assump - LNG'!$B$4),'Assump - LNG'!$D18),0,'Assump - LNG'!$C18*('Assump - LNG'!$F18+('Assump - LNG'!$G18-'Assump - LNG'!$F18)*MIN(1,((YEAR($A89)-YEAR(IF('Assump - LNG'!$D18&gt;='Assump - LNG'!$B$6,EDATE('Assump - LNG'!$D18,'Assump - LNG'!$B$4),'Assump - LNG'!$D18)))*12+MONTH($A89)-MONTH(IF('Assump - LNG'!$D18&gt;='Assump - LNG'!$B$6,EDATE('Assump - LNG'!$D18,'Assump - LNG'!$B$4),'Assump - LNG'!$D18)))/MAX('Assump - LNG'!$E18,1)))*INDEX('Assump - LNG'!$J$38:$J$49,MONTH($A89))))</f>
        <v/>
      </c>
      <c r="AC89" s="14">
        <f>IF('Assump - LNG'!$D19="",0,IF($A89&lt;IF('Assump - LNG'!$D19&gt;='Assump - LNG'!$B$6,EDATE('Assump - LNG'!$D19,'Assump - LNG'!$B$4),'Assump - LNG'!$D19),0,'Assump - LNG'!$C19*('Assump - LNG'!$F19+('Assump - LNG'!$G19-'Assump - LNG'!$F19)*MIN(1,((YEAR($A89)-YEAR(IF('Assump - LNG'!$D19&gt;='Assump - LNG'!$B$6,EDATE('Assump - LNG'!$D19,'Assump - LNG'!$B$4),'Assump - LNG'!$D19)))*12+MONTH($A89)-MONTH(IF('Assump - LNG'!$D19&gt;='Assump - LNG'!$B$6,EDATE('Assump - LNG'!$D19,'Assump - LNG'!$B$4),'Assump - LNG'!$D19)))/MAX('Assump - LNG'!$E19,1)))*INDEX('Assump - LNG'!$J$38:$J$49,MONTH($A89))))</f>
        <v/>
      </c>
      <c r="AD89" s="14">
        <f>IF('Assump - LNG'!$D20="",0,IF($A89&lt;IF('Assump - LNG'!$D20&gt;='Assump - LNG'!$B$6,EDATE('Assump - LNG'!$D20,'Assump - LNG'!$B$4),'Assump - LNG'!$D20),0,'Assump - LNG'!$C20*('Assump - LNG'!$F20+('Assump - LNG'!$G20-'Assump - LNG'!$F20)*MIN(1,((YEAR($A89)-YEAR(IF('Assump - LNG'!$D20&gt;='Assump - LNG'!$B$6,EDATE('Assump - LNG'!$D20,'Assump - LNG'!$B$4),'Assump - LNG'!$D20)))*12+MONTH($A89)-MONTH(IF('Assump - LNG'!$D20&gt;='Assump - LNG'!$B$6,EDATE('Assump - LNG'!$D20,'Assump - LNG'!$B$4),'Assump - LNG'!$D20)))/MAX('Assump - LNG'!$E20,1)))*INDEX('Assump - LNG'!$J$38:$J$49,MONTH($A89))))</f>
        <v/>
      </c>
      <c r="AE89" s="14">
        <f>IF('Assump - LNG'!$D21="",0,IF($A89&lt;IF('Assump - LNG'!$D21&gt;='Assump - LNG'!$B$6,EDATE('Assump - LNG'!$D21,'Assump - LNG'!$B$4),'Assump - LNG'!$D21),0,'Assump - LNG'!$C21*('Assump - LNG'!$F21+('Assump - LNG'!$G21-'Assump - LNG'!$F21)*MIN(1,((YEAR($A89)-YEAR(IF('Assump - LNG'!$D21&gt;='Assump - LNG'!$B$6,EDATE('Assump - LNG'!$D21,'Assump - LNG'!$B$4),'Assump - LNG'!$D21)))*12+MONTH($A89)-MONTH(IF('Assump - LNG'!$D21&gt;='Assump - LNG'!$B$6,EDATE('Assump - LNG'!$D21,'Assump - LNG'!$B$4),'Assump - LNG'!$D21)))/MAX('Assump - LNG'!$E21,1)))*INDEX('Assump - LNG'!$J$38:$J$49,MONTH($A89))))</f>
        <v/>
      </c>
      <c r="AF89" s="14">
        <f>IF('Assump - LNG'!$D22="",0,IF($A89&lt;IF('Assump - LNG'!$D22&gt;='Assump - LNG'!$B$6,EDATE('Assump - LNG'!$D22,'Assump - LNG'!$B$4),'Assump - LNG'!$D22),0,'Assump - LNG'!$C22*('Assump - LNG'!$F22+('Assump - LNG'!$G22-'Assump - LNG'!$F22)*MIN(1,((YEAR($A89)-YEAR(IF('Assump - LNG'!$D22&gt;='Assump - LNG'!$B$6,EDATE('Assump - LNG'!$D22,'Assump - LNG'!$B$4),'Assump - LNG'!$D22)))*12+MONTH($A89)-MONTH(IF('Assump - LNG'!$D22&gt;='Assump - LNG'!$B$6,EDATE('Assump - LNG'!$D22,'Assump - LNG'!$B$4),'Assump - LNG'!$D22)))/MAX('Assump - LNG'!$E22,1)))*INDEX('Assump - LNG'!$J$38:$J$49,MONTH($A89))))</f>
        <v/>
      </c>
      <c r="AG89" s="14">
        <f>IF('Assump - LNG'!$D23="",0,IF($A89&lt;IF('Assump - LNG'!$D23&gt;='Assump - LNG'!$B$6,EDATE('Assump - LNG'!$D23,'Assump - LNG'!$B$4),'Assump - LNG'!$D23),0,'Assump - LNG'!$C23*('Assump - LNG'!$F23+('Assump - LNG'!$G23-'Assump - LNG'!$F23)*MIN(1,((YEAR($A89)-YEAR(IF('Assump - LNG'!$D23&gt;='Assump - LNG'!$B$6,EDATE('Assump - LNG'!$D23,'Assump - LNG'!$B$4),'Assump - LNG'!$D23)))*12+MONTH($A89)-MONTH(IF('Assump - LNG'!$D23&gt;='Assump - LNG'!$B$6,EDATE('Assump - LNG'!$D23,'Assump - LNG'!$B$4),'Assump - LNG'!$D23)))/MAX('Assump - LNG'!$E23,1)))*INDEX('Assump - LNG'!$J$38:$J$49,MONTH($A89))))</f>
        <v/>
      </c>
      <c r="AH89" s="14">
        <f>IF('Assump - LNG'!$D24="",0,IF($A89&lt;IF('Assump - LNG'!$D24&gt;='Assump - LNG'!$B$6,EDATE('Assump - LNG'!$D24,'Assump - LNG'!$B$4),'Assump - LNG'!$D24),0,'Assump - LNG'!$C24*('Assump - LNG'!$F24+('Assump - LNG'!$G24-'Assump - LNG'!$F24)*MIN(1,((YEAR($A89)-YEAR(IF('Assump - LNG'!$D24&gt;='Assump - LNG'!$B$6,EDATE('Assump - LNG'!$D24,'Assump - LNG'!$B$4),'Assump - LNG'!$D24)))*12+MONTH($A89)-MONTH(IF('Assump - LNG'!$D24&gt;='Assump - LNG'!$B$6,EDATE('Assump - LNG'!$D24,'Assump - LNG'!$B$4),'Assump - LNG'!$D24)))/MAX('Assump - LNG'!$E24,1)))*INDEX('Assump - LNG'!$J$38:$J$49,MONTH($A89))))</f>
        <v/>
      </c>
      <c r="AI89" s="14">
        <f>IF('Assump - LNG'!$D25="",0,IF($A89&lt;IF('Assump - LNG'!$D25&gt;='Assump - LNG'!$B$6,EDATE('Assump - LNG'!$D25,'Assump - LNG'!$B$4),'Assump - LNG'!$D25),0,'Assump - LNG'!$C25*('Assump - LNG'!$F25+('Assump - LNG'!$G25-'Assump - LNG'!$F25)*MIN(1,((YEAR($A89)-YEAR(IF('Assump - LNG'!$D25&gt;='Assump - LNG'!$B$6,EDATE('Assump - LNG'!$D25,'Assump - LNG'!$B$4),'Assump - LNG'!$D25)))*12+MONTH($A89)-MONTH(IF('Assump - LNG'!$D25&gt;='Assump - LNG'!$B$6,EDATE('Assump - LNG'!$D25,'Assump - LNG'!$B$4),'Assump - LNG'!$D25)))/MAX('Assump - LNG'!$E25,1)))*INDEX('Assump - LNG'!$J$38:$J$49,MONTH($A89))))</f>
        <v/>
      </c>
      <c r="AJ89" s="14">
        <f>IF('Assump - LNG'!$D26="",0,IF($A89&lt;IF('Assump - LNG'!$D26&gt;='Assump - LNG'!$B$6,EDATE('Assump - LNG'!$D26,'Assump - LNG'!$B$4),'Assump - LNG'!$D26),0,'Assump - LNG'!$C26*('Assump - LNG'!$F26+('Assump - LNG'!$G26-'Assump - LNG'!$F26)*MIN(1,((YEAR($A89)-YEAR(IF('Assump - LNG'!$D26&gt;='Assump - LNG'!$B$6,EDATE('Assump - LNG'!$D26,'Assump - LNG'!$B$4),'Assump - LNG'!$D26)))*12+MONTH($A89)-MONTH(IF('Assump - LNG'!$D26&gt;='Assump - LNG'!$B$6,EDATE('Assump - LNG'!$D26,'Assump - LNG'!$B$4),'Assump - LNG'!$D26)))/MAX('Assump - LNG'!$E26,1)))*INDEX('Assump - LNG'!$J$38:$J$49,MONTH($A89))))</f>
        <v/>
      </c>
      <c r="AK89" s="14">
        <f>IF('Assump - LNG'!$D27="",0,IF($A89&lt;IF('Assump - LNG'!$D27&gt;='Assump - LNG'!$B$6,EDATE('Assump - LNG'!$D27,'Assump - LNG'!$B$4),'Assump - LNG'!$D27),0,'Assump - LNG'!$C27*('Assump - LNG'!$F27+('Assump - LNG'!$G27-'Assump - LNG'!$F27)*MIN(1,((YEAR($A89)-YEAR(IF('Assump - LNG'!$D27&gt;='Assump - LNG'!$B$6,EDATE('Assump - LNG'!$D27,'Assump - LNG'!$B$4),'Assump - LNG'!$D27)))*12+MONTH($A89)-MONTH(IF('Assump - LNG'!$D27&gt;='Assump - LNG'!$B$6,EDATE('Assump - LNG'!$D27,'Assump - LNG'!$B$4),'Assump - LNG'!$D27)))/MAX('Assump - LNG'!$E27,1)))*INDEX('Assump - LNG'!$J$38:$J$49,MONTH($A89))))</f>
        <v/>
      </c>
      <c r="AL89" s="14">
        <f>IF('Assump - LNG'!$D28="",0,IF($A89&lt;IF('Assump - LNG'!$D28&gt;='Assump - LNG'!$B$6,EDATE('Assump - LNG'!$D28,'Assump - LNG'!$B$4),'Assump - LNG'!$D28),0,'Assump - LNG'!$C28*('Assump - LNG'!$F28+('Assump - LNG'!$G28-'Assump - LNG'!$F28)*MIN(1,((YEAR($A89)-YEAR(IF('Assump - LNG'!$D28&gt;='Assump - LNG'!$B$6,EDATE('Assump - LNG'!$D28,'Assump - LNG'!$B$4),'Assump - LNG'!$D28)))*12+MONTH($A89)-MONTH(IF('Assump - LNG'!$D28&gt;='Assump - LNG'!$B$6,EDATE('Assump - LNG'!$D28,'Assump - LNG'!$B$4),'Assump - LNG'!$D28)))/MAX('Assump - LNG'!$E28,1)))*INDEX('Assump - LNG'!$J$38:$J$49,MONTH($A89))))</f>
        <v/>
      </c>
      <c r="AM89" s="14">
        <f>IF('Assump - LNG'!$D29="",0,IF($A89&lt;IF('Assump - LNG'!$D29&gt;='Assump - LNG'!$B$6,EDATE('Assump - LNG'!$D29,'Assump - LNG'!$B$4),'Assump - LNG'!$D29),0,'Assump - LNG'!$C29*('Assump - LNG'!$F29+('Assump - LNG'!$G29-'Assump - LNG'!$F29)*MIN(1,((YEAR($A89)-YEAR(IF('Assump - LNG'!$D29&gt;='Assump - LNG'!$B$6,EDATE('Assump - LNG'!$D29,'Assump - LNG'!$B$4),'Assump - LNG'!$D29)))*12+MONTH($A89)-MONTH(IF('Assump - LNG'!$D29&gt;='Assump - LNG'!$B$6,EDATE('Assump - LNG'!$D29,'Assump - LNG'!$B$4),'Assump - LNG'!$D29)))/MAX('Assump - LNG'!$E29,1)))*INDEX('Assump - LNG'!$J$38:$J$49,MONTH($A89))))</f>
        <v/>
      </c>
      <c r="AN89" s="14">
        <f>IF('Assump - LNG'!$D30="",0,IF($A89&lt;IF('Assump - LNG'!$D30&gt;='Assump - LNG'!$B$6,EDATE('Assump - LNG'!$D30,'Assump - LNG'!$B$4),'Assump - LNG'!$D30),0,'Assump - LNG'!$C30*('Assump - LNG'!$F30+('Assump - LNG'!$G30-'Assump - LNG'!$F30)*MIN(1,((YEAR($A89)-YEAR(IF('Assump - LNG'!$D30&gt;='Assump - LNG'!$B$6,EDATE('Assump - LNG'!$D30,'Assump - LNG'!$B$4),'Assump - LNG'!$D30)))*12+MONTH($A89)-MONTH(IF('Assump - LNG'!$D30&gt;='Assump - LNG'!$B$6,EDATE('Assump - LNG'!$D30,'Assump - LNG'!$B$4),'Assump - LNG'!$D30)))/MAX('Assump - LNG'!$E30,1)))*INDEX('Assump - LNG'!$J$38:$J$49,MONTH($A89))))</f>
        <v/>
      </c>
      <c r="AO89" s="14">
        <f>IF('Assump - LNG'!$D31="",0,IF($A89&lt;IF('Assump - LNG'!$D31&gt;='Assump - LNG'!$B$6,EDATE('Assump - LNG'!$D31,'Assump - LNG'!$B$4),'Assump - LNG'!$D31),0,'Assump - LNG'!$C31*('Assump - LNG'!$F31+('Assump - LNG'!$G31-'Assump - LNG'!$F31)*MIN(1,((YEAR($A89)-YEAR(IF('Assump - LNG'!$D31&gt;='Assump - LNG'!$B$6,EDATE('Assump - LNG'!$D31,'Assump - LNG'!$B$4),'Assump - LNG'!$D31)))*12+MONTH($A89)-MONTH(IF('Assump - LNG'!$D31&gt;='Assump - LNG'!$B$6,EDATE('Assump - LNG'!$D31,'Assump - LNG'!$B$4),'Assump - LNG'!$D31)))/MAX('Assump - LNG'!$E31,1)))*INDEX('Assump - LNG'!$J$38:$J$49,MONTH($A89))))</f>
        <v/>
      </c>
    </row>
    <row r="90">
      <c r="A90" s="12" t="n">
        <v>46753</v>
      </c>
      <c r="B90" s="14">
        <f>IF('Assump - LNG'!$D12="",0,IF($A90&lt;'Assump - LNG'!$D12,0,'Assump - LNG'!$C12*('Assump - LNG'!$F12+('Assump - LNG'!$G12-'Assump - LNG'!$F12)*MIN(1,((YEAR($A90)-YEAR('Assump - LNG'!$D12))*12+MONTH($A90)-MONTH('Assump - LNG'!$D12))/MAX('Assump - LNG'!$E12,1)))*INDEX('Assump - LNG'!$J$38:$J$49,MONTH($A90))))</f>
        <v/>
      </c>
      <c r="C90" s="14">
        <f>IF('Assump - LNG'!$D13="",0,IF($A90&lt;'Assump - LNG'!$D13,0,'Assump - LNG'!$C13*('Assump - LNG'!$F13+('Assump - LNG'!$G13-'Assump - LNG'!$F13)*MIN(1,((YEAR($A90)-YEAR('Assump - LNG'!$D13))*12+MONTH($A90)-MONTH('Assump - LNG'!$D13))/MAX('Assump - LNG'!$E13,1)))*INDEX('Assump - LNG'!$J$38:$J$49,MONTH($A90))))</f>
        <v/>
      </c>
      <c r="D90" s="14">
        <f>IF('Assump - LNG'!$D14="",0,IF($A90&lt;'Assump - LNG'!$D14,0,'Assump - LNG'!$C14*('Assump - LNG'!$F14+('Assump - LNG'!$G14-'Assump - LNG'!$F14)*MIN(1,((YEAR($A90)-YEAR('Assump - LNG'!$D14))*12+MONTH($A90)-MONTH('Assump - LNG'!$D14))/MAX('Assump - LNG'!$E14,1)))*INDEX('Assump - LNG'!$J$38:$J$49,MONTH($A90))))</f>
        <v/>
      </c>
      <c r="E90" s="14">
        <f>IF('Assump - LNG'!$D15="",0,IF($A90&lt;'Assump - LNG'!$D15,0,'Assump - LNG'!$C15*('Assump - LNG'!$F15+('Assump - LNG'!$G15-'Assump - LNG'!$F15)*MIN(1,((YEAR($A90)-YEAR('Assump - LNG'!$D15))*12+MONTH($A90)-MONTH('Assump - LNG'!$D15))/MAX('Assump - LNG'!$E15,1)))*INDEX('Assump - LNG'!$J$38:$J$49,MONTH($A90))))</f>
        <v/>
      </c>
      <c r="F90" s="14">
        <f>IF('Assump - LNG'!$D16="",0,IF($A90&lt;'Assump - LNG'!$D16,0,'Assump - LNG'!$C16*('Assump - LNG'!$F16+('Assump - LNG'!$G16-'Assump - LNG'!$F16)*MIN(1,((YEAR($A90)-YEAR('Assump - LNG'!$D16))*12+MONTH($A90)-MONTH('Assump - LNG'!$D16))/MAX('Assump - LNG'!$E16,1)))*INDEX('Assump - LNG'!$J$38:$J$49,MONTH($A90))))</f>
        <v/>
      </c>
      <c r="G90" s="14">
        <f>IF('Assump - LNG'!$D17="",0,IF($A90&lt;'Assump - LNG'!$D17,0,'Assump - LNG'!$C17*('Assump - LNG'!$F17+('Assump - LNG'!$G17-'Assump - LNG'!$F17)*MIN(1,((YEAR($A90)-YEAR('Assump - LNG'!$D17))*12+MONTH($A90)-MONTH('Assump - LNG'!$D17))/MAX('Assump - LNG'!$E17,1)))*INDEX('Assump - LNG'!$J$38:$J$49,MONTH($A90))))</f>
        <v/>
      </c>
      <c r="H90" s="14">
        <f>IF('Assump - LNG'!$D18="",0,IF($A90&lt;'Assump - LNG'!$D18,0,'Assump - LNG'!$C18*('Assump - LNG'!$F18+('Assump - LNG'!$G18-'Assump - LNG'!$F18)*MIN(1,((YEAR($A90)-YEAR('Assump - LNG'!$D18))*12+MONTH($A90)-MONTH('Assump - LNG'!$D18))/MAX('Assump - LNG'!$E18,1)))*INDEX('Assump - LNG'!$J$38:$J$49,MONTH($A90))))</f>
        <v/>
      </c>
      <c r="I90" s="14">
        <f>IF('Assump - LNG'!$D19="",0,IF($A90&lt;'Assump - LNG'!$D19,0,'Assump - LNG'!$C19*('Assump - LNG'!$F19+('Assump - LNG'!$G19-'Assump - LNG'!$F19)*MIN(1,((YEAR($A90)-YEAR('Assump - LNG'!$D19))*12+MONTH($A90)-MONTH('Assump - LNG'!$D19))/MAX('Assump - LNG'!$E19,1)))*INDEX('Assump - LNG'!$J$38:$J$49,MONTH($A90))))</f>
        <v/>
      </c>
      <c r="J90" s="14">
        <f>IF('Assump - LNG'!$D20="",0,IF($A90&lt;'Assump - LNG'!$D20,0,'Assump - LNG'!$C20*('Assump - LNG'!$F20+('Assump - LNG'!$G20-'Assump - LNG'!$F20)*MIN(1,((YEAR($A90)-YEAR('Assump - LNG'!$D20))*12+MONTH($A90)-MONTH('Assump - LNG'!$D20))/MAX('Assump - LNG'!$E20,1)))*INDEX('Assump - LNG'!$J$38:$J$49,MONTH($A90))))</f>
        <v/>
      </c>
      <c r="K90" s="14">
        <f>IF('Assump - LNG'!$D21="",0,IF($A90&lt;'Assump - LNG'!$D21,0,'Assump - LNG'!$C21*('Assump - LNG'!$F21+('Assump - LNG'!$G21-'Assump - LNG'!$F21)*MIN(1,((YEAR($A90)-YEAR('Assump - LNG'!$D21))*12+MONTH($A90)-MONTH('Assump - LNG'!$D21))/MAX('Assump - LNG'!$E21,1)))*INDEX('Assump - LNG'!$J$38:$J$49,MONTH($A90))))</f>
        <v/>
      </c>
      <c r="L90" s="14">
        <f>IF('Assump - LNG'!$D22="",0,IF($A90&lt;'Assump - LNG'!$D22,0,'Assump - LNG'!$C22*('Assump - LNG'!$F22+('Assump - LNG'!$G22-'Assump - LNG'!$F22)*MIN(1,((YEAR($A90)-YEAR('Assump - LNG'!$D22))*12+MONTH($A90)-MONTH('Assump - LNG'!$D22))/MAX('Assump - LNG'!$E22,1)))*INDEX('Assump - LNG'!$J$38:$J$49,MONTH($A90))))</f>
        <v/>
      </c>
      <c r="M90" s="14">
        <f>IF('Assump - LNG'!$D23="",0,IF($A90&lt;'Assump - LNG'!$D23,0,'Assump - LNG'!$C23*('Assump - LNG'!$F23+('Assump - LNG'!$G23-'Assump - LNG'!$F23)*MIN(1,((YEAR($A90)-YEAR('Assump - LNG'!$D23))*12+MONTH($A90)-MONTH('Assump - LNG'!$D23))/MAX('Assump - LNG'!$E23,1)))*INDEX('Assump - LNG'!$J$38:$J$49,MONTH($A90))))</f>
        <v/>
      </c>
      <c r="N90" s="14">
        <f>IF('Assump - LNG'!$D24="",0,IF($A90&lt;'Assump - LNG'!$D24,0,'Assump - LNG'!$C24*('Assump - LNG'!$F24+('Assump - LNG'!$G24-'Assump - LNG'!$F24)*MIN(1,((YEAR($A90)-YEAR('Assump - LNG'!$D24))*12+MONTH($A90)-MONTH('Assump - LNG'!$D24))/MAX('Assump - LNG'!$E24,1)))*INDEX('Assump - LNG'!$J$38:$J$49,MONTH($A90))))</f>
        <v/>
      </c>
      <c r="O90" s="14">
        <f>IF('Assump - LNG'!$D25="",0,IF($A90&lt;'Assump - LNG'!$D25,0,'Assump - LNG'!$C25*('Assump - LNG'!$F25+('Assump - LNG'!$G25-'Assump - LNG'!$F25)*MIN(1,((YEAR($A90)-YEAR('Assump - LNG'!$D25))*12+MONTH($A90)-MONTH('Assump - LNG'!$D25))/MAX('Assump - LNG'!$E25,1)))*INDEX('Assump - LNG'!$J$38:$J$49,MONTH($A90))))</f>
        <v/>
      </c>
      <c r="P90" s="14">
        <f>IF('Assump - LNG'!$D26="",0,IF($A90&lt;'Assump - LNG'!$D26,0,'Assump - LNG'!$C26*('Assump - LNG'!$F26+('Assump - LNG'!$G26-'Assump - LNG'!$F26)*MIN(1,((YEAR($A90)-YEAR('Assump - LNG'!$D26))*12+MONTH($A90)-MONTH('Assump - LNG'!$D26))/MAX('Assump - LNG'!$E26,1)))*INDEX('Assump - LNG'!$J$38:$J$49,MONTH($A90))))</f>
        <v/>
      </c>
      <c r="Q90" s="14">
        <f>IF('Assump - LNG'!$D27="",0,IF($A90&lt;'Assump - LNG'!$D27,0,'Assump - LNG'!$C27*('Assump - LNG'!$F27+('Assump - LNG'!$G27-'Assump - LNG'!$F27)*MIN(1,((YEAR($A90)-YEAR('Assump - LNG'!$D27))*12+MONTH($A90)-MONTH('Assump - LNG'!$D27))/MAX('Assump - LNG'!$E27,1)))*INDEX('Assump - LNG'!$J$38:$J$49,MONTH($A90))))</f>
        <v/>
      </c>
      <c r="R90" s="14">
        <f>IF('Assump - LNG'!$D28="",0,IF($A90&lt;'Assump - LNG'!$D28,0,'Assump - LNG'!$C28*('Assump - LNG'!$F28+('Assump - LNG'!$G28-'Assump - LNG'!$F28)*MIN(1,((YEAR($A90)-YEAR('Assump - LNG'!$D28))*12+MONTH($A90)-MONTH('Assump - LNG'!$D28))/MAX('Assump - LNG'!$E28,1)))*INDEX('Assump - LNG'!$J$38:$J$49,MONTH($A90))))</f>
        <v/>
      </c>
      <c r="S90" s="14">
        <f>IF('Assump - LNG'!$D29="",0,IF($A90&lt;'Assump - LNG'!$D29,0,'Assump - LNG'!$C29*('Assump - LNG'!$F29+('Assump - LNG'!$G29-'Assump - LNG'!$F29)*MIN(1,((YEAR($A90)-YEAR('Assump - LNG'!$D29))*12+MONTH($A90)-MONTH('Assump - LNG'!$D29))/MAX('Assump - LNG'!$E29,1)))*INDEX('Assump - LNG'!$J$38:$J$49,MONTH($A90))))</f>
        <v/>
      </c>
      <c r="T90" s="14">
        <f>IF('Assump - LNG'!$D30="",0,IF($A90&lt;'Assump - LNG'!$D30,0,'Assump - LNG'!$C30*('Assump - LNG'!$F30+('Assump - LNG'!$G30-'Assump - LNG'!$F30)*MIN(1,((YEAR($A90)-YEAR('Assump - LNG'!$D30))*12+MONTH($A90)-MONTH('Assump - LNG'!$D30))/MAX('Assump - LNG'!$E30,1)))*INDEX('Assump - LNG'!$J$38:$J$49,MONTH($A90))))</f>
        <v/>
      </c>
      <c r="U90" s="14">
        <f>IF('Assump - LNG'!$D31="",0,IF($A90&lt;'Assump - LNG'!$D31,0,'Assump - LNG'!$C31*('Assump - LNG'!$F31+('Assump - LNG'!$G31-'Assump - LNG'!$F31)*MIN(1,((YEAR($A90)-YEAR('Assump - LNG'!$D31))*12+MONTH($A90)-MONTH('Assump - LNG'!$D31))/MAX('Assump - LNG'!$E31,1)))*INDEX('Assump - LNG'!$J$38:$J$49,MONTH($A90))))</f>
        <v/>
      </c>
      <c r="V90" s="14">
        <f>IF('Assump - LNG'!$D12="",0,IF($A90&lt;IF('Assump - LNG'!$D12&gt;='Assump - LNG'!$B$6,EDATE('Assump - LNG'!$D12,'Assump - LNG'!$B$4),'Assump - LNG'!$D12),0,'Assump - LNG'!$C12*('Assump - LNG'!$F12+('Assump - LNG'!$G12-'Assump - LNG'!$F12)*MIN(1,((YEAR($A90)-YEAR(IF('Assump - LNG'!$D12&gt;='Assump - LNG'!$B$6,EDATE('Assump - LNG'!$D12,'Assump - LNG'!$B$4),'Assump - LNG'!$D12)))*12+MONTH($A90)-MONTH(IF('Assump - LNG'!$D12&gt;='Assump - LNG'!$B$6,EDATE('Assump - LNG'!$D12,'Assump - LNG'!$B$4),'Assump - LNG'!$D12)))/MAX('Assump - LNG'!$E12,1)))*INDEX('Assump - LNG'!$J$38:$J$49,MONTH($A90))))</f>
        <v/>
      </c>
      <c r="W90" s="14">
        <f>IF('Assump - LNG'!$D13="",0,IF($A90&lt;IF('Assump - LNG'!$D13&gt;='Assump - LNG'!$B$6,EDATE('Assump - LNG'!$D13,'Assump - LNG'!$B$4),'Assump - LNG'!$D13),0,'Assump - LNG'!$C13*('Assump - LNG'!$F13+('Assump - LNG'!$G13-'Assump - LNG'!$F13)*MIN(1,((YEAR($A90)-YEAR(IF('Assump - LNG'!$D13&gt;='Assump - LNG'!$B$6,EDATE('Assump - LNG'!$D13,'Assump - LNG'!$B$4),'Assump - LNG'!$D13)))*12+MONTH($A90)-MONTH(IF('Assump - LNG'!$D13&gt;='Assump - LNG'!$B$6,EDATE('Assump - LNG'!$D13,'Assump - LNG'!$B$4),'Assump - LNG'!$D13)))/MAX('Assump - LNG'!$E13,1)))*INDEX('Assump - LNG'!$J$38:$J$49,MONTH($A90))))</f>
        <v/>
      </c>
      <c r="X90" s="14">
        <f>IF('Assump - LNG'!$D14="",0,IF($A90&lt;IF('Assump - LNG'!$D14&gt;='Assump - LNG'!$B$6,EDATE('Assump - LNG'!$D14,'Assump - LNG'!$B$4),'Assump - LNG'!$D14),0,'Assump - LNG'!$C14*('Assump - LNG'!$F14+('Assump - LNG'!$G14-'Assump - LNG'!$F14)*MIN(1,((YEAR($A90)-YEAR(IF('Assump - LNG'!$D14&gt;='Assump - LNG'!$B$6,EDATE('Assump - LNG'!$D14,'Assump - LNG'!$B$4),'Assump - LNG'!$D14)))*12+MONTH($A90)-MONTH(IF('Assump - LNG'!$D14&gt;='Assump - LNG'!$B$6,EDATE('Assump - LNG'!$D14,'Assump - LNG'!$B$4),'Assump - LNG'!$D14)))/MAX('Assump - LNG'!$E14,1)))*INDEX('Assump - LNG'!$J$38:$J$49,MONTH($A90))))</f>
        <v/>
      </c>
      <c r="Y90" s="14">
        <f>IF('Assump - LNG'!$D15="",0,IF($A90&lt;IF('Assump - LNG'!$D15&gt;='Assump - LNG'!$B$6,EDATE('Assump - LNG'!$D15,'Assump - LNG'!$B$4),'Assump - LNG'!$D15),0,'Assump - LNG'!$C15*('Assump - LNG'!$F15+('Assump - LNG'!$G15-'Assump - LNG'!$F15)*MIN(1,((YEAR($A90)-YEAR(IF('Assump - LNG'!$D15&gt;='Assump - LNG'!$B$6,EDATE('Assump - LNG'!$D15,'Assump - LNG'!$B$4),'Assump - LNG'!$D15)))*12+MONTH($A90)-MONTH(IF('Assump - LNG'!$D15&gt;='Assump - LNG'!$B$6,EDATE('Assump - LNG'!$D15,'Assump - LNG'!$B$4),'Assump - LNG'!$D15)))/MAX('Assump - LNG'!$E15,1)))*INDEX('Assump - LNG'!$J$38:$J$49,MONTH($A90))))</f>
        <v/>
      </c>
      <c r="Z90" s="14">
        <f>IF('Assump - LNG'!$D16="",0,IF($A90&lt;IF('Assump - LNG'!$D16&gt;='Assump - LNG'!$B$6,EDATE('Assump - LNG'!$D16,'Assump - LNG'!$B$4),'Assump - LNG'!$D16),0,'Assump - LNG'!$C16*('Assump - LNG'!$F16+('Assump - LNG'!$G16-'Assump - LNG'!$F16)*MIN(1,((YEAR($A90)-YEAR(IF('Assump - LNG'!$D16&gt;='Assump - LNG'!$B$6,EDATE('Assump - LNG'!$D16,'Assump - LNG'!$B$4),'Assump - LNG'!$D16)))*12+MONTH($A90)-MONTH(IF('Assump - LNG'!$D16&gt;='Assump - LNG'!$B$6,EDATE('Assump - LNG'!$D16,'Assump - LNG'!$B$4),'Assump - LNG'!$D16)))/MAX('Assump - LNG'!$E16,1)))*INDEX('Assump - LNG'!$J$38:$J$49,MONTH($A90))))</f>
        <v/>
      </c>
      <c r="AA90" s="14">
        <f>IF('Assump - LNG'!$D17="",0,IF($A90&lt;IF('Assump - LNG'!$D17&gt;='Assump - LNG'!$B$6,EDATE('Assump - LNG'!$D17,'Assump - LNG'!$B$4),'Assump - LNG'!$D17),0,'Assump - LNG'!$C17*('Assump - LNG'!$F17+('Assump - LNG'!$G17-'Assump - LNG'!$F17)*MIN(1,((YEAR($A90)-YEAR(IF('Assump - LNG'!$D17&gt;='Assump - LNG'!$B$6,EDATE('Assump - LNG'!$D17,'Assump - LNG'!$B$4),'Assump - LNG'!$D17)))*12+MONTH($A90)-MONTH(IF('Assump - LNG'!$D17&gt;='Assump - LNG'!$B$6,EDATE('Assump - LNG'!$D17,'Assump - LNG'!$B$4),'Assump - LNG'!$D17)))/MAX('Assump - LNG'!$E17,1)))*INDEX('Assump - LNG'!$J$38:$J$49,MONTH($A90))))</f>
        <v/>
      </c>
      <c r="AB90" s="14">
        <f>IF('Assump - LNG'!$D18="",0,IF($A90&lt;IF('Assump - LNG'!$D18&gt;='Assump - LNG'!$B$6,EDATE('Assump - LNG'!$D18,'Assump - LNG'!$B$4),'Assump - LNG'!$D18),0,'Assump - LNG'!$C18*('Assump - LNG'!$F18+('Assump - LNG'!$G18-'Assump - LNG'!$F18)*MIN(1,((YEAR($A90)-YEAR(IF('Assump - LNG'!$D18&gt;='Assump - LNG'!$B$6,EDATE('Assump - LNG'!$D18,'Assump - LNG'!$B$4),'Assump - LNG'!$D18)))*12+MONTH($A90)-MONTH(IF('Assump - LNG'!$D18&gt;='Assump - LNG'!$B$6,EDATE('Assump - LNG'!$D18,'Assump - LNG'!$B$4),'Assump - LNG'!$D18)))/MAX('Assump - LNG'!$E18,1)))*INDEX('Assump - LNG'!$J$38:$J$49,MONTH($A90))))</f>
        <v/>
      </c>
      <c r="AC90" s="14">
        <f>IF('Assump - LNG'!$D19="",0,IF($A90&lt;IF('Assump - LNG'!$D19&gt;='Assump - LNG'!$B$6,EDATE('Assump - LNG'!$D19,'Assump - LNG'!$B$4),'Assump - LNG'!$D19),0,'Assump - LNG'!$C19*('Assump - LNG'!$F19+('Assump - LNG'!$G19-'Assump - LNG'!$F19)*MIN(1,((YEAR($A90)-YEAR(IF('Assump - LNG'!$D19&gt;='Assump - LNG'!$B$6,EDATE('Assump - LNG'!$D19,'Assump - LNG'!$B$4),'Assump - LNG'!$D19)))*12+MONTH($A90)-MONTH(IF('Assump - LNG'!$D19&gt;='Assump - LNG'!$B$6,EDATE('Assump - LNG'!$D19,'Assump - LNG'!$B$4),'Assump - LNG'!$D19)))/MAX('Assump - LNG'!$E19,1)))*INDEX('Assump - LNG'!$J$38:$J$49,MONTH($A90))))</f>
        <v/>
      </c>
      <c r="AD90" s="14">
        <f>IF('Assump - LNG'!$D20="",0,IF($A90&lt;IF('Assump - LNG'!$D20&gt;='Assump - LNG'!$B$6,EDATE('Assump - LNG'!$D20,'Assump - LNG'!$B$4),'Assump - LNG'!$D20),0,'Assump - LNG'!$C20*('Assump - LNG'!$F20+('Assump - LNG'!$G20-'Assump - LNG'!$F20)*MIN(1,((YEAR($A90)-YEAR(IF('Assump - LNG'!$D20&gt;='Assump - LNG'!$B$6,EDATE('Assump - LNG'!$D20,'Assump - LNG'!$B$4),'Assump - LNG'!$D20)))*12+MONTH($A90)-MONTH(IF('Assump - LNG'!$D20&gt;='Assump - LNG'!$B$6,EDATE('Assump - LNG'!$D20,'Assump - LNG'!$B$4),'Assump - LNG'!$D20)))/MAX('Assump - LNG'!$E20,1)))*INDEX('Assump - LNG'!$J$38:$J$49,MONTH($A90))))</f>
        <v/>
      </c>
      <c r="AE90" s="14">
        <f>IF('Assump - LNG'!$D21="",0,IF($A90&lt;IF('Assump - LNG'!$D21&gt;='Assump - LNG'!$B$6,EDATE('Assump - LNG'!$D21,'Assump - LNG'!$B$4),'Assump - LNG'!$D21),0,'Assump - LNG'!$C21*('Assump - LNG'!$F21+('Assump - LNG'!$G21-'Assump - LNG'!$F21)*MIN(1,((YEAR($A90)-YEAR(IF('Assump - LNG'!$D21&gt;='Assump - LNG'!$B$6,EDATE('Assump - LNG'!$D21,'Assump - LNG'!$B$4),'Assump - LNG'!$D21)))*12+MONTH($A90)-MONTH(IF('Assump - LNG'!$D21&gt;='Assump - LNG'!$B$6,EDATE('Assump - LNG'!$D21,'Assump - LNG'!$B$4),'Assump - LNG'!$D21)))/MAX('Assump - LNG'!$E21,1)))*INDEX('Assump - LNG'!$J$38:$J$49,MONTH($A90))))</f>
        <v/>
      </c>
      <c r="AF90" s="14">
        <f>IF('Assump - LNG'!$D22="",0,IF($A90&lt;IF('Assump - LNG'!$D22&gt;='Assump - LNG'!$B$6,EDATE('Assump - LNG'!$D22,'Assump - LNG'!$B$4),'Assump - LNG'!$D22),0,'Assump - LNG'!$C22*('Assump - LNG'!$F22+('Assump - LNG'!$G22-'Assump - LNG'!$F22)*MIN(1,((YEAR($A90)-YEAR(IF('Assump - LNG'!$D22&gt;='Assump - LNG'!$B$6,EDATE('Assump - LNG'!$D22,'Assump - LNG'!$B$4),'Assump - LNG'!$D22)))*12+MONTH($A90)-MONTH(IF('Assump - LNG'!$D22&gt;='Assump - LNG'!$B$6,EDATE('Assump - LNG'!$D22,'Assump - LNG'!$B$4),'Assump - LNG'!$D22)))/MAX('Assump - LNG'!$E22,1)))*INDEX('Assump - LNG'!$J$38:$J$49,MONTH($A90))))</f>
        <v/>
      </c>
      <c r="AG90" s="14">
        <f>IF('Assump - LNG'!$D23="",0,IF($A90&lt;IF('Assump - LNG'!$D23&gt;='Assump - LNG'!$B$6,EDATE('Assump - LNG'!$D23,'Assump - LNG'!$B$4),'Assump - LNG'!$D23),0,'Assump - LNG'!$C23*('Assump - LNG'!$F23+('Assump - LNG'!$G23-'Assump - LNG'!$F23)*MIN(1,((YEAR($A90)-YEAR(IF('Assump - LNG'!$D23&gt;='Assump - LNG'!$B$6,EDATE('Assump - LNG'!$D23,'Assump - LNG'!$B$4),'Assump - LNG'!$D23)))*12+MONTH($A90)-MONTH(IF('Assump - LNG'!$D23&gt;='Assump - LNG'!$B$6,EDATE('Assump - LNG'!$D23,'Assump - LNG'!$B$4),'Assump - LNG'!$D23)))/MAX('Assump - LNG'!$E23,1)))*INDEX('Assump - LNG'!$J$38:$J$49,MONTH($A90))))</f>
        <v/>
      </c>
      <c r="AH90" s="14">
        <f>IF('Assump - LNG'!$D24="",0,IF($A90&lt;IF('Assump - LNG'!$D24&gt;='Assump - LNG'!$B$6,EDATE('Assump - LNG'!$D24,'Assump - LNG'!$B$4),'Assump - LNG'!$D24),0,'Assump - LNG'!$C24*('Assump - LNG'!$F24+('Assump - LNG'!$G24-'Assump - LNG'!$F24)*MIN(1,((YEAR($A90)-YEAR(IF('Assump - LNG'!$D24&gt;='Assump - LNG'!$B$6,EDATE('Assump - LNG'!$D24,'Assump - LNG'!$B$4),'Assump - LNG'!$D24)))*12+MONTH($A90)-MONTH(IF('Assump - LNG'!$D24&gt;='Assump - LNG'!$B$6,EDATE('Assump - LNG'!$D24,'Assump - LNG'!$B$4),'Assump - LNG'!$D24)))/MAX('Assump - LNG'!$E24,1)))*INDEX('Assump - LNG'!$J$38:$J$49,MONTH($A90))))</f>
        <v/>
      </c>
      <c r="AI90" s="14">
        <f>IF('Assump - LNG'!$D25="",0,IF($A90&lt;IF('Assump - LNG'!$D25&gt;='Assump - LNG'!$B$6,EDATE('Assump - LNG'!$D25,'Assump - LNG'!$B$4),'Assump - LNG'!$D25),0,'Assump - LNG'!$C25*('Assump - LNG'!$F25+('Assump - LNG'!$G25-'Assump - LNG'!$F25)*MIN(1,((YEAR($A90)-YEAR(IF('Assump - LNG'!$D25&gt;='Assump - LNG'!$B$6,EDATE('Assump - LNG'!$D25,'Assump - LNG'!$B$4),'Assump - LNG'!$D25)))*12+MONTH($A90)-MONTH(IF('Assump - LNG'!$D25&gt;='Assump - LNG'!$B$6,EDATE('Assump - LNG'!$D25,'Assump - LNG'!$B$4),'Assump - LNG'!$D25)))/MAX('Assump - LNG'!$E25,1)))*INDEX('Assump - LNG'!$J$38:$J$49,MONTH($A90))))</f>
        <v/>
      </c>
      <c r="AJ90" s="14">
        <f>IF('Assump - LNG'!$D26="",0,IF($A90&lt;IF('Assump - LNG'!$D26&gt;='Assump - LNG'!$B$6,EDATE('Assump - LNG'!$D26,'Assump - LNG'!$B$4),'Assump - LNG'!$D26),0,'Assump - LNG'!$C26*('Assump - LNG'!$F26+('Assump - LNG'!$G26-'Assump - LNG'!$F26)*MIN(1,((YEAR($A90)-YEAR(IF('Assump - LNG'!$D26&gt;='Assump - LNG'!$B$6,EDATE('Assump - LNG'!$D26,'Assump - LNG'!$B$4),'Assump - LNG'!$D26)))*12+MONTH($A90)-MONTH(IF('Assump - LNG'!$D26&gt;='Assump - LNG'!$B$6,EDATE('Assump - LNG'!$D26,'Assump - LNG'!$B$4),'Assump - LNG'!$D26)))/MAX('Assump - LNG'!$E26,1)))*INDEX('Assump - LNG'!$J$38:$J$49,MONTH($A90))))</f>
        <v/>
      </c>
      <c r="AK90" s="14">
        <f>IF('Assump - LNG'!$D27="",0,IF($A90&lt;IF('Assump - LNG'!$D27&gt;='Assump - LNG'!$B$6,EDATE('Assump - LNG'!$D27,'Assump - LNG'!$B$4),'Assump - LNG'!$D27),0,'Assump - LNG'!$C27*('Assump - LNG'!$F27+('Assump - LNG'!$G27-'Assump - LNG'!$F27)*MIN(1,((YEAR($A90)-YEAR(IF('Assump - LNG'!$D27&gt;='Assump - LNG'!$B$6,EDATE('Assump - LNG'!$D27,'Assump - LNG'!$B$4),'Assump - LNG'!$D27)))*12+MONTH($A90)-MONTH(IF('Assump - LNG'!$D27&gt;='Assump - LNG'!$B$6,EDATE('Assump - LNG'!$D27,'Assump - LNG'!$B$4),'Assump - LNG'!$D27)))/MAX('Assump - LNG'!$E27,1)))*INDEX('Assump - LNG'!$J$38:$J$49,MONTH($A90))))</f>
        <v/>
      </c>
      <c r="AL90" s="14">
        <f>IF('Assump - LNG'!$D28="",0,IF($A90&lt;IF('Assump - LNG'!$D28&gt;='Assump - LNG'!$B$6,EDATE('Assump - LNG'!$D28,'Assump - LNG'!$B$4),'Assump - LNG'!$D28),0,'Assump - LNG'!$C28*('Assump - LNG'!$F28+('Assump - LNG'!$G28-'Assump - LNG'!$F28)*MIN(1,((YEAR($A90)-YEAR(IF('Assump - LNG'!$D28&gt;='Assump - LNG'!$B$6,EDATE('Assump - LNG'!$D28,'Assump - LNG'!$B$4),'Assump - LNG'!$D28)))*12+MONTH($A90)-MONTH(IF('Assump - LNG'!$D28&gt;='Assump - LNG'!$B$6,EDATE('Assump - LNG'!$D28,'Assump - LNG'!$B$4),'Assump - LNG'!$D28)))/MAX('Assump - LNG'!$E28,1)))*INDEX('Assump - LNG'!$J$38:$J$49,MONTH($A90))))</f>
        <v/>
      </c>
      <c r="AM90" s="14">
        <f>IF('Assump - LNG'!$D29="",0,IF($A90&lt;IF('Assump - LNG'!$D29&gt;='Assump - LNG'!$B$6,EDATE('Assump - LNG'!$D29,'Assump - LNG'!$B$4),'Assump - LNG'!$D29),0,'Assump - LNG'!$C29*('Assump - LNG'!$F29+('Assump - LNG'!$G29-'Assump - LNG'!$F29)*MIN(1,((YEAR($A90)-YEAR(IF('Assump - LNG'!$D29&gt;='Assump - LNG'!$B$6,EDATE('Assump - LNG'!$D29,'Assump - LNG'!$B$4),'Assump - LNG'!$D29)))*12+MONTH($A90)-MONTH(IF('Assump - LNG'!$D29&gt;='Assump - LNG'!$B$6,EDATE('Assump - LNG'!$D29,'Assump - LNG'!$B$4),'Assump - LNG'!$D29)))/MAX('Assump - LNG'!$E29,1)))*INDEX('Assump - LNG'!$J$38:$J$49,MONTH($A90))))</f>
        <v/>
      </c>
      <c r="AN90" s="14">
        <f>IF('Assump - LNG'!$D30="",0,IF($A90&lt;IF('Assump - LNG'!$D30&gt;='Assump - LNG'!$B$6,EDATE('Assump - LNG'!$D30,'Assump - LNG'!$B$4),'Assump - LNG'!$D30),0,'Assump - LNG'!$C30*('Assump - LNG'!$F30+('Assump - LNG'!$G30-'Assump - LNG'!$F30)*MIN(1,((YEAR($A90)-YEAR(IF('Assump - LNG'!$D30&gt;='Assump - LNG'!$B$6,EDATE('Assump - LNG'!$D30,'Assump - LNG'!$B$4),'Assump - LNG'!$D30)))*12+MONTH($A90)-MONTH(IF('Assump - LNG'!$D30&gt;='Assump - LNG'!$B$6,EDATE('Assump - LNG'!$D30,'Assump - LNG'!$B$4),'Assump - LNG'!$D30)))/MAX('Assump - LNG'!$E30,1)))*INDEX('Assump - LNG'!$J$38:$J$49,MONTH($A90))))</f>
        <v/>
      </c>
      <c r="AO90" s="14">
        <f>IF('Assump - LNG'!$D31="",0,IF($A90&lt;IF('Assump - LNG'!$D31&gt;='Assump - LNG'!$B$6,EDATE('Assump - LNG'!$D31,'Assump - LNG'!$B$4),'Assump - LNG'!$D31),0,'Assump - LNG'!$C31*('Assump - LNG'!$F31+('Assump - LNG'!$G31-'Assump - LNG'!$F31)*MIN(1,((YEAR($A90)-YEAR(IF('Assump - LNG'!$D31&gt;='Assump - LNG'!$B$6,EDATE('Assump - LNG'!$D31,'Assump - LNG'!$B$4),'Assump - LNG'!$D31)))*12+MONTH($A90)-MONTH(IF('Assump - LNG'!$D31&gt;='Assump - LNG'!$B$6,EDATE('Assump - LNG'!$D31,'Assump - LNG'!$B$4),'Assump - LNG'!$D31)))/MAX('Assump - LNG'!$E31,1)))*INDEX('Assump - LNG'!$J$38:$J$49,MONTH($A90))))</f>
        <v/>
      </c>
    </row>
    <row r="91">
      <c r="A91" s="12" t="n">
        <v>46784</v>
      </c>
      <c r="B91" s="14">
        <f>IF('Assump - LNG'!$D12="",0,IF($A91&lt;'Assump - LNG'!$D12,0,'Assump - LNG'!$C12*('Assump - LNG'!$F12+('Assump - LNG'!$G12-'Assump - LNG'!$F12)*MIN(1,((YEAR($A91)-YEAR('Assump - LNG'!$D12))*12+MONTH($A91)-MONTH('Assump - LNG'!$D12))/MAX('Assump - LNG'!$E12,1)))*INDEX('Assump - LNG'!$J$38:$J$49,MONTH($A91))))</f>
        <v/>
      </c>
      <c r="C91" s="14">
        <f>IF('Assump - LNG'!$D13="",0,IF($A91&lt;'Assump - LNG'!$D13,0,'Assump - LNG'!$C13*('Assump - LNG'!$F13+('Assump - LNG'!$G13-'Assump - LNG'!$F13)*MIN(1,((YEAR($A91)-YEAR('Assump - LNG'!$D13))*12+MONTH($A91)-MONTH('Assump - LNG'!$D13))/MAX('Assump - LNG'!$E13,1)))*INDEX('Assump - LNG'!$J$38:$J$49,MONTH($A91))))</f>
        <v/>
      </c>
      <c r="D91" s="14">
        <f>IF('Assump - LNG'!$D14="",0,IF($A91&lt;'Assump - LNG'!$D14,0,'Assump - LNG'!$C14*('Assump - LNG'!$F14+('Assump - LNG'!$G14-'Assump - LNG'!$F14)*MIN(1,((YEAR($A91)-YEAR('Assump - LNG'!$D14))*12+MONTH($A91)-MONTH('Assump - LNG'!$D14))/MAX('Assump - LNG'!$E14,1)))*INDEX('Assump - LNG'!$J$38:$J$49,MONTH($A91))))</f>
        <v/>
      </c>
      <c r="E91" s="14">
        <f>IF('Assump - LNG'!$D15="",0,IF($A91&lt;'Assump - LNG'!$D15,0,'Assump - LNG'!$C15*('Assump - LNG'!$F15+('Assump - LNG'!$G15-'Assump - LNG'!$F15)*MIN(1,((YEAR($A91)-YEAR('Assump - LNG'!$D15))*12+MONTH($A91)-MONTH('Assump - LNG'!$D15))/MAX('Assump - LNG'!$E15,1)))*INDEX('Assump - LNG'!$J$38:$J$49,MONTH($A91))))</f>
        <v/>
      </c>
      <c r="F91" s="14">
        <f>IF('Assump - LNG'!$D16="",0,IF($A91&lt;'Assump - LNG'!$D16,0,'Assump - LNG'!$C16*('Assump - LNG'!$F16+('Assump - LNG'!$G16-'Assump - LNG'!$F16)*MIN(1,((YEAR($A91)-YEAR('Assump - LNG'!$D16))*12+MONTH($A91)-MONTH('Assump - LNG'!$D16))/MAX('Assump - LNG'!$E16,1)))*INDEX('Assump - LNG'!$J$38:$J$49,MONTH($A91))))</f>
        <v/>
      </c>
      <c r="G91" s="14">
        <f>IF('Assump - LNG'!$D17="",0,IF($A91&lt;'Assump - LNG'!$D17,0,'Assump - LNG'!$C17*('Assump - LNG'!$F17+('Assump - LNG'!$G17-'Assump - LNG'!$F17)*MIN(1,((YEAR($A91)-YEAR('Assump - LNG'!$D17))*12+MONTH($A91)-MONTH('Assump - LNG'!$D17))/MAX('Assump - LNG'!$E17,1)))*INDEX('Assump - LNG'!$J$38:$J$49,MONTH($A91))))</f>
        <v/>
      </c>
      <c r="H91" s="14">
        <f>IF('Assump - LNG'!$D18="",0,IF($A91&lt;'Assump - LNG'!$D18,0,'Assump - LNG'!$C18*('Assump - LNG'!$F18+('Assump - LNG'!$G18-'Assump - LNG'!$F18)*MIN(1,((YEAR($A91)-YEAR('Assump - LNG'!$D18))*12+MONTH($A91)-MONTH('Assump - LNG'!$D18))/MAX('Assump - LNG'!$E18,1)))*INDEX('Assump - LNG'!$J$38:$J$49,MONTH($A91))))</f>
        <v/>
      </c>
      <c r="I91" s="14">
        <f>IF('Assump - LNG'!$D19="",0,IF($A91&lt;'Assump - LNG'!$D19,0,'Assump - LNG'!$C19*('Assump - LNG'!$F19+('Assump - LNG'!$G19-'Assump - LNG'!$F19)*MIN(1,((YEAR($A91)-YEAR('Assump - LNG'!$D19))*12+MONTH($A91)-MONTH('Assump - LNG'!$D19))/MAX('Assump - LNG'!$E19,1)))*INDEX('Assump - LNG'!$J$38:$J$49,MONTH($A91))))</f>
        <v/>
      </c>
      <c r="J91" s="14">
        <f>IF('Assump - LNG'!$D20="",0,IF($A91&lt;'Assump - LNG'!$D20,0,'Assump - LNG'!$C20*('Assump - LNG'!$F20+('Assump - LNG'!$G20-'Assump - LNG'!$F20)*MIN(1,((YEAR($A91)-YEAR('Assump - LNG'!$D20))*12+MONTH($A91)-MONTH('Assump - LNG'!$D20))/MAX('Assump - LNG'!$E20,1)))*INDEX('Assump - LNG'!$J$38:$J$49,MONTH($A91))))</f>
        <v/>
      </c>
      <c r="K91" s="14">
        <f>IF('Assump - LNG'!$D21="",0,IF($A91&lt;'Assump - LNG'!$D21,0,'Assump - LNG'!$C21*('Assump - LNG'!$F21+('Assump - LNG'!$G21-'Assump - LNG'!$F21)*MIN(1,((YEAR($A91)-YEAR('Assump - LNG'!$D21))*12+MONTH($A91)-MONTH('Assump - LNG'!$D21))/MAX('Assump - LNG'!$E21,1)))*INDEX('Assump - LNG'!$J$38:$J$49,MONTH($A91))))</f>
        <v/>
      </c>
      <c r="L91" s="14">
        <f>IF('Assump - LNG'!$D22="",0,IF($A91&lt;'Assump - LNG'!$D22,0,'Assump - LNG'!$C22*('Assump - LNG'!$F22+('Assump - LNG'!$G22-'Assump - LNG'!$F22)*MIN(1,((YEAR($A91)-YEAR('Assump - LNG'!$D22))*12+MONTH($A91)-MONTH('Assump - LNG'!$D22))/MAX('Assump - LNG'!$E22,1)))*INDEX('Assump - LNG'!$J$38:$J$49,MONTH($A91))))</f>
        <v/>
      </c>
      <c r="M91" s="14">
        <f>IF('Assump - LNG'!$D23="",0,IF($A91&lt;'Assump - LNG'!$D23,0,'Assump - LNG'!$C23*('Assump - LNG'!$F23+('Assump - LNG'!$G23-'Assump - LNG'!$F23)*MIN(1,((YEAR($A91)-YEAR('Assump - LNG'!$D23))*12+MONTH($A91)-MONTH('Assump - LNG'!$D23))/MAX('Assump - LNG'!$E23,1)))*INDEX('Assump - LNG'!$J$38:$J$49,MONTH($A91))))</f>
        <v/>
      </c>
      <c r="N91" s="14">
        <f>IF('Assump - LNG'!$D24="",0,IF($A91&lt;'Assump - LNG'!$D24,0,'Assump - LNG'!$C24*('Assump - LNG'!$F24+('Assump - LNG'!$G24-'Assump - LNG'!$F24)*MIN(1,((YEAR($A91)-YEAR('Assump - LNG'!$D24))*12+MONTH($A91)-MONTH('Assump - LNG'!$D24))/MAX('Assump - LNG'!$E24,1)))*INDEX('Assump - LNG'!$J$38:$J$49,MONTH($A91))))</f>
        <v/>
      </c>
      <c r="O91" s="14">
        <f>IF('Assump - LNG'!$D25="",0,IF($A91&lt;'Assump - LNG'!$D25,0,'Assump - LNG'!$C25*('Assump - LNG'!$F25+('Assump - LNG'!$G25-'Assump - LNG'!$F25)*MIN(1,((YEAR($A91)-YEAR('Assump - LNG'!$D25))*12+MONTH($A91)-MONTH('Assump - LNG'!$D25))/MAX('Assump - LNG'!$E25,1)))*INDEX('Assump - LNG'!$J$38:$J$49,MONTH($A91))))</f>
        <v/>
      </c>
      <c r="P91" s="14">
        <f>IF('Assump - LNG'!$D26="",0,IF($A91&lt;'Assump - LNG'!$D26,0,'Assump - LNG'!$C26*('Assump - LNG'!$F26+('Assump - LNG'!$G26-'Assump - LNG'!$F26)*MIN(1,((YEAR($A91)-YEAR('Assump - LNG'!$D26))*12+MONTH($A91)-MONTH('Assump - LNG'!$D26))/MAX('Assump - LNG'!$E26,1)))*INDEX('Assump - LNG'!$J$38:$J$49,MONTH($A91))))</f>
        <v/>
      </c>
      <c r="Q91" s="14">
        <f>IF('Assump - LNG'!$D27="",0,IF($A91&lt;'Assump - LNG'!$D27,0,'Assump - LNG'!$C27*('Assump - LNG'!$F27+('Assump - LNG'!$G27-'Assump - LNG'!$F27)*MIN(1,((YEAR($A91)-YEAR('Assump - LNG'!$D27))*12+MONTH($A91)-MONTH('Assump - LNG'!$D27))/MAX('Assump - LNG'!$E27,1)))*INDEX('Assump - LNG'!$J$38:$J$49,MONTH($A91))))</f>
        <v/>
      </c>
      <c r="R91" s="14">
        <f>IF('Assump - LNG'!$D28="",0,IF($A91&lt;'Assump - LNG'!$D28,0,'Assump - LNG'!$C28*('Assump - LNG'!$F28+('Assump - LNG'!$G28-'Assump - LNG'!$F28)*MIN(1,((YEAR($A91)-YEAR('Assump - LNG'!$D28))*12+MONTH($A91)-MONTH('Assump - LNG'!$D28))/MAX('Assump - LNG'!$E28,1)))*INDEX('Assump - LNG'!$J$38:$J$49,MONTH($A91))))</f>
        <v/>
      </c>
      <c r="S91" s="14">
        <f>IF('Assump - LNG'!$D29="",0,IF($A91&lt;'Assump - LNG'!$D29,0,'Assump - LNG'!$C29*('Assump - LNG'!$F29+('Assump - LNG'!$G29-'Assump - LNG'!$F29)*MIN(1,((YEAR($A91)-YEAR('Assump - LNG'!$D29))*12+MONTH($A91)-MONTH('Assump - LNG'!$D29))/MAX('Assump - LNG'!$E29,1)))*INDEX('Assump - LNG'!$J$38:$J$49,MONTH($A91))))</f>
        <v/>
      </c>
      <c r="T91" s="14">
        <f>IF('Assump - LNG'!$D30="",0,IF($A91&lt;'Assump - LNG'!$D30,0,'Assump - LNG'!$C30*('Assump - LNG'!$F30+('Assump - LNG'!$G30-'Assump - LNG'!$F30)*MIN(1,((YEAR($A91)-YEAR('Assump - LNG'!$D30))*12+MONTH($A91)-MONTH('Assump - LNG'!$D30))/MAX('Assump - LNG'!$E30,1)))*INDEX('Assump - LNG'!$J$38:$J$49,MONTH($A91))))</f>
        <v/>
      </c>
      <c r="U91" s="14">
        <f>IF('Assump - LNG'!$D31="",0,IF($A91&lt;'Assump - LNG'!$D31,0,'Assump - LNG'!$C31*('Assump - LNG'!$F31+('Assump - LNG'!$G31-'Assump - LNG'!$F31)*MIN(1,((YEAR($A91)-YEAR('Assump - LNG'!$D31))*12+MONTH($A91)-MONTH('Assump - LNG'!$D31))/MAX('Assump - LNG'!$E31,1)))*INDEX('Assump - LNG'!$J$38:$J$49,MONTH($A91))))</f>
        <v/>
      </c>
      <c r="V91" s="14">
        <f>IF('Assump - LNG'!$D12="",0,IF($A91&lt;IF('Assump - LNG'!$D12&gt;='Assump - LNG'!$B$6,EDATE('Assump - LNG'!$D12,'Assump - LNG'!$B$4),'Assump - LNG'!$D12),0,'Assump - LNG'!$C12*('Assump - LNG'!$F12+('Assump - LNG'!$G12-'Assump - LNG'!$F12)*MIN(1,((YEAR($A91)-YEAR(IF('Assump - LNG'!$D12&gt;='Assump - LNG'!$B$6,EDATE('Assump - LNG'!$D12,'Assump - LNG'!$B$4),'Assump - LNG'!$D12)))*12+MONTH($A91)-MONTH(IF('Assump - LNG'!$D12&gt;='Assump - LNG'!$B$6,EDATE('Assump - LNG'!$D12,'Assump - LNG'!$B$4),'Assump - LNG'!$D12)))/MAX('Assump - LNG'!$E12,1)))*INDEX('Assump - LNG'!$J$38:$J$49,MONTH($A91))))</f>
        <v/>
      </c>
      <c r="W91" s="14">
        <f>IF('Assump - LNG'!$D13="",0,IF($A91&lt;IF('Assump - LNG'!$D13&gt;='Assump - LNG'!$B$6,EDATE('Assump - LNG'!$D13,'Assump - LNG'!$B$4),'Assump - LNG'!$D13),0,'Assump - LNG'!$C13*('Assump - LNG'!$F13+('Assump - LNG'!$G13-'Assump - LNG'!$F13)*MIN(1,((YEAR($A91)-YEAR(IF('Assump - LNG'!$D13&gt;='Assump - LNG'!$B$6,EDATE('Assump - LNG'!$D13,'Assump - LNG'!$B$4),'Assump - LNG'!$D13)))*12+MONTH($A91)-MONTH(IF('Assump - LNG'!$D13&gt;='Assump - LNG'!$B$6,EDATE('Assump - LNG'!$D13,'Assump - LNG'!$B$4),'Assump - LNG'!$D13)))/MAX('Assump - LNG'!$E13,1)))*INDEX('Assump - LNG'!$J$38:$J$49,MONTH($A91))))</f>
        <v/>
      </c>
      <c r="X91" s="14">
        <f>IF('Assump - LNG'!$D14="",0,IF($A91&lt;IF('Assump - LNG'!$D14&gt;='Assump - LNG'!$B$6,EDATE('Assump - LNG'!$D14,'Assump - LNG'!$B$4),'Assump - LNG'!$D14),0,'Assump - LNG'!$C14*('Assump - LNG'!$F14+('Assump - LNG'!$G14-'Assump - LNG'!$F14)*MIN(1,((YEAR($A91)-YEAR(IF('Assump - LNG'!$D14&gt;='Assump - LNG'!$B$6,EDATE('Assump - LNG'!$D14,'Assump - LNG'!$B$4),'Assump - LNG'!$D14)))*12+MONTH($A91)-MONTH(IF('Assump - LNG'!$D14&gt;='Assump - LNG'!$B$6,EDATE('Assump - LNG'!$D14,'Assump - LNG'!$B$4),'Assump - LNG'!$D14)))/MAX('Assump - LNG'!$E14,1)))*INDEX('Assump - LNG'!$J$38:$J$49,MONTH($A91))))</f>
        <v/>
      </c>
      <c r="Y91" s="14">
        <f>IF('Assump - LNG'!$D15="",0,IF($A91&lt;IF('Assump - LNG'!$D15&gt;='Assump - LNG'!$B$6,EDATE('Assump - LNG'!$D15,'Assump - LNG'!$B$4),'Assump - LNG'!$D15),0,'Assump - LNG'!$C15*('Assump - LNG'!$F15+('Assump - LNG'!$G15-'Assump - LNG'!$F15)*MIN(1,((YEAR($A91)-YEAR(IF('Assump - LNG'!$D15&gt;='Assump - LNG'!$B$6,EDATE('Assump - LNG'!$D15,'Assump - LNG'!$B$4),'Assump - LNG'!$D15)))*12+MONTH($A91)-MONTH(IF('Assump - LNG'!$D15&gt;='Assump - LNG'!$B$6,EDATE('Assump - LNG'!$D15,'Assump - LNG'!$B$4),'Assump - LNG'!$D15)))/MAX('Assump - LNG'!$E15,1)))*INDEX('Assump - LNG'!$J$38:$J$49,MONTH($A91))))</f>
        <v/>
      </c>
      <c r="Z91" s="14">
        <f>IF('Assump - LNG'!$D16="",0,IF($A91&lt;IF('Assump - LNG'!$D16&gt;='Assump - LNG'!$B$6,EDATE('Assump - LNG'!$D16,'Assump - LNG'!$B$4),'Assump - LNG'!$D16),0,'Assump - LNG'!$C16*('Assump - LNG'!$F16+('Assump - LNG'!$G16-'Assump - LNG'!$F16)*MIN(1,((YEAR($A91)-YEAR(IF('Assump - LNG'!$D16&gt;='Assump - LNG'!$B$6,EDATE('Assump - LNG'!$D16,'Assump - LNG'!$B$4),'Assump - LNG'!$D16)))*12+MONTH($A91)-MONTH(IF('Assump - LNG'!$D16&gt;='Assump - LNG'!$B$6,EDATE('Assump - LNG'!$D16,'Assump - LNG'!$B$4),'Assump - LNG'!$D16)))/MAX('Assump - LNG'!$E16,1)))*INDEX('Assump - LNG'!$J$38:$J$49,MONTH($A91))))</f>
        <v/>
      </c>
      <c r="AA91" s="14">
        <f>IF('Assump - LNG'!$D17="",0,IF($A91&lt;IF('Assump - LNG'!$D17&gt;='Assump - LNG'!$B$6,EDATE('Assump - LNG'!$D17,'Assump - LNG'!$B$4),'Assump - LNG'!$D17),0,'Assump - LNG'!$C17*('Assump - LNG'!$F17+('Assump - LNG'!$G17-'Assump - LNG'!$F17)*MIN(1,((YEAR($A91)-YEAR(IF('Assump - LNG'!$D17&gt;='Assump - LNG'!$B$6,EDATE('Assump - LNG'!$D17,'Assump - LNG'!$B$4),'Assump - LNG'!$D17)))*12+MONTH($A91)-MONTH(IF('Assump - LNG'!$D17&gt;='Assump - LNG'!$B$6,EDATE('Assump - LNG'!$D17,'Assump - LNG'!$B$4),'Assump - LNG'!$D17)))/MAX('Assump - LNG'!$E17,1)))*INDEX('Assump - LNG'!$J$38:$J$49,MONTH($A91))))</f>
        <v/>
      </c>
      <c r="AB91" s="14">
        <f>IF('Assump - LNG'!$D18="",0,IF($A91&lt;IF('Assump - LNG'!$D18&gt;='Assump - LNG'!$B$6,EDATE('Assump - LNG'!$D18,'Assump - LNG'!$B$4),'Assump - LNG'!$D18),0,'Assump - LNG'!$C18*('Assump - LNG'!$F18+('Assump - LNG'!$G18-'Assump - LNG'!$F18)*MIN(1,((YEAR($A91)-YEAR(IF('Assump - LNG'!$D18&gt;='Assump - LNG'!$B$6,EDATE('Assump - LNG'!$D18,'Assump - LNG'!$B$4),'Assump - LNG'!$D18)))*12+MONTH($A91)-MONTH(IF('Assump - LNG'!$D18&gt;='Assump - LNG'!$B$6,EDATE('Assump - LNG'!$D18,'Assump - LNG'!$B$4),'Assump - LNG'!$D18)))/MAX('Assump - LNG'!$E18,1)))*INDEX('Assump - LNG'!$J$38:$J$49,MONTH($A91))))</f>
        <v/>
      </c>
      <c r="AC91" s="14">
        <f>IF('Assump - LNG'!$D19="",0,IF($A91&lt;IF('Assump - LNG'!$D19&gt;='Assump - LNG'!$B$6,EDATE('Assump - LNG'!$D19,'Assump - LNG'!$B$4),'Assump - LNG'!$D19),0,'Assump - LNG'!$C19*('Assump - LNG'!$F19+('Assump - LNG'!$G19-'Assump - LNG'!$F19)*MIN(1,((YEAR($A91)-YEAR(IF('Assump - LNG'!$D19&gt;='Assump - LNG'!$B$6,EDATE('Assump - LNG'!$D19,'Assump - LNG'!$B$4),'Assump - LNG'!$D19)))*12+MONTH($A91)-MONTH(IF('Assump - LNG'!$D19&gt;='Assump - LNG'!$B$6,EDATE('Assump - LNG'!$D19,'Assump - LNG'!$B$4),'Assump - LNG'!$D19)))/MAX('Assump - LNG'!$E19,1)))*INDEX('Assump - LNG'!$J$38:$J$49,MONTH($A91))))</f>
        <v/>
      </c>
      <c r="AD91" s="14">
        <f>IF('Assump - LNG'!$D20="",0,IF($A91&lt;IF('Assump - LNG'!$D20&gt;='Assump - LNG'!$B$6,EDATE('Assump - LNG'!$D20,'Assump - LNG'!$B$4),'Assump - LNG'!$D20),0,'Assump - LNG'!$C20*('Assump - LNG'!$F20+('Assump - LNG'!$G20-'Assump - LNG'!$F20)*MIN(1,((YEAR($A91)-YEAR(IF('Assump - LNG'!$D20&gt;='Assump - LNG'!$B$6,EDATE('Assump - LNG'!$D20,'Assump - LNG'!$B$4),'Assump - LNG'!$D20)))*12+MONTH($A91)-MONTH(IF('Assump - LNG'!$D20&gt;='Assump - LNG'!$B$6,EDATE('Assump - LNG'!$D20,'Assump - LNG'!$B$4),'Assump - LNG'!$D20)))/MAX('Assump - LNG'!$E20,1)))*INDEX('Assump - LNG'!$J$38:$J$49,MONTH($A91))))</f>
        <v/>
      </c>
      <c r="AE91" s="14">
        <f>IF('Assump - LNG'!$D21="",0,IF($A91&lt;IF('Assump - LNG'!$D21&gt;='Assump - LNG'!$B$6,EDATE('Assump - LNG'!$D21,'Assump - LNG'!$B$4),'Assump - LNG'!$D21),0,'Assump - LNG'!$C21*('Assump - LNG'!$F21+('Assump - LNG'!$G21-'Assump - LNG'!$F21)*MIN(1,((YEAR($A91)-YEAR(IF('Assump - LNG'!$D21&gt;='Assump - LNG'!$B$6,EDATE('Assump - LNG'!$D21,'Assump - LNG'!$B$4),'Assump - LNG'!$D21)))*12+MONTH($A91)-MONTH(IF('Assump - LNG'!$D21&gt;='Assump - LNG'!$B$6,EDATE('Assump - LNG'!$D21,'Assump - LNG'!$B$4),'Assump - LNG'!$D21)))/MAX('Assump - LNG'!$E21,1)))*INDEX('Assump - LNG'!$J$38:$J$49,MONTH($A91))))</f>
        <v/>
      </c>
      <c r="AF91" s="14">
        <f>IF('Assump - LNG'!$D22="",0,IF($A91&lt;IF('Assump - LNG'!$D22&gt;='Assump - LNG'!$B$6,EDATE('Assump - LNG'!$D22,'Assump - LNG'!$B$4),'Assump - LNG'!$D22),0,'Assump - LNG'!$C22*('Assump - LNG'!$F22+('Assump - LNG'!$G22-'Assump - LNG'!$F22)*MIN(1,((YEAR($A91)-YEAR(IF('Assump - LNG'!$D22&gt;='Assump - LNG'!$B$6,EDATE('Assump - LNG'!$D22,'Assump - LNG'!$B$4),'Assump - LNG'!$D22)))*12+MONTH($A91)-MONTH(IF('Assump - LNG'!$D22&gt;='Assump - LNG'!$B$6,EDATE('Assump - LNG'!$D22,'Assump - LNG'!$B$4),'Assump - LNG'!$D22)))/MAX('Assump - LNG'!$E22,1)))*INDEX('Assump - LNG'!$J$38:$J$49,MONTH($A91))))</f>
        <v/>
      </c>
      <c r="AG91" s="14">
        <f>IF('Assump - LNG'!$D23="",0,IF($A91&lt;IF('Assump - LNG'!$D23&gt;='Assump - LNG'!$B$6,EDATE('Assump - LNG'!$D23,'Assump - LNG'!$B$4),'Assump - LNG'!$D23),0,'Assump - LNG'!$C23*('Assump - LNG'!$F23+('Assump - LNG'!$G23-'Assump - LNG'!$F23)*MIN(1,((YEAR($A91)-YEAR(IF('Assump - LNG'!$D23&gt;='Assump - LNG'!$B$6,EDATE('Assump - LNG'!$D23,'Assump - LNG'!$B$4),'Assump - LNG'!$D23)))*12+MONTH($A91)-MONTH(IF('Assump - LNG'!$D23&gt;='Assump - LNG'!$B$6,EDATE('Assump - LNG'!$D23,'Assump - LNG'!$B$4),'Assump - LNG'!$D23)))/MAX('Assump - LNG'!$E23,1)))*INDEX('Assump - LNG'!$J$38:$J$49,MONTH($A91))))</f>
        <v/>
      </c>
      <c r="AH91" s="14">
        <f>IF('Assump - LNG'!$D24="",0,IF($A91&lt;IF('Assump - LNG'!$D24&gt;='Assump - LNG'!$B$6,EDATE('Assump - LNG'!$D24,'Assump - LNG'!$B$4),'Assump - LNG'!$D24),0,'Assump - LNG'!$C24*('Assump - LNG'!$F24+('Assump - LNG'!$G24-'Assump - LNG'!$F24)*MIN(1,((YEAR($A91)-YEAR(IF('Assump - LNG'!$D24&gt;='Assump - LNG'!$B$6,EDATE('Assump - LNG'!$D24,'Assump - LNG'!$B$4),'Assump - LNG'!$D24)))*12+MONTH($A91)-MONTH(IF('Assump - LNG'!$D24&gt;='Assump - LNG'!$B$6,EDATE('Assump - LNG'!$D24,'Assump - LNG'!$B$4),'Assump - LNG'!$D24)))/MAX('Assump - LNG'!$E24,1)))*INDEX('Assump - LNG'!$J$38:$J$49,MONTH($A91))))</f>
        <v/>
      </c>
      <c r="AI91" s="14">
        <f>IF('Assump - LNG'!$D25="",0,IF($A91&lt;IF('Assump - LNG'!$D25&gt;='Assump - LNG'!$B$6,EDATE('Assump - LNG'!$D25,'Assump - LNG'!$B$4),'Assump - LNG'!$D25),0,'Assump - LNG'!$C25*('Assump - LNG'!$F25+('Assump - LNG'!$G25-'Assump - LNG'!$F25)*MIN(1,((YEAR($A91)-YEAR(IF('Assump - LNG'!$D25&gt;='Assump - LNG'!$B$6,EDATE('Assump - LNG'!$D25,'Assump - LNG'!$B$4),'Assump - LNG'!$D25)))*12+MONTH($A91)-MONTH(IF('Assump - LNG'!$D25&gt;='Assump - LNG'!$B$6,EDATE('Assump - LNG'!$D25,'Assump - LNG'!$B$4),'Assump - LNG'!$D25)))/MAX('Assump - LNG'!$E25,1)))*INDEX('Assump - LNG'!$J$38:$J$49,MONTH($A91))))</f>
        <v/>
      </c>
      <c r="AJ91" s="14">
        <f>IF('Assump - LNG'!$D26="",0,IF($A91&lt;IF('Assump - LNG'!$D26&gt;='Assump - LNG'!$B$6,EDATE('Assump - LNG'!$D26,'Assump - LNG'!$B$4),'Assump - LNG'!$D26),0,'Assump - LNG'!$C26*('Assump - LNG'!$F26+('Assump - LNG'!$G26-'Assump - LNG'!$F26)*MIN(1,((YEAR($A91)-YEAR(IF('Assump - LNG'!$D26&gt;='Assump - LNG'!$B$6,EDATE('Assump - LNG'!$D26,'Assump - LNG'!$B$4),'Assump - LNG'!$D26)))*12+MONTH($A91)-MONTH(IF('Assump - LNG'!$D26&gt;='Assump - LNG'!$B$6,EDATE('Assump - LNG'!$D26,'Assump - LNG'!$B$4),'Assump - LNG'!$D26)))/MAX('Assump - LNG'!$E26,1)))*INDEX('Assump - LNG'!$J$38:$J$49,MONTH($A91))))</f>
        <v/>
      </c>
      <c r="AK91" s="14">
        <f>IF('Assump - LNG'!$D27="",0,IF($A91&lt;IF('Assump - LNG'!$D27&gt;='Assump - LNG'!$B$6,EDATE('Assump - LNG'!$D27,'Assump - LNG'!$B$4),'Assump - LNG'!$D27),0,'Assump - LNG'!$C27*('Assump - LNG'!$F27+('Assump - LNG'!$G27-'Assump - LNG'!$F27)*MIN(1,((YEAR($A91)-YEAR(IF('Assump - LNG'!$D27&gt;='Assump - LNG'!$B$6,EDATE('Assump - LNG'!$D27,'Assump - LNG'!$B$4),'Assump - LNG'!$D27)))*12+MONTH($A91)-MONTH(IF('Assump - LNG'!$D27&gt;='Assump - LNG'!$B$6,EDATE('Assump - LNG'!$D27,'Assump - LNG'!$B$4),'Assump - LNG'!$D27)))/MAX('Assump - LNG'!$E27,1)))*INDEX('Assump - LNG'!$J$38:$J$49,MONTH($A91))))</f>
        <v/>
      </c>
      <c r="AL91" s="14">
        <f>IF('Assump - LNG'!$D28="",0,IF($A91&lt;IF('Assump - LNG'!$D28&gt;='Assump - LNG'!$B$6,EDATE('Assump - LNG'!$D28,'Assump - LNG'!$B$4),'Assump - LNG'!$D28),0,'Assump - LNG'!$C28*('Assump - LNG'!$F28+('Assump - LNG'!$G28-'Assump - LNG'!$F28)*MIN(1,((YEAR($A91)-YEAR(IF('Assump - LNG'!$D28&gt;='Assump - LNG'!$B$6,EDATE('Assump - LNG'!$D28,'Assump - LNG'!$B$4),'Assump - LNG'!$D28)))*12+MONTH($A91)-MONTH(IF('Assump - LNG'!$D28&gt;='Assump - LNG'!$B$6,EDATE('Assump - LNG'!$D28,'Assump - LNG'!$B$4),'Assump - LNG'!$D28)))/MAX('Assump - LNG'!$E28,1)))*INDEX('Assump - LNG'!$J$38:$J$49,MONTH($A91))))</f>
        <v/>
      </c>
      <c r="AM91" s="14">
        <f>IF('Assump - LNG'!$D29="",0,IF($A91&lt;IF('Assump - LNG'!$D29&gt;='Assump - LNG'!$B$6,EDATE('Assump - LNG'!$D29,'Assump - LNG'!$B$4),'Assump - LNG'!$D29),0,'Assump - LNG'!$C29*('Assump - LNG'!$F29+('Assump - LNG'!$G29-'Assump - LNG'!$F29)*MIN(1,((YEAR($A91)-YEAR(IF('Assump - LNG'!$D29&gt;='Assump - LNG'!$B$6,EDATE('Assump - LNG'!$D29,'Assump - LNG'!$B$4),'Assump - LNG'!$D29)))*12+MONTH($A91)-MONTH(IF('Assump - LNG'!$D29&gt;='Assump - LNG'!$B$6,EDATE('Assump - LNG'!$D29,'Assump - LNG'!$B$4),'Assump - LNG'!$D29)))/MAX('Assump - LNG'!$E29,1)))*INDEX('Assump - LNG'!$J$38:$J$49,MONTH($A91))))</f>
        <v/>
      </c>
      <c r="AN91" s="14">
        <f>IF('Assump - LNG'!$D30="",0,IF($A91&lt;IF('Assump - LNG'!$D30&gt;='Assump - LNG'!$B$6,EDATE('Assump - LNG'!$D30,'Assump - LNG'!$B$4),'Assump - LNG'!$D30),0,'Assump - LNG'!$C30*('Assump - LNG'!$F30+('Assump - LNG'!$G30-'Assump - LNG'!$F30)*MIN(1,((YEAR($A91)-YEAR(IF('Assump - LNG'!$D30&gt;='Assump - LNG'!$B$6,EDATE('Assump - LNG'!$D30,'Assump - LNG'!$B$4),'Assump - LNG'!$D30)))*12+MONTH($A91)-MONTH(IF('Assump - LNG'!$D30&gt;='Assump - LNG'!$B$6,EDATE('Assump - LNG'!$D30,'Assump - LNG'!$B$4),'Assump - LNG'!$D30)))/MAX('Assump - LNG'!$E30,1)))*INDEX('Assump - LNG'!$J$38:$J$49,MONTH($A91))))</f>
        <v/>
      </c>
      <c r="AO91" s="14">
        <f>IF('Assump - LNG'!$D31="",0,IF($A91&lt;IF('Assump - LNG'!$D31&gt;='Assump - LNG'!$B$6,EDATE('Assump - LNG'!$D31,'Assump - LNG'!$B$4),'Assump - LNG'!$D31),0,'Assump - LNG'!$C31*('Assump - LNG'!$F31+('Assump - LNG'!$G31-'Assump - LNG'!$F31)*MIN(1,((YEAR($A91)-YEAR(IF('Assump - LNG'!$D31&gt;='Assump - LNG'!$B$6,EDATE('Assump - LNG'!$D31,'Assump - LNG'!$B$4),'Assump - LNG'!$D31)))*12+MONTH($A91)-MONTH(IF('Assump - LNG'!$D31&gt;='Assump - LNG'!$B$6,EDATE('Assump - LNG'!$D31,'Assump - LNG'!$B$4),'Assump - LNG'!$D31)))/MAX('Assump - LNG'!$E31,1)))*INDEX('Assump - LNG'!$J$38:$J$49,MONTH($A91))))</f>
        <v/>
      </c>
    </row>
    <row r="92">
      <c r="A92" s="12" t="n">
        <v>46813</v>
      </c>
      <c r="B92" s="14">
        <f>IF('Assump - LNG'!$D12="",0,IF($A92&lt;'Assump - LNG'!$D12,0,'Assump - LNG'!$C12*('Assump - LNG'!$F12+('Assump - LNG'!$G12-'Assump - LNG'!$F12)*MIN(1,((YEAR($A92)-YEAR('Assump - LNG'!$D12))*12+MONTH($A92)-MONTH('Assump - LNG'!$D12))/MAX('Assump - LNG'!$E12,1)))*INDEX('Assump - LNG'!$J$38:$J$49,MONTH($A92))))</f>
        <v/>
      </c>
      <c r="C92" s="14">
        <f>IF('Assump - LNG'!$D13="",0,IF($A92&lt;'Assump - LNG'!$D13,0,'Assump - LNG'!$C13*('Assump - LNG'!$F13+('Assump - LNG'!$G13-'Assump - LNG'!$F13)*MIN(1,((YEAR($A92)-YEAR('Assump - LNG'!$D13))*12+MONTH($A92)-MONTH('Assump - LNG'!$D13))/MAX('Assump - LNG'!$E13,1)))*INDEX('Assump - LNG'!$J$38:$J$49,MONTH($A92))))</f>
        <v/>
      </c>
      <c r="D92" s="14">
        <f>IF('Assump - LNG'!$D14="",0,IF($A92&lt;'Assump - LNG'!$D14,0,'Assump - LNG'!$C14*('Assump - LNG'!$F14+('Assump - LNG'!$G14-'Assump - LNG'!$F14)*MIN(1,((YEAR($A92)-YEAR('Assump - LNG'!$D14))*12+MONTH($A92)-MONTH('Assump - LNG'!$D14))/MAX('Assump - LNG'!$E14,1)))*INDEX('Assump - LNG'!$J$38:$J$49,MONTH($A92))))</f>
        <v/>
      </c>
      <c r="E92" s="14">
        <f>IF('Assump - LNG'!$D15="",0,IF($A92&lt;'Assump - LNG'!$D15,0,'Assump - LNG'!$C15*('Assump - LNG'!$F15+('Assump - LNG'!$G15-'Assump - LNG'!$F15)*MIN(1,((YEAR($A92)-YEAR('Assump - LNG'!$D15))*12+MONTH($A92)-MONTH('Assump - LNG'!$D15))/MAX('Assump - LNG'!$E15,1)))*INDEX('Assump - LNG'!$J$38:$J$49,MONTH($A92))))</f>
        <v/>
      </c>
      <c r="F92" s="14">
        <f>IF('Assump - LNG'!$D16="",0,IF($A92&lt;'Assump - LNG'!$D16,0,'Assump - LNG'!$C16*('Assump - LNG'!$F16+('Assump - LNG'!$G16-'Assump - LNG'!$F16)*MIN(1,((YEAR($A92)-YEAR('Assump - LNG'!$D16))*12+MONTH($A92)-MONTH('Assump - LNG'!$D16))/MAX('Assump - LNG'!$E16,1)))*INDEX('Assump - LNG'!$J$38:$J$49,MONTH($A92))))</f>
        <v/>
      </c>
      <c r="G92" s="14">
        <f>IF('Assump - LNG'!$D17="",0,IF($A92&lt;'Assump - LNG'!$D17,0,'Assump - LNG'!$C17*('Assump - LNG'!$F17+('Assump - LNG'!$G17-'Assump - LNG'!$F17)*MIN(1,((YEAR($A92)-YEAR('Assump - LNG'!$D17))*12+MONTH($A92)-MONTH('Assump - LNG'!$D17))/MAX('Assump - LNG'!$E17,1)))*INDEX('Assump - LNG'!$J$38:$J$49,MONTH($A92))))</f>
        <v/>
      </c>
      <c r="H92" s="14">
        <f>IF('Assump - LNG'!$D18="",0,IF($A92&lt;'Assump - LNG'!$D18,0,'Assump - LNG'!$C18*('Assump - LNG'!$F18+('Assump - LNG'!$G18-'Assump - LNG'!$F18)*MIN(1,((YEAR($A92)-YEAR('Assump - LNG'!$D18))*12+MONTH($A92)-MONTH('Assump - LNG'!$D18))/MAX('Assump - LNG'!$E18,1)))*INDEX('Assump - LNG'!$J$38:$J$49,MONTH($A92))))</f>
        <v/>
      </c>
      <c r="I92" s="14">
        <f>IF('Assump - LNG'!$D19="",0,IF($A92&lt;'Assump - LNG'!$D19,0,'Assump - LNG'!$C19*('Assump - LNG'!$F19+('Assump - LNG'!$G19-'Assump - LNG'!$F19)*MIN(1,((YEAR($A92)-YEAR('Assump - LNG'!$D19))*12+MONTH($A92)-MONTH('Assump - LNG'!$D19))/MAX('Assump - LNG'!$E19,1)))*INDEX('Assump - LNG'!$J$38:$J$49,MONTH($A92))))</f>
        <v/>
      </c>
      <c r="J92" s="14">
        <f>IF('Assump - LNG'!$D20="",0,IF($A92&lt;'Assump - LNG'!$D20,0,'Assump - LNG'!$C20*('Assump - LNG'!$F20+('Assump - LNG'!$G20-'Assump - LNG'!$F20)*MIN(1,((YEAR($A92)-YEAR('Assump - LNG'!$D20))*12+MONTH($A92)-MONTH('Assump - LNG'!$D20))/MAX('Assump - LNG'!$E20,1)))*INDEX('Assump - LNG'!$J$38:$J$49,MONTH($A92))))</f>
        <v/>
      </c>
      <c r="K92" s="14">
        <f>IF('Assump - LNG'!$D21="",0,IF($A92&lt;'Assump - LNG'!$D21,0,'Assump - LNG'!$C21*('Assump - LNG'!$F21+('Assump - LNG'!$G21-'Assump - LNG'!$F21)*MIN(1,((YEAR($A92)-YEAR('Assump - LNG'!$D21))*12+MONTH($A92)-MONTH('Assump - LNG'!$D21))/MAX('Assump - LNG'!$E21,1)))*INDEX('Assump - LNG'!$J$38:$J$49,MONTH($A92))))</f>
        <v/>
      </c>
      <c r="L92" s="14">
        <f>IF('Assump - LNG'!$D22="",0,IF($A92&lt;'Assump - LNG'!$D22,0,'Assump - LNG'!$C22*('Assump - LNG'!$F22+('Assump - LNG'!$G22-'Assump - LNG'!$F22)*MIN(1,((YEAR($A92)-YEAR('Assump - LNG'!$D22))*12+MONTH($A92)-MONTH('Assump - LNG'!$D22))/MAX('Assump - LNG'!$E22,1)))*INDEX('Assump - LNG'!$J$38:$J$49,MONTH($A92))))</f>
        <v/>
      </c>
      <c r="M92" s="14">
        <f>IF('Assump - LNG'!$D23="",0,IF($A92&lt;'Assump - LNG'!$D23,0,'Assump - LNG'!$C23*('Assump - LNG'!$F23+('Assump - LNG'!$G23-'Assump - LNG'!$F23)*MIN(1,((YEAR($A92)-YEAR('Assump - LNG'!$D23))*12+MONTH($A92)-MONTH('Assump - LNG'!$D23))/MAX('Assump - LNG'!$E23,1)))*INDEX('Assump - LNG'!$J$38:$J$49,MONTH($A92))))</f>
        <v/>
      </c>
      <c r="N92" s="14">
        <f>IF('Assump - LNG'!$D24="",0,IF($A92&lt;'Assump - LNG'!$D24,0,'Assump - LNG'!$C24*('Assump - LNG'!$F24+('Assump - LNG'!$G24-'Assump - LNG'!$F24)*MIN(1,((YEAR($A92)-YEAR('Assump - LNG'!$D24))*12+MONTH($A92)-MONTH('Assump - LNG'!$D24))/MAX('Assump - LNG'!$E24,1)))*INDEX('Assump - LNG'!$J$38:$J$49,MONTH($A92))))</f>
        <v/>
      </c>
      <c r="O92" s="14">
        <f>IF('Assump - LNG'!$D25="",0,IF($A92&lt;'Assump - LNG'!$D25,0,'Assump - LNG'!$C25*('Assump - LNG'!$F25+('Assump - LNG'!$G25-'Assump - LNG'!$F25)*MIN(1,((YEAR($A92)-YEAR('Assump - LNG'!$D25))*12+MONTH($A92)-MONTH('Assump - LNG'!$D25))/MAX('Assump - LNG'!$E25,1)))*INDEX('Assump - LNG'!$J$38:$J$49,MONTH($A92))))</f>
        <v/>
      </c>
      <c r="P92" s="14">
        <f>IF('Assump - LNG'!$D26="",0,IF($A92&lt;'Assump - LNG'!$D26,0,'Assump - LNG'!$C26*('Assump - LNG'!$F26+('Assump - LNG'!$G26-'Assump - LNG'!$F26)*MIN(1,((YEAR($A92)-YEAR('Assump - LNG'!$D26))*12+MONTH($A92)-MONTH('Assump - LNG'!$D26))/MAX('Assump - LNG'!$E26,1)))*INDEX('Assump - LNG'!$J$38:$J$49,MONTH($A92))))</f>
        <v/>
      </c>
      <c r="Q92" s="14">
        <f>IF('Assump - LNG'!$D27="",0,IF($A92&lt;'Assump - LNG'!$D27,0,'Assump - LNG'!$C27*('Assump - LNG'!$F27+('Assump - LNG'!$G27-'Assump - LNG'!$F27)*MIN(1,((YEAR($A92)-YEAR('Assump - LNG'!$D27))*12+MONTH($A92)-MONTH('Assump - LNG'!$D27))/MAX('Assump - LNG'!$E27,1)))*INDEX('Assump - LNG'!$J$38:$J$49,MONTH($A92))))</f>
        <v/>
      </c>
      <c r="R92" s="14">
        <f>IF('Assump - LNG'!$D28="",0,IF($A92&lt;'Assump - LNG'!$D28,0,'Assump - LNG'!$C28*('Assump - LNG'!$F28+('Assump - LNG'!$G28-'Assump - LNG'!$F28)*MIN(1,((YEAR($A92)-YEAR('Assump - LNG'!$D28))*12+MONTH($A92)-MONTH('Assump - LNG'!$D28))/MAX('Assump - LNG'!$E28,1)))*INDEX('Assump - LNG'!$J$38:$J$49,MONTH($A92))))</f>
        <v/>
      </c>
      <c r="S92" s="14">
        <f>IF('Assump - LNG'!$D29="",0,IF($A92&lt;'Assump - LNG'!$D29,0,'Assump - LNG'!$C29*('Assump - LNG'!$F29+('Assump - LNG'!$G29-'Assump - LNG'!$F29)*MIN(1,((YEAR($A92)-YEAR('Assump - LNG'!$D29))*12+MONTH($A92)-MONTH('Assump - LNG'!$D29))/MAX('Assump - LNG'!$E29,1)))*INDEX('Assump - LNG'!$J$38:$J$49,MONTH($A92))))</f>
        <v/>
      </c>
      <c r="T92" s="14">
        <f>IF('Assump - LNG'!$D30="",0,IF($A92&lt;'Assump - LNG'!$D30,0,'Assump - LNG'!$C30*('Assump - LNG'!$F30+('Assump - LNG'!$G30-'Assump - LNG'!$F30)*MIN(1,((YEAR($A92)-YEAR('Assump - LNG'!$D30))*12+MONTH($A92)-MONTH('Assump - LNG'!$D30))/MAX('Assump - LNG'!$E30,1)))*INDEX('Assump - LNG'!$J$38:$J$49,MONTH($A92))))</f>
        <v/>
      </c>
      <c r="U92" s="14">
        <f>IF('Assump - LNG'!$D31="",0,IF($A92&lt;'Assump - LNG'!$D31,0,'Assump - LNG'!$C31*('Assump - LNG'!$F31+('Assump - LNG'!$G31-'Assump - LNG'!$F31)*MIN(1,((YEAR($A92)-YEAR('Assump - LNG'!$D31))*12+MONTH($A92)-MONTH('Assump - LNG'!$D31))/MAX('Assump - LNG'!$E31,1)))*INDEX('Assump - LNG'!$J$38:$J$49,MONTH($A92))))</f>
        <v/>
      </c>
      <c r="V92" s="14">
        <f>IF('Assump - LNG'!$D12="",0,IF($A92&lt;IF('Assump - LNG'!$D12&gt;='Assump - LNG'!$B$6,EDATE('Assump - LNG'!$D12,'Assump - LNG'!$B$4),'Assump - LNG'!$D12),0,'Assump - LNG'!$C12*('Assump - LNG'!$F12+('Assump - LNG'!$G12-'Assump - LNG'!$F12)*MIN(1,((YEAR($A92)-YEAR(IF('Assump - LNG'!$D12&gt;='Assump - LNG'!$B$6,EDATE('Assump - LNG'!$D12,'Assump - LNG'!$B$4),'Assump - LNG'!$D12)))*12+MONTH($A92)-MONTH(IF('Assump - LNG'!$D12&gt;='Assump - LNG'!$B$6,EDATE('Assump - LNG'!$D12,'Assump - LNG'!$B$4),'Assump - LNG'!$D12)))/MAX('Assump - LNG'!$E12,1)))*INDEX('Assump - LNG'!$J$38:$J$49,MONTH($A92))))</f>
        <v/>
      </c>
      <c r="W92" s="14">
        <f>IF('Assump - LNG'!$D13="",0,IF($A92&lt;IF('Assump - LNG'!$D13&gt;='Assump - LNG'!$B$6,EDATE('Assump - LNG'!$D13,'Assump - LNG'!$B$4),'Assump - LNG'!$D13),0,'Assump - LNG'!$C13*('Assump - LNG'!$F13+('Assump - LNG'!$G13-'Assump - LNG'!$F13)*MIN(1,((YEAR($A92)-YEAR(IF('Assump - LNG'!$D13&gt;='Assump - LNG'!$B$6,EDATE('Assump - LNG'!$D13,'Assump - LNG'!$B$4),'Assump - LNG'!$D13)))*12+MONTH($A92)-MONTH(IF('Assump - LNG'!$D13&gt;='Assump - LNG'!$B$6,EDATE('Assump - LNG'!$D13,'Assump - LNG'!$B$4),'Assump - LNG'!$D13)))/MAX('Assump - LNG'!$E13,1)))*INDEX('Assump - LNG'!$J$38:$J$49,MONTH($A92))))</f>
        <v/>
      </c>
      <c r="X92" s="14">
        <f>IF('Assump - LNG'!$D14="",0,IF($A92&lt;IF('Assump - LNG'!$D14&gt;='Assump - LNG'!$B$6,EDATE('Assump - LNG'!$D14,'Assump - LNG'!$B$4),'Assump - LNG'!$D14),0,'Assump - LNG'!$C14*('Assump - LNG'!$F14+('Assump - LNG'!$G14-'Assump - LNG'!$F14)*MIN(1,((YEAR($A92)-YEAR(IF('Assump - LNG'!$D14&gt;='Assump - LNG'!$B$6,EDATE('Assump - LNG'!$D14,'Assump - LNG'!$B$4),'Assump - LNG'!$D14)))*12+MONTH($A92)-MONTH(IF('Assump - LNG'!$D14&gt;='Assump - LNG'!$B$6,EDATE('Assump - LNG'!$D14,'Assump - LNG'!$B$4),'Assump - LNG'!$D14)))/MAX('Assump - LNG'!$E14,1)))*INDEX('Assump - LNG'!$J$38:$J$49,MONTH($A92))))</f>
        <v/>
      </c>
      <c r="Y92" s="14">
        <f>IF('Assump - LNG'!$D15="",0,IF($A92&lt;IF('Assump - LNG'!$D15&gt;='Assump - LNG'!$B$6,EDATE('Assump - LNG'!$D15,'Assump - LNG'!$B$4),'Assump - LNG'!$D15),0,'Assump - LNG'!$C15*('Assump - LNG'!$F15+('Assump - LNG'!$G15-'Assump - LNG'!$F15)*MIN(1,((YEAR($A92)-YEAR(IF('Assump - LNG'!$D15&gt;='Assump - LNG'!$B$6,EDATE('Assump - LNG'!$D15,'Assump - LNG'!$B$4),'Assump - LNG'!$D15)))*12+MONTH($A92)-MONTH(IF('Assump - LNG'!$D15&gt;='Assump - LNG'!$B$6,EDATE('Assump - LNG'!$D15,'Assump - LNG'!$B$4),'Assump - LNG'!$D15)))/MAX('Assump - LNG'!$E15,1)))*INDEX('Assump - LNG'!$J$38:$J$49,MONTH($A92))))</f>
        <v/>
      </c>
      <c r="Z92" s="14">
        <f>IF('Assump - LNG'!$D16="",0,IF($A92&lt;IF('Assump - LNG'!$D16&gt;='Assump - LNG'!$B$6,EDATE('Assump - LNG'!$D16,'Assump - LNG'!$B$4),'Assump - LNG'!$D16),0,'Assump - LNG'!$C16*('Assump - LNG'!$F16+('Assump - LNG'!$G16-'Assump - LNG'!$F16)*MIN(1,((YEAR($A92)-YEAR(IF('Assump - LNG'!$D16&gt;='Assump - LNG'!$B$6,EDATE('Assump - LNG'!$D16,'Assump - LNG'!$B$4),'Assump - LNG'!$D16)))*12+MONTH($A92)-MONTH(IF('Assump - LNG'!$D16&gt;='Assump - LNG'!$B$6,EDATE('Assump - LNG'!$D16,'Assump - LNG'!$B$4),'Assump - LNG'!$D16)))/MAX('Assump - LNG'!$E16,1)))*INDEX('Assump - LNG'!$J$38:$J$49,MONTH($A92))))</f>
        <v/>
      </c>
      <c r="AA92" s="14">
        <f>IF('Assump - LNG'!$D17="",0,IF($A92&lt;IF('Assump - LNG'!$D17&gt;='Assump - LNG'!$B$6,EDATE('Assump - LNG'!$D17,'Assump - LNG'!$B$4),'Assump - LNG'!$D17),0,'Assump - LNG'!$C17*('Assump - LNG'!$F17+('Assump - LNG'!$G17-'Assump - LNG'!$F17)*MIN(1,((YEAR($A92)-YEAR(IF('Assump - LNG'!$D17&gt;='Assump - LNG'!$B$6,EDATE('Assump - LNG'!$D17,'Assump - LNG'!$B$4),'Assump - LNG'!$D17)))*12+MONTH($A92)-MONTH(IF('Assump - LNG'!$D17&gt;='Assump - LNG'!$B$6,EDATE('Assump - LNG'!$D17,'Assump - LNG'!$B$4),'Assump - LNG'!$D17)))/MAX('Assump - LNG'!$E17,1)))*INDEX('Assump - LNG'!$J$38:$J$49,MONTH($A92))))</f>
        <v/>
      </c>
      <c r="AB92" s="14">
        <f>IF('Assump - LNG'!$D18="",0,IF($A92&lt;IF('Assump - LNG'!$D18&gt;='Assump - LNG'!$B$6,EDATE('Assump - LNG'!$D18,'Assump - LNG'!$B$4),'Assump - LNG'!$D18),0,'Assump - LNG'!$C18*('Assump - LNG'!$F18+('Assump - LNG'!$G18-'Assump - LNG'!$F18)*MIN(1,((YEAR($A92)-YEAR(IF('Assump - LNG'!$D18&gt;='Assump - LNG'!$B$6,EDATE('Assump - LNG'!$D18,'Assump - LNG'!$B$4),'Assump - LNG'!$D18)))*12+MONTH($A92)-MONTH(IF('Assump - LNG'!$D18&gt;='Assump - LNG'!$B$6,EDATE('Assump - LNG'!$D18,'Assump - LNG'!$B$4),'Assump - LNG'!$D18)))/MAX('Assump - LNG'!$E18,1)))*INDEX('Assump - LNG'!$J$38:$J$49,MONTH($A92))))</f>
        <v/>
      </c>
      <c r="AC92" s="14">
        <f>IF('Assump - LNG'!$D19="",0,IF($A92&lt;IF('Assump - LNG'!$D19&gt;='Assump - LNG'!$B$6,EDATE('Assump - LNG'!$D19,'Assump - LNG'!$B$4),'Assump - LNG'!$D19),0,'Assump - LNG'!$C19*('Assump - LNG'!$F19+('Assump - LNG'!$G19-'Assump - LNG'!$F19)*MIN(1,((YEAR($A92)-YEAR(IF('Assump - LNG'!$D19&gt;='Assump - LNG'!$B$6,EDATE('Assump - LNG'!$D19,'Assump - LNG'!$B$4),'Assump - LNG'!$D19)))*12+MONTH($A92)-MONTH(IF('Assump - LNG'!$D19&gt;='Assump - LNG'!$B$6,EDATE('Assump - LNG'!$D19,'Assump - LNG'!$B$4),'Assump - LNG'!$D19)))/MAX('Assump - LNG'!$E19,1)))*INDEX('Assump - LNG'!$J$38:$J$49,MONTH($A92))))</f>
        <v/>
      </c>
      <c r="AD92" s="14">
        <f>IF('Assump - LNG'!$D20="",0,IF($A92&lt;IF('Assump - LNG'!$D20&gt;='Assump - LNG'!$B$6,EDATE('Assump - LNG'!$D20,'Assump - LNG'!$B$4),'Assump - LNG'!$D20),0,'Assump - LNG'!$C20*('Assump - LNG'!$F20+('Assump - LNG'!$G20-'Assump - LNG'!$F20)*MIN(1,((YEAR($A92)-YEAR(IF('Assump - LNG'!$D20&gt;='Assump - LNG'!$B$6,EDATE('Assump - LNG'!$D20,'Assump - LNG'!$B$4),'Assump - LNG'!$D20)))*12+MONTH($A92)-MONTH(IF('Assump - LNG'!$D20&gt;='Assump - LNG'!$B$6,EDATE('Assump - LNG'!$D20,'Assump - LNG'!$B$4),'Assump - LNG'!$D20)))/MAX('Assump - LNG'!$E20,1)))*INDEX('Assump - LNG'!$J$38:$J$49,MONTH($A92))))</f>
        <v/>
      </c>
      <c r="AE92" s="14">
        <f>IF('Assump - LNG'!$D21="",0,IF($A92&lt;IF('Assump - LNG'!$D21&gt;='Assump - LNG'!$B$6,EDATE('Assump - LNG'!$D21,'Assump - LNG'!$B$4),'Assump - LNG'!$D21),0,'Assump - LNG'!$C21*('Assump - LNG'!$F21+('Assump - LNG'!$G21-'Assump - LNG'!$F21)*MIN(1,((YEAR($A92)-YEAR(IF('Assump - LNG'!$D21&gt;='Assump - LNG'!$B$6,EDATE('Assump - LNG'!$D21,'Assump - LNG'!$B$4),'Assump - LNG'!$D21)))*12+MONTH($A92)-MONTH(IF('Assump - LNG'!$D21&gt;='Assump - LNG'!$B$6,EDATE('Assump - LNG'!$D21,'Assump - LNG'!$B$4),'Assump - LNG'!$D21)))/MAX('Assump - LNG'!$E21,1)))*INDEX('Assump - LNG'!$J$38:$J$49,MONTH($A92))))</f>
        <v/>
      </c>
      <c r="AF92" s="14">
        <f>IF('Assump - LNG'!$D22="",0,IF($A92&lt;IF('Assump - LNG'!$D22&gt;='Assump - LNG'!$B$6,EDATE('Assump - LNG'!$D22,'Assump - LNG'!$B$4),'Assump - LNG'!$D22),0,'Assump - LNG'!$C22*('Assump - LNG'!$F22+('Assump - LNG'!$G22-'Assump - LNG'!$F22)*MIN(1,((YEAR($A92)-YEAR(IF('Assump - LNG'!$D22&gt;='Assump - LNG'!$B$6,EDATE('Assump - LNG'!$D22,'Assump - LNG'!$B$4),'Assump - LNG'!$D22)))*12+MONTH($A92)-MONTH(IF('Assump - LNG'!$D22&gt;='Assump - LNG'!$B$6,EDATE('Assump - LNG'!$D22,'Assump - LNG'!$B$4),'Assump - LNG'!$D22)))/MAX('Assump - LNG'!$E22,1)))*INDEX('Assump - LNG'!$J$38:$J$49,MONTH($A92))))</f>
        <v/>
      </c>
      <c r="AG92" s="14">
        <f>IF('Assump - LNG'!$D23="",0,IF($A92&lt;IF('Assump - LNG'!$D23&gt;='Assump - LNG'!$B$6,EDATE('Assump - LNG'!$D23,'Assump - LNG'!$B$4),'Assump - LNG'!$D23),0,'Assump - LNG'!$C23*('Assump - LNG'!$F23+('Assump - LNG'!$G23-'Assump - LNG'!$F23)*MIN(1,((YEAR($A92)-YEAR(IF('Assump - LNG'!$D23&gt;='Assump - LNG'!$B$6,EDATE('Assump - LNG'!$D23,'Assump - LNG'!$B$4),'Assump - LNG'!$D23)))*12+MONTH($A92)-MONTH(IF('Assump - LNG'!$D23&gt;='Assump - LNG'!$B$6,EDATE('Assump - LNG'!$D23,'Assump - LNG'!$B$4),'Assump - LNG'!$D23)))/MAX('Assump - LNG'!$E23,1)))*INDEX('Assump - LNG'!$J$38:$J$49,MONTH($A92))))</f>
        <v/>
      </c>
      <c r="AH92" s="14">
        <f>IF('Assump - LNG'!$D24="",0,IF($A92&lt;IF('Assump - LNG'!$D24&gt;='Assump - LNG'!$B$6,EDATE('Assump - LNG'!$D24,'Assump - LNG'!$B$4),'Assump - LNG'!$D24),0,'Assump - LNG'!$C24*('Assump - LNG'!$F24+('Assump - LNG'!$G24-'Assump - LNG'!$F24)*MIN(1,((YEAR($A92)-YEAR(IF('Assump - LNG'!$D24&gt;='Assump - LNG'!$B$6,EDATE('Assump - LNG'!$D24,'Assump - LNG'!$B$4),'Assump - LNG'!$D24)))*12+MONTH($A92)-MONTH(IF('Assump - LNG'!$D24&gt;='Assump - LNG'!$B$6,EDATE('Assump - LNG'!$D24,'Assump - LNG'!$B$4),'Assump - LNG'!$D24)))/MAX('Assump - LNG'!$E24,1)))*INDEX('Assump - LNG'!$J$38:$J$49,MONTH($A92))))</f>
        <v/>
      </c>
      <c r="AI92" s="14">
        <f>IF('Assump - LNG'!$D25="",0,IF($A92&lt;IF('Assump - LNG'!$D25&gt;='Assump - LNG'!$B$6,EDATE('Assump - LNG'!$D25,'Assump - LNG'!$B$4),'Assump - LNG'!$D25),0,'Assump - LNG'!$C25*('Assump - LNG'!$F25+('Assump - LNG'!$G25-'Assump - LNG'!$F25)*MIN(1,((YEAR($A92)-YEAR(IF('Assump - LNG'!$D25&gt;='Assump - LNG'!$B$6,EDATE('Assump - LNG'!$D25,'Assump - LNG'!$B$4),'Assump - LNG'!$D25)))*12+MONTH($A92)-MONTH(IF('Assump - LNG'!$D25&gt;='Assump - LNG'!$B$6,EDATE('Assump - LNG'!$D25,'Assump - LNG'!$B$4),'Assump - LNG'!$D25)))/MAX('Assump - LNG'!$E25,1)))*INDEX('Assump - LNG'!$J$38:$J$49,MONTH($A92))))</f>
        <v/>
      </c>
      <c r="AJ92" s="14">
        <f>IF('Assump - LNG'!$D26="",0,IF($A92&lt;IF('Assump - LNG'!$D26&gt;='Assump - LNG'!$B$6,EDATE('Assump - LNG'!$D26,'Assump - LNG'!$B$4),'Assump - LNG'!$D26),0,'Assump - LNG'!$C26*('Assump - LNG'!$F26+('Assump - LNG'!$G26-'Assump - LNG'!$F26)*MIN(1,((YEAR($A92)-YEAR(IF('Assump - LNG'!$D26&gt;='Assump - LNG'!$B$6,EDATE('Assump - LNG'!$D26,'Assump - LNG'!$B$4),'Assump - LNG'!$D26)))*12+MONTH($A92)-MONTH(IF('Assump - LNG'!$D26&gt;='Assump - LNG'!$B$6,EDATE('Assump - LNG'!$D26,'Assump - LNG'!$B$4),'Assump - LNG'!$D26)))/MAX('Assump - LNG'!$E26,1)))*INDEX('Assump - LNG'!$J$38:$J$49,MONTH($A92))))</f>
        <v/>
      </c>
      <c r="AK92" s="14">
        <f>IF('Assump - LNG'!$D27="",0,IF($A92&lt;IF('Assump - LNG'!$D27&gt;='Assump - LNG'!$B$6,EDATE('Assump - LNG'!$D27,'Assump - LNG'!$B$4),'Assump - LNG'!$D27),0,'Assump - LNG'!$C27*('Assump - LNG'!$F27+('Assump - LNG'!$G27-'Assump - LNG'!$F27)*MIN(1,((YEAR($A92)-YEAR(IF('Assump - LNG'!$D27&gt;='Assump - LNG'!$B$6,EDATE('Assump - LNG'!$D27,'Assump - LNG'!$B$4),'Assump - LNG'!$D27)))*12+MONTH($A92)-MONTH(IF('Assump - LNG'!$D27&gt;='Assump - LNG'!$B$6,EDATE('Assump - LNG'!$D27,'Assump - LNG'!$B$4),'Assump - LNG'!$D27)))/MAX('Assump - LNG'!$E27,1)))*INDEX('Assump - LNG'!$J$38:$J$49,MONTH($A92))))</f>
        <v/>
      </c>
      <c r="AL92" s="14">
        <f>IF('Assump - LNG'!$D28="",0,IF($A92&lt;IF('Assump - LNG'!$D28&gt;='Assump - LNG'!$B$6,EDATE('Assump - LNG'!$D28,'Assump - LNG'!$B$4),'Assump - LNG'!$D28),0,'Assump - LNG'!$C28*('Assump - LNG'!$F28+('Assump - LNG'!$G28-'Assump - LNG'!$F28)*MIN(1,((YEAR($A92)-YEAR(IF('Assump - LNG'!$D28&gt;='Assump - LNG'!$B$6,EDATE('Assump - LNG'!$D28,'Assump - LNG'!$B$4),'Assump - LNG'!$D28)))*12+MONTH($A92)-MONTH(IF('Assump - LNG'!$D28&gt;='Assump - LNG'!$B$6,EDATE('Assump - LNG'!$D28,'Assump - LNG'!$B$4),'Assump - LNG'!$D28)))/MAX('Assump - LNG'!$E28,1)))*INDEX('Assump - LNG'!$J$38:$J$49,MONTH($A92))))</f>
        <v/>
      </c>
      <c r="AM92" s="14">
        <f>IF('Assump - LNG'!$D29="",0,IF($A92&lt;IF('Assump - LNG'!$D29&gt;='Assump - LNG'!$B$6,EDATE('Assump - LNG'!$D29,'Assump - LNG'!$B$4),'Assump - LNG'!$D29),0,'Assump - LNG'!$C29*('Assump - LNG'!$F29+('Assump - LNG'!$G29-'Assump - LNG'!$F29)*MIN(1,((YEAR($A92)-YEAR(IF('Assump - LNG'!$D29&gt;='Assump - LNG'!$B$6,EDATE('Assump - LNG'!$D29,'Assump - LNG'!$B$4),'Assump - LNG'!$D29)))*12+MONTH($A92)-MONTH(IF('Assump - LNG'!$D29&gt;='Assump - LNG'!$B$6,EDATE('Assump - LNG'!$D29,'Assump - LNG'!$B$4),'Assump - LNG'!$D29)))/MAX('Assump - LNG'!$E29,1)))*INDEX('Assump - LNG'!$J$38:$J$49,MONTH($A92))))</f>
        <v/>
      </c>
      <c r="AN92" s="14">
        <f>IF('Assump - LNG'!$D30="",0,IF($A92&lt;IF('Assump - LNG'!$D30&gt;='Assump - LNG'!$B$6,EDATE('Assump - LNG'!$D30,'Assump - LNG'!$B$4),'Assump - LNG'!$D30),0,'Assump - LNG'!$C30*('Assump - LNG'!$F30+('Assump - LNG'!$G30-'Assump - LNG'!$F30)*MIN(1,((YEAR($A92)-YEAR(IF('Assump - LNG'!$D30&gt;='Assump - LNG'!$B$6,EDATE('Assump - LNG'!$D30,'Assump - LNG'!$B$4),'Assump - LNG'!$D30)))*12+MONTH($A92)-MONTH(IF('Assump - LNG'!$D30&gt;='Assump - LNG'!$B$6,EDATE('Assump - LNG'!$D30,'Assump - LNG'!$B$4),'Assump - LNG'!$D30)))/MAX('Assump - LNG'!$E30,1)))*INDEX('Assump - LNG'!$J$38:$J$49,MONTH($A92))))</f>
        <v/>
      </c>
      <c r="AO92" s="14">
        <f>IF('Assump - LNG'!$D31="",0,IF($A92&lt;IF('Assump - LNG'!$D31&gt;='Assump - LNG'!$B$6,EDATE('Assump - LNG'!$D31,'Assump - LNG'!$B$4),'Assump - LNG'!$D31),0,'Assump - LNG'!$C31*('Assump - LNG'!$F31+('Assump - LNG'!$G31-'Assump - LNG'!$F31)*MIN(1,((YEAR($A92)-YEAR(IF('Assump - LNG'!$D31&gt;='Assump - LNG'!$B$6,EDATE('Assump - LNG'!$D31,'Assump - LNG'!$B$4),'Assump - LNG'!$D31)))*12+MONTH($A92)-MONTH(IF('Assump - LNG'!$D31&gt;='Assump - LNG'!$B$6,EDATE('Assump - LNG'!$D31,'Assump - LNG'!$B$4),'Assump - LNG'!$D31)))/MAX('Assump - LNG'!$E31,1)))*INDEX('Assump - LNG'!$J$38:$J$49,MONTH($A92))))</f>
        <v/>
      </c>
    </row>
    <row r="93">
      <c r="A93" s="12" t="n">
        <v>46844</v>
      </c>
      <c r="B93" s="14">
        <f>IF('Assump - LNG'!$D12="",0,IF($A93&lt;'Assump - LNG'!$D12,0,'Assump - LNG'!$C12*('Assump - LNG'!$F12+('Assump - LNG'!$G12-'Assump - LNG'!$F12)*MIN(1,((YEAR($A93)-YEAR('Assump - LNG'!$D12))*12+MONTH($A93)-MONTH('Assump - LNG'!$D12))/MAX('Assump - LNG'!$E12,1)))*INDEX('Assump - LNG'!$J$38:$J$49,MONTH($A93))))</f>
        <v/>
      </c>
      <c r="C93" s="14">
        <f>IF('Assump - LNG'!$D13="",0,IF($A93&lt;'Assump - LNG'!$D13,0,'Assump - LNG'!$C13*('Assump - LNG'!$F13+('Assump - LNG'!$G13-'Assump - LNG'!$F13)*MIN(1,((YEAR($A93)-YEAR('Assump - LNG'!$D13))*12+MONTH($A93)-MONTH('Assump - LNG'!$D13))/MAX('Assump - LNG'!$E13,1)))*INDEX('Assump - LNG'!$J$38:$J$49,MONTH($A93))))</f>
        <v/>
      </c>
      <c r="D93" s="14">
        <f>IF('Assump - LNG'!$D14="",0,IF($A93&lt;'Assump - LNG'!$D14,0,'Assump - LNG'!$C14*('Assump - LNG'!$F14+('Assump - LNG'!$G14-'Assump - LNG'!$F14)*MIN(1,((YEAR($A93)-YEAR('Assump - LNG'!$D14))*12+MONTH($A93)-MONTH('Assump - LNG'!$D14))/MAX('Assump - LNG'!$E14,1)))*INDEX('Assump - LNG'!$J$38:$J$49,MONTH($A93))))</f>
        <v/>
      </c>
      <c r="E93" s="14">
        <f>IF('Assump - LNG'!$D15="",0,IF($A93&lt;'Assump - LNG'!$D15,0,'Assump - LNG'!$C15*('Assump - LNG'!$F15+('Assump - LNG'!$G15-'Assump - LNG'!$F15)*MIN(1,((YEAR($A93)-YEAR('Assump - LNG'!$D15))*12+MONTH($A93)-MONTH('Assump - LNG'!$D15))/MAX('Assump - LNG'!$E15,1)))*INDEX('Assump - LNG'!$J$38:$J$49,MONTH($A93))))</f>
        <v/>
      </c>
      <c r="F93" s="14">
        <f>IF('Assump - LNG'!$D16="",0,IF($A93&lt;'Assump - LNG'!$D16,0,'Assump - LNG'!$C16*('Assump - LNG'!$F16+('Assump - LNG'!$G16-'Assump - LNG'!$F16)*MIN(1,((YEAR($A93)-YEAR('Assump - LNG'!$D16))*12+MONTH($A93)-MONTH('Assump - LNG'!$D16))/MAX('Assump - LNG'!$E16,1)))*INDEX('Assump - LNG'!$J$38:$J$49,MONTH($A93))))</f>
        <v/>
      </c>
      <c r="G93" s="14">
        <f>IF('Assump - LNG'!$D17="",0,IF($A93&lt;'Assump - LNG'!$D17,0,'Assump - LNG'!$C17*('Assump - LNG'!$F17+('Assump - LNG'!$G17-'Assump - LNG'!$F17)*MIN(1,((YEAR($A93)-YEAR('Assump - LNG'!$D17))*12+MONTH($A93)-MONTH('Assump - LNG'!$D17))/MAX('Assump - LNG'!$E17,1)))*INDEX('Assump - LNG'!$J$38:$J$49,MONTH($A93))))</f>
        <v/>
      </c>
      <c r="H93" s="14">
        <f>IF('Assump - LNG'!$D18="",0,IF($A93&lt;'Assump - LNG'!$D18,0,'Assump - LNG'!$C18*('Assump - LNG'!$F18+('Assump - LNG'!$G18-'Assump - LNG'!$F18)*MIN(1,((YEAR($A93)-YEAR('Assump - LNG'!$D18))*12+MONTH($A93)-MONTH('Assump - LNG'!$D18))/MAX('Assump - LNG'!$E18,1)))*INDEX('Assump - LNG'!$J$38:$J$49,MONTH($A93))))</f>
        <v/>
      </c>
      <c r="I93" s="14">
        <f>IF('Assump - LNG'!$D19="",0,IF($A93&lt;'Assump - LNG'!$D19,0,'Assump - LNG'!$C19*('Assump - LNG'!$F19+('Assump - LNG'!$G19-'Assump - LNG'!$F19)*MIN(1,((YEAR($A93)-YEAR('Assump - LNG'!$D19))*12+MONTH($A93)-MONTH('Assump - LNG'!$D19))/MAX('Assump - LNG'!$E19,1)))*INDEX('Assump - LNG'!$J$38:$J$49,MONTH($A93))))</f>
        <v/>
      </c>
      <c r="J93" s="14">
        <f>IF('Assump - LNG'!$D20="",0,IF($A93&lt;'Assump - LNG'!$D20,0,'Assump - LNG'!$C20*('Assump - LNG'!$F20+('Assump - LNG'!$G20-'Assump - LNG'!$F20)*MIN(1,((YEAR($A93)-YEAR('Assump - LNG'!$D20))*12+MONTH($A93)-MONTH('Assump - LNG'!$D20))/MAX('Assump - LNG'!$E20,1)))*INDEX('Assump - LNG'!$J$38:$J$49,MONTH($A93))))</f>
        <v/>
      </c>
      <c r="K93" s="14">
        <f>IF('Assump - LNG'!$D21="",0,IF($A93&lt;'Assump - LNG'!$D21,0,'Assump - LNG'!$C21*('Assump - LNG'!$F21+('Assump - LNG'!$G21-'Assump - LNG'!$F21)*MIN(1,((YEAR($A93)-YEAR('Assump - LNG'!$D21))*12+MONTH($A93)-MONTH('Assump - LNG'!$D21))/MAX('Assump - LNG'!$E21,1)))*INDEX('Assump - LNG'!$J$38:$J$49,MONTH($A93))))</f>
        <v/>
      </c>
      <c r="L93" s="14">
        <f>IF('Assump - LNG'!$D22="",0,IF($A93&lt;'Assump - LNG'!$D22,0,'Assump - LNG'!$C22*('Assump - LNG'!$F22+('Assump - LNG'!$G22-'Assump - LNG'!$F22)*MIN(1,((YEAR($A93)-YEAR('Assump - LNG'!$D22))*12+MONTH($A93)-MONTH('Assump - LNG'!$D22))/MAX('Assump - LNG'!$E22,1)))*INDEX('Assump - LNG'!$J$38:$J$49,MONTH($A93))))</f>
        <v/>
      </c>
      <c r="M93" s="14">
        <f>IF('Assump - LNG'!$D23="",0,IF($A93&lt;'Assump - LNG'!$D23,0,'Assump - LNG'!$C23*('Assump - LNG'!$F23+('Assump - LNG'!$G23-'Assump - LNG'!$F23)*MIN(1,((YEAR($A93)-YEAR('Assump - LNG'!$D23))*12+MONTH($A93)-MONTH('Assump - LNG'!$D23))/MAX('Assump - LNG'!$E23,1)))*INDEX('Assump - LNG'!$J$38:$J$49,MONTH($A93))))</f>
        <v/>
      </c>
      <c r="N93" s="14">
        <f>IF('Assump - LNG'!$D24="",0,IF($A93&lt;'Assump - LNG'!$D24,0,'Assump - LNG'!$C24*('Assump - LNG'!$F24+('Assump - LNG'!$G24-'Assump - LNG'!$F24)*MIN(1,((YEAR($A93)-YEAR('Assump - LNG'!$D24))*12+MONTH($A93)-MONTH('Assump - LNG'!$D24))/MAX('Assump - LNG'!$E24,1)))*INDEX('Assump - LNG'!$J$38:$J$49,MONTH($A93))))</f>
        <v/>
      </c>
      <c r="O93" s="14">
        <f>IF('Assump - LNG'!$D25="",0,IF($A93&lt;'Assump - LNG'!$D25,0,'Assump - LNG'!$C25*('Assump - LNG'!$F25+('Assump - LNG'!$G25-'Assump - LNG'!$F25)*MIN(1,((YEAR($A93)-YEAR('Assump - LNG'!$D25))*12+MONTH($A93)-MONTH('Assump - LNG'!$D25))/MAX('Assump - LNG'!$E25,1)))*INDEX('Assump - LNG'!$J$38:$J$49,MONTH($A93))))</f>
        <v/>
      </c>
      <c r="P93" s="14">
        <f>IF('Assump - LNG'!$D26="",0,IF($A93&lt;'Assump - LNG'!$D26,0,'Assump - LNG'!$C26*('Assump - LNG'!$F26+('Assump - LNG'!$G26-'Assump - LNG'!$F26)*MIN(1,((YEAR($A93)-YEAR('Assump - LNG'!$D26))*12+MONTH($A93)-MONTH('Assump - LNG'!$D26))/MAX('Assump - LNG'!$E26,1)))*INDEX('Assump - LNG'!$J$38:$J$49,MONTH($A93))))</f>
        <v/>
      </c>
      <c r="Q93" s="14">
        <f>IF('Assump - LNG'!$D27="",0,IF($A93&lt;'Assump - LNG'!$D27,0,'Assump - LNG'!$C27*('Assump - LNG'!$F27+('Assump - LNG'!$G27-'Assump - LNG'!$F27)*MIN(1,((YEAR($A93)-YEAR('Assump - LNG'!$D27))*12+MONTH($A93)-MONTH('Assump - LNG'!$D27))/MAX('Assump - LNG'!$E27,1)))*INDEX('Assump - LNG'!$J$38:$J$49,MONTH($A93))))</f>
        <v/>
      </c>
      <c r="R93" s="14">
        <f>IF('Assump - LNG'!$D28="",0,IF($A93&lt;'Assump - LNG'!$D28,0,'Assump - LNG'!$C28*('Assump - LNG'!$F28+('Assump - LNG'!$G28-'Assump - LNG'!$F28)*MIN(1,((YEAR($A93)-YEAR('Assump - LNG'!$D28))*12+MONTH($A93)-MONTH('Assump - LNG'!$D28))/MAX('Assump - LNG'!$E28,1)))*INDEX('Assump - LNG'!$J$38:$J$49,MONTH($A93))))</f>
        <v/>
      </c>
      <c r="S93" s="14">
        <f>IF('Assump - LNG'!$D29="",0,IF($A93&lt;'Assump - LNG'!$D29,0,'Assump - LNG'!$C29*('Assump - LNG'!$F29+('Assump - LNG'!$G29-'Assump - LNG'!$F29)*MIN(1,((YEAR($A93)-YEAR('Assump - LNG'!$D29))*12+MONTH($A93)-MONTH('Assump - LNG'!$D29))/MAX('Assump - LNG'!$E29,1)))*INDEX('Assump - LNG'!$J$38:$J$49,MONTH($A93))))</f>
        <v/>
      </c>
      <c r="T93" s="14">
        <f>IF('Assump - LNG'!$D30="",0,IF($A93&lt;'Assump - LNG'!$D30,0,'Assump - LNG'!$C30*('Assump - LNG'!$F30+('Assump - LNG'!$G30-'Assump - LNG'!$F30)*MIN(1,((YEAR($A93)-YEAR('Assump - LNG'!$D30))*12+MONTH($A93)-MONTH('Assump - LNG'!$D30))/MAX('Assump - LNG'!$E30,1)))*INDEX('Assump - LNG'!$J$38:$J$49,MONTH($A93))))</f>
        <v/>
      </c>
      <c r="U93" s="14">
        <f>IF('Assump - LNG'!$D31="",0,IF($A93&lt;'Assump - LNG'!$D31,0,'Assump - LNG'!$C31*('Assump - LNG'!$F31+('Assump - LNG'!$G31-'Assump - LNG'!$F31)*MIN(1,((YEAR($A93)-YEAR('Assump - LNG'!$D31))*12+MONTH($A93)-MONTH('Assump - LNG'!$D31))/MAX('Assump - LNG'!$E31,1)))*INDEX('Assump - LNG'!$J$38:$J$49,MONTH($A93))))</f>
        <v/>
      </c>
      <c r="V93" s="14">
        <f>IF('Assump - LNG'!$D12="",0,IF($A93&lt;IF('Assump - LNG'!$D12&gt;='Assump - LNG'!$B$6,EDATE('Assump - LNG'!$D12,'Assump - LNG'!$B$4),'Assump - LNG'!$D12),0,'Assump - LNG'!$C12*('Assump - LNG'!$F12+('Assump - LNG'!$G12-'Assump - LNG'!$F12)*MIN(1,((YEAR($A93)-YEAR(IF('Assump - LNG'!$D12&gt;='Assump - LNG'!$B$6,EDATE('Assump - LNG'!$D12,'Assump - LNG'!$B$4),'Assump - LNG'!$D12)))*12+MONTH($A93)-MONTH(IF('Assump - LNG'!$D12&gt;='Assump - LNG'!$B$6,EDATE('Assump - LNG'!$D12,'Assump - LNG'!$B$4),'Assump - LNG'!$D12)))/MAX('Assump - LNG'!$E12,1)))*INDEX('Assump - LNG'!$J$38:$J$49,MONTH($A93))))</f>
        <v/>
      </c>
      <c r="W93" s="14">
        <f>IF('Assump - LNG'!$D13="",0,IF($A93&lt;IF('Assump - LNG'!$D13&gt;='Assump - LNG'!$B$6,EDATE('Assump - LNG'!$D13,'Assump - LNG'!$B$4),'Assump - LNG'!$D13),0,'Assump - LNG'!$C13*('Assump - LNG'!$F13+('Assump - LNG'!$G13-'Assump - LNG'!$F13)*MIN(1,((YEAR($A93)-YEAR(IF('Assump - LNG'!$D13&gt;='Assump - LNG'!$B$6,EDATE('Assump - LNG'!$D13,'Assump - LNG'!$B$4),'Assump - LNG'!$D13)))*12+MONTH($A93)-MONTH(IF('Assump - LNG'!$D13&gt;='Assump - LNG'!$B$6,EDATE('Assump - LNG'!$D13,'Assump - LNG'!$B$4),'Assump - LNG'!$D13)))/MAX('Assump - LNG'!$E13,1)))*INDEX('Assump - LNG'!$J$38:$J$49,MONTH($A93))))</f>
        <v/>
      </c>
      <c r="X93" s="14">
        <f>IF('Assump - LNG'!$D14="",0,IF($A93&lt;IF('Assump - LNG'!$D14&gt;='Assump - LNG'!$B$6,EDATE('Assump - LNG'!$D14,'Assump - LNG'!$B$4),'Assump - LNG'!$D14),0,'Assump - LNG'!$C14*('Assump - LNG'!$F14+('Assump - LNG'!$G14-'Assump - LNG'!$F14)*MIN(1,((YEAR($A93)-YEAR(IF('Assump - LNG'!$D14&gt;='Assump - LNG'!$B$6,EDATE('Assump - LNG'!$D14,'Assump - LNG'!$B$4),'Assump - LNG'!$D14)))*12+MONTH($A93)-MONTH(IF('Assump - LNG'!$D14&gt;='Assump - LNG'!$B$6,EDATE('Assump - LNG'!$D14,'Assump - LNG'!$B$4),'Assump - LNG'!$D14)))/MAX('Assump - LNG'!$E14,1)))*INDEX('Assump - LNG'!$J$38:$J$49,MONTH($A93))))</f>
        <v/>
      </c>
      <c r="Y93" s="14">
        <f>IF('Assump - LNG'!$D15="",0,IF($A93&lt;IF('Assump - LNG'!$D15&gt;='Assump - LNG'!$B$6,EDATE('Assump - LNG'!$D15,'Assump - LNG'!$B$4),'Assump - LNG'!$D15),0,'Assump - LNG'!$C15*('Assump - LNG'!$F15+('Assump - LNG'!$G15-'Assump - LNG'!$F15)*MIN(1,((YEAR($A93)-YEAR(IF('Assump - LNG'!$D15&gt;='Assump - LNG'!$B$6,EDATE('Assump - LNG'!$D15,'Assump - LNG'!$B$4),'Assump - LNG'!$D15)))*12+MONTH($A93)-MONTH(IF('Assump - LNG'!$D15&gt;='Assump - LNG'!$B$6,EDATE('Assump - LNG'!$D15,'Assump - LNG'!$B$4),'Assump - LNG'!$D15)))/MAX('Assump - LNG'!$E15,1)))*INDEX('Assump - LNG'!$J$38:$J$49,MONTH($A93))))</f>
        <v/>
      </c>
      <c r="Z93" s="14">
        <f>IF('Assump - LNG'!$D16="",0,IF($A93&lt;IF('Assump - LNG'!$D16&gt;='Assump - LNG'!$B$6,EDATE('Assump - LNG'!$D16,'Assump - LNG'!$B$4),'Assump - LNG'!$D16),0,'Assump - LNG'!$C16*('Assump - LNG'!$F16+('Assump - LNG'!$G16-'Assump - LNG'!$F16)*MIN(1,((YEAR($A93)-YEAR(IF('Assump - LNG'!$D16&gt;='Assump - LNG'!$B$6,EDATE('Assump - LNG'!$D16,'Assump - LNG'!$B$4),'Assump - LNG'!$D16)))*12+MONTH($A93)-MONTH(IF('Assump - LNG'!$D16&gt;='Assump - LNG'!$B$6,EDATE('Assump - LNG'!$D16,'Assump - LNG'!$B$4),'Assump - LNG'!$D16)))/MAX('Assump - LNG'!$E16,1)))*INDEX('Assump - LNG'!$J$38:$J$49,MONTH($A93))))</f>
        <v/>
      </c>
      <c r="AA93" s="14">
        <f>IF('Assump - LNG'!$D17="",0,IF($A93&lt;IF('Assump - LNG'!$D17&gt;='Assump - LNG'!$B$6,EDATE('Assump - LNG'!$D17,'Assump - LNG'!$B$4),'Assump - LNG'!$D17),0,'Assump - LNG'!$C17*('Assump - LNG'!$F17+('Assump - LNG'!$G17-'Assump - LNG'!$F17)*MIN(1,((YEAR($A93)-YEAR(IF('Assump - LNG'!$D17&gt;='Assump - LNG'!$B$6,EDATE('Assump - LNG'!$D17,'Assump - LNG'!$B$4),'Assump - LNG'!$D17)))*12+MONTH($A93)-MONTH(IF('Assump - LNG'!$D17&gt;='Assump - LNG'!$B$6,EDATE('Assump - LNG'!$D17,'Assump - LNG'!$B$4),'Assump - LNG'!$D17)))/MAX('Assump - LNG'!$E17,1)))*INDEX('Assump - LNG'!$J$38:$J$49,MONTH($A93))))</f>
        <v/>
      </c>
      <c r="AB93" s="14">
        <f>IF('Assump - LNG'!$D18="",0,IF($A93&lt;IF('Assump - LNG'!$D18&gt;='Assump - LNG'!$B$6,EDATE('Assump - LNG'!$D18,'Assump - LNG'!$B$4),'Assump - LNG'!$D18),0,'Assump - LNG'!$C18*('Assump - LNG'!$F18+('Assump - LNG'!$G18-'Assump - LNG'!$F18)*MIN(1,((YEAR($A93)-YEAR(IF('Assump - LNG'!$D18&gt;='Assump - LNG'!$B$6,EDATE('Assump - LNG'!$D18,'Assump - LNG'!$B$4),'Assump - LNG'!$D18)))*12+MONTH($A93)-MONTH(IF('Assump - LNG'!$D18&gt;='Assump - LNG'!$B$6,EDATE('Assump - LNG'!$D18,'Assump - LNG'!$B$4),'Assump - LNG'!$D18)))/MAX('Assump - LNG'!$E18,1)))*INDEX('Assump - LNG'!$J$38:$J$49,MONTH($A93))))</f>
        <v/>
      </c>
      <c r="AC93" s="14">
        <f>IF('Assump - LNG'!$D19="",0,IF($A93&lt;IF('Assump - LNG'!$D19&gt;='Assump - LNG'!$B$6,EDATE('Assump - LNG'!$D19,'Assump - LNG'!$B$4),'Assump - LNG'!$D19),0,'Assump - LNG'!$C19*('Assump - LNG'!$F19+('Assump - LNG'!$G19-'Assump - LNG'!$F19)*MIN(1,((YEAR($A93)-YEAR(IF('Assump - LNG'!$D19&gt;='Assump - LNG'!$B$6,EDATE('Assump - LNG'!$D19,'Assump - LNG'!$B$4),'Assump - LNG'!$D19)))*12+MONTH($A93)-MONTH(IF('Assump - LNG'!$D19&gt;='Assump - LNG'!$B$6,EDATE('Assump - LNG'!$D19,'Assump - LNG'!$B$4),'Assump - LNG'!$D19)))/MAX('Assump - LNG'!$E19,1)))*INDEX('Assump - LNG'!$J$38:$J$49,MONTH($A93))))</f>
        <v/>
      </c>
      <c r="AD93" s="14">
        <f>IF('Assump - LNG'!$D20="",0,IF($A93&lt;IF('Assump - LNG'!$D20&gt;='Assump - LNG'!$B$6,EDATE('Assump - LNG'!$D20,'Assump - LNG'!$B$4),'Assump - LNG'!$D20),0,'Assump - LNG'!$C20*('Assump - LNG'!$F20+('Assump - LNG'!$G20-'Assump - LNG'!$F20)*MIN(1,((YEAR($A93)-YEAR(IF('Assump - LNG'!$D20&gt;='Assump - LNG'!$B$6,EDATE('Assump - LNG'!$D20,'Assump - LNG'!$B$4),'Assump - LNG'!$D20)))*12+MONTH($A93)-MONTH(IF('Assump - LNG'!$D20&gt;='Assump - LNG'!$B$6,EDATE('Assump - LNG'!$D20,'Assump - LNG'!$B$4),'Assump - LNG'!$D20)))/MAX('Assump - LNG'!$E20,1)))*INDEX('Assump - LNG'!$J$38:$J$49,MONTH($A93))))</f>
        <v/>
      </c>
      <c r="AE93" s="14">
        <f>IF('Assump - LNG'!$D21="",0,IF($A93&lt;IF('Assump - LNG'!$D21&gt;='Assump - LNG'!$B$6,EDATE('Assump - LNG'!$D21,'Assump - LNG'!$B$4),'Assump - LNG'!$D21),0,'Assump - LNG'!$C21*('Assump - LNG'!$F21+('Assump - LNG'!$G21-'Assump - LNG'!$F21)*MIN(1,((YEAR($A93)-YEAR(IF('Assump - LNG'!$D21&gt;='Assump - LNG'!$B$6,EDATE('Assump - LNG'!$D21,'Assump - LNG'!$B$4),'Assump - LNG'!$D21)))*12+MONTH($A93)-MONTH(IF('Assump - LNG'!$D21&gt;='Assump - LNG'!$B$6,EDATE('Assump - LNG'!$D21,'Assump - LNG'!$B$4),'Assump - LNG'!$D21)))/MAX('Assump - LNG'!$E21,1)))*INDEX('Assump - LNG'!$J$38:$J$49,MONTH($A93))))</f>
        <v/>
      </c>
      <c r="AF93" s="14">
        <f>IF('Assump - LNG'!$D22="",0,IF($A93&lt;IF('Assump - LNG'!$D22&gt;='Assump - LNG'!$B$6,EDATE('Assump - LNG'!$D22,'Assump - LNG'!$B$4),'Assump - LNG'!$D22),0,'Assump - LNG'!$C22*('Assump - LNG'!$F22+('Assump - LNG'!$G22-'Assump - LNG'!$F22)*MIN(1,((YEAR($A93)-YEAR(IF('Assump - LNG'!$D22&gt;='Assump - LNG'!$B$6,EDATE('Assump - LNG'!$D22,'Assump - LNG'!$B$4),'Assump - LNG'!$D22)))*12+MONTH($A93)-MONTH(IF('Assump - LNG'!$D22&gt;='Assump - LNG'!$B$6,EDATE('Assump - LNG'!$D22,'Assump - LNG'!$B$4),'Assump - LNG'!$D22)))/MAX('Assump - LNG'!$E22,1)))*INDEX('Assump - LNG'!$J$38:$J$49,MONTH($A93))))</f>
        <v/>
      </c>
      <c r="AG93" s="14">
        <f>IF('Assump - LNG'!$D23="",0,IF($A93&lt;IF('Assump - LNG'!$D23&gt;='Assump - LNG'!$B$6,EDATE('Assump - LNG'!$D23,'Assump - LNG'!$B$4),'Assump - LNG'!$D23),0,'Assump - LNG'!$C23*('Assump - LNG'!$F23+('Assump - LNG'!$G23-'Assump - LNG'!$F23)*MIN(1,((YEAR($A93)-YEAR(IF('Assump - LNG'!$D23&gt;='Assump - LNG'!$B$6,EDATE('Assump - LNG'!$D23,'Assump - LNG'!$B$4),'Assump - LNG'!$D23)))*12+MONTH($A93)-MONTH(IF('Assump - LNG'!$D23&gt;='Assump - LNG'!$B$6,EDATE('Assump - LNG'!$D23,'Assump - LNG'!$B$4),'Assump - LNG'!$D23)))/MAX('Assump - LNG'!$E23,1)))*INDEX('Assump - LNG'!$J$38:$J$49,MONTH($A93))))</f>
        <v/>
      </c>
      <c r="AH93" s="14">
        <f>IF('Assump - LNG'!$D24="",0,IF($A93&lt;IF('Assump - LNG'!$D24&gt;='Assump - LNG'!$B$6,EDATE('Assump - LNG'!$D24,'Assump - LNG'!$B$4),'Assump - LNG'!$D24),0,'Assump - LNG'!$C24*('Assump - LNG'!$F24+('Assump - LNG'!$G24-'Assump - LNG'!$F24)*MIN(1,((YEAR($A93)-YEAR(IF('Assump - LNG'!$D24&gt;='Assump - LNG'!$B$6,EDATE('Assump - LNG'!$D24,'Assump - LNG'!$B$4),'Assump - LNG'!$D24)))*12+MONTH($A93)-MONTH(IF('Assump - LNG'!$D24&gt;='Assump - LNG'!$B$6,EDATE('Assump - LNG'!$D24,'Assump - LNG'!$B$4),'Assump - LNG'!$D24)))/MAX('Assump - LNG'!$E24,1)))*INDEX('Assump - LNG'!$J$38:$J$49,MONTH($A93))))</f>
        <v/>
      </c>
      <c r="AI93" s="14">
        <f>IF('Assump - LNG'!$D25="",0,IF($A93&lt;IF('Assump - LNG'!$D25&gt;='Assump - LNG'!$B$6,EDATE('Assump - LNG'!$D25,'Assump - LNG'!$B$4),'Assump - LNG'!$D25),0,'Assump - LNG'!$C25*('Assump - LNG'!$F25+('Assump - LNG'!$G25-'Assump - LNG'!$F25)*MIN(1,((YEAR($A93)-YEAR(IF('Assump - LNG'!$D25&gt;='Assump - LNG'!$B$6,EDATE('Assump - LNG'!$D25,'Assump - LNG'!$B$4),'Assump - LNG'!$D25)))*12+MONTH($A93)-MONTH(IF('Assump - LNG'!$D25&gt;='Assump - LNG'!$B$6,EDATE('Assump - LNG'!$D25,'Assump - LNG'!$B$4),'Assump - LNG'!$D25)))/MAX('Assump - LNG'!$E25,1)))*INDEX('Assump - LNG'!$J$38:$J$49,MONTH($A93))))</f>
        <v/>
      </c>
      <c r="AJ93" s="14">
        <f>IF('Assump - LNG'!$D26="",0,IF($A93&lt;IF('Assump - LNG'!$D26&gt;='Assump - LNG'!$B$6,EDATE('Assump - LNG'!$D26,'Assump - LNG'!$B$4),'Assump - LNG'!$D26),0,'Assump - LNG'!$C26*('Assump - LNG'!$F26+('Assump - LNG'!$G26-'Assump - LNG'!$F26)*MIN(1,((YEAR($A93)-YEAR(IF('Assump - LNG'!$D26&gt;='Assump - LNG'!$B$6,EDATE('Assump - LNG'!$D26,'Assump - LNG'!$B$4),'Assump - LNG'!$D26)))*12+MONTH($A93)-MONTH(IF('Assump - LNG'!$D26&gt;='Assump - LNG'!$B$6,EDATE('Assump - LNG'!$D26,'Assump - LNG'!$B$4),'Assump - LNG'!$D26)))/MAX('Assump - LNG'!$E26,1)))*INDEX('Assump - LNG'!$J$38:$J$49,MONTH($A93))))</f>
        <v/>
      </c>
      <c r="AK93" s="14">
        <f>IF('Assump - LNG'!$D27="",0,IF($A93&lt;IF('Assump - LNG'!$D27&gt;='Assump - LNG'!$B$6,EDATE('Assump - LNG'!$D27,'Assump - LNG'!$B$4),'Assump - LNG'!$D27),0,'Assump - LNG'!$C27*('Assump - LNG'!$F27+('Assump - LNG'!$G27-'Assump - LNG'!$F27)*MIN(1,((YEAR($A93)-YEAR(IF('Assump - LNG'!$D27&gt;='Assump - LNG'!$B$6,EDATE('Assump - LNG'!$D27,'Assump - LNG'!$B$4),'Assump - LNG'!$D27)))*12+MONTH($A93)-MONTH(IF('Assump - LNG'!$D27&gt;='Assump - LNG'!$B$6,EDATE('Assump - LNG'!$D27,'Assump - LNG'!$B$4),'Assump - LNG'!$D27)))/MAX('Assump - LNG'!$E27,1)))*INDEX('Assump - LNG'!$J$38:$J$49,MONTH($A93))))</f>
        <v/>
      </c>
      <c r="AL93" s="14">
        <f>IF('Assump - LNG'!$D28="",0,IF($A93&lt;IF('Assump - LNG'!$D28&gt;='Assump - LNG'!$B$6,EDATE('Assump - LNG'!$D28,'Assump - LNG'!$B$4),'Assump - LNG'!$D28),0,'Assump - LNG'!$C28*('Assump - LNG'!$F28+('Assump - LNG'!$G28-'Assump - LNG'!$F28)*MIN(1,((YEAR($A93)-YEAR(IF('Assump - LNG'!$D28&gt;='Assump - LNG'!$B$6,EDATE('Assump - LNG'!$D28,'Assump - LNG'!$B$4),'Assump - LNG'!$D28)))*12+MONTH($A93)-MONTH(IF('Assump - LNG'!$D28&gt;='Assump - LNG'!$B$6,EDATE('Assump - LNG'!$D28,'Assump - LNG'!$B$4),'Assump - LNG'!$D28)))/MAX('Assump - LNG'!$E28,1)))*INDEX('Assump - LNG'!$J$38:$J$49,MONTH($A93))))</f>
        <v/>
      </c>
      <c r="AM93" s="14">
        <f>IF('Assump - LNG'!$D29="",0,IF($A93&lt;IF('Assump - LNG'!$D29&gt;='Assump - LNG'!$B$6,EDATE('Assump - LNG'!$D29,'Assump - LNG'!$B$4),'Assump - LNG'!$D29),0,'Assump - LNG'!$C29*('Assump - LNG'!$F29+('Assump - LNG'!$G29-'Assump - LNG'!$F29)*MIN(1,((YEAR($A93)-YEAR(IF('Assump - LNG'!$D29&gt;='Assump - LNG'!$B$6,EDATE('Assump - LNG'!$D29,'Assump - LNG'!$B$4),'Assump - LNG'!$D29)))*12+MONTH($A93)-MONTH(IF('Assump - LNG'!$D29&gt;='Assump - LNG'!$B$6,EDATE('Assump - LNG'!$D29,'Assump - LNG'!$B$4),'Assump - LNG'!$D29)))/MAX('Assump - LNG'!$E29,1)))*INDEX('Assump - LNG'!$J$38:$J$49,MONTH($A93))))</f>
        <v/>
      </c>
      <c r="AN93" s="14">
        <f>IF('Assump - LNG'!$D30="",0,IF($A93&lt;IF('Assump - LNG'!$D30&gt;='Assump - LNG'!$B$6,EDATE('Assump - LNG'!$D30,'Assump - LNG'!$B$4),'Assump - LNG'!$D30),0,'Assump - LNG'!$C30*('Assump - LNG'!$F30+('Assump - LNG'!$G30-'Assump - LNG'!$F30)*MIN(1,((YEAR($A93)-YEAR(IF('Assump - LNG'!$D30&gt;='Assump - LNG'!$B$6,EDATE('Assump - LNG'!$D30,'Assump - LNG'!$B$4),'Assump - LNG'!$D30)))*12+MONTH($A93)-MONTH(IF('Assump - LNG'!$D30&gt;='Assump - LNG'!$B$6,EDATE('Assump - LNG'!$D30,'Assump - LNG'!$B$4),'Assump - LNG'!$D30)))/MAX('Assump - LNG'!$E30,1)))*INDEX('Assump - LNG'!$J$38:$J$49,MONTH($A93))))</f>
        <v/>
      </c>
      <c r="AO93" s="14">
        <f>IF('Assump - LNG'!$D31="",0,IF($A93&lt;IF('Assump - LNG'!$D31&gt;='Assump - LNG'!$B$6,EDATE('Assump - LNG'!$D31,'Assump - LNG'!$B$4),'Assump - LNG'!$D31),0,'Assump - LNG'!$C31*('Assump - LNG'!$F31+('Assump - LNG'!$G31-'Assump - LNG'!$F31)*MIN(1,((YEAR($A93)-YEAR(IF('Assump - LNG'!$D31&gt;='Assump - LNG'!$B$6,EDATE('Assump - LNG'!$D31,'Assump - LNG'!$B$4),'Assump - LNG'!$D31)))*12+MONTH($A93)-MONTH(IF('Assump - LNG'!$D31&gt;='Assump - LNG'!$B$6,EDATE('Assump - LNG'!$D31,'Assump - LNG'!$B$4),'Assump - LNG'!$D31)))/MAX('Assump - LNG'!$E31,1)))*INDEX('Assump - LNG'!$J$38:$J$49,MONTH($A93))))</f>
        <v/>
      </c>
    </row>
    <row r="94">
      <c r="A94" s="12" t="n">
        <v>46874</v>
      </c>
      <c r="B94" s="14">
        <f>IF('Assump - LNG'!$D12="",0,IF($A94&lt;'Assump - LNG'!$D12,0,'Assump - LNG'!$C12*('Assump - LNG'!$F12+('Assump - LNG'!$G12-'Assump - LNG'!$F12)*MIN(1,((YEAR($A94)-YEAR('Assump - LNG'!$D12))*12+MONTH($A94)-MONTH('Assump - LNG'!$D12))/MAX('Assump - LNG'!$E12,1)))*INDEX('Assump - LNG'!$J$38:$J$49,MONTH($A94))))</f>
        <v/>
      </c>
      <c r="C94" s="14">
        <f>IF('Assump - LNG'!$D13="",0,IF($A94&lt;'Assump - LNG'!$D13,0,'Assump - LNG'!$C13*('Assump - LNG'!$F13+('Assump - LNG'!$G13-'Assump - LNG'!$F13)*MIN(1,((YEAR($A94)-YEAR('Assump - LNG'!$D13))*12+MONTH($A94)-MONTH('Assump - LNG'!$D13))/MAX('Assump - LNG'!$E13,1)))*INDEX('Assump - LNG'!$J$38:$J$49,MONTH($A94))))</f>
        <v/>
      </c>
      <c r="D94" s="14">
        <f>IF('Assump - LNG'!$D14="",0,IF($A94&lt;'Assump - LNG'!$D14,0,'Assump - LNG'!$C14*('Assump - LNG'!$F14+('Assump - LNG'!$G14-'Assump - LNG'!$F14)*MIN(1,((YEAR($A94)-YEAR('Assump - LNG'!$D14))*12+MONTH($A94)-MONTH('Assump - LNG'!$D14))/MAX('Assump - LNG'!$E14,1)))*INDEX('Assump - LNG'!$J$38:$J$49,MONTH($A94))))</f>
        <v/>
      </c>
      <c r="E94" s="14">
        <f>IF('Assump - LNG'!$D15="",0,IF($A94&lt;'Assump - LNG'!$D15,0,'Assump - LNG'!$C15*('Assump - LNG'!$F15+('Assump - LNG'!$G15-'Assump - LNG'!$F15)*MIN(1,((YEAR($A94)-YEAR('Assump - LNG'!$D15))*12+MONTH($A94)-MONTH('Assump - LNG'!$D15))/MAX('Assump - LNG'!$E15,1)))*INDEX('Assump - LNG'!$J$38:$J$49,MONTH($A94))))</f>
        <v/>
      </c>
      <c r="F94" s="14">
        <f>IF('Assump - LNG'!$D16="",0,IF($A94&lt;'Assump - LNG'!$D16,0,'Assump - LNG'!$C16*('Assump - LNG'!$F16+('Assump - LNG'!$G16-'Assump - LNG'!$F16)*MIN(1,((YEAR($A94)-YEAR('Assump - LNG'!$D16))*12+MONTH($A94)-MONTH('Assump - LNG'!$D16))/MAX('Assump - LNG'!$E16,1)))*INDEX('Assump - LNG'!$J$38:$J$49,MONTH($A94))))</f>
        <v/>
      </c>
      <c r="G94" s="14">
        <f>IF('Assump - LNG'!$D17="",0,IF($A94&lt;'Assump - LNG'!$D17,0,'Assump - LNG'!$C17*('Assump - LNG'!$F17+('Assump - LNG'!$G17-'Assump - LNG'!$F17)*MIN(1,((YEAR($A94)-YEAR('Assump - LNG'!$D17))*12+MONTH($A94)-MONTH('Assump - LNG'!$D17))/MAX('Assump - LNG'!$E17,1)))*INDEX('Assump - LNG'!$J$38:$J$49,MONTH($A94))))</f>
        <v/>
      </c>
      <c r="H94" s="14">
        <f>IF('Assump - LNG'!$D18="",0,IF($A94&lt;'Assump - LNG'!$D18,0,'Assump - LNG'!$C18*('Assump - LNG'!$F18+('Assump - LNG'!$G18-'Assump - LNG'!$F18)*MIN(1,((YEAR($A94)-YEAR('Assump - LNG'!$D18))*12+MONTH($A94)-MONTH('Assump - LNG'!$D18))/MAX('Assump - LNG'!$E18,1)))*INDEX('Assump - LNG'!$J$38:$J$49,MONTH($A94))))</f>
        <v/>
      </c>
      <c r="I94" s="14">
        <f>IF('Assump - LNG'!$D19="",0,IF($A94&lt;'Assump - LNG'!$D19,0,'Assump - LNG'!$C19*('Assump - LNG'!$F19+('Assump - LNG'!$G19-'Assump - LNG'!$F19)*MIN(1,((YEAR($A94)-YEAR('Assump - LNG'!$D19))*12+MONTH($A94)-MONTH('Assump - LNG'!$D19))/MAX('Assump - LNG'!$E19,1)))*INDEX('Assump - LNG'!$J$38:$J$49,MONTH($A94))))</f>
        <v/>
      </c>
      <c r="J94" s="14">
        <f>IF('Assump - LNG'!$D20="",0,IF($A94&lt;'Assump - LNG'!$D20,0,'Assump - LNG'!$C20*('Assump - LNG'!$F20+('Assump - LNG'!$G20-'Assump - LNG'!$F20)*MIN(1,((YEAR($A94)-YEAR('Assump - LNG'!$D20))*12+MONTH($A94)-MONTH('Assump - LNG'!$D20))/MAX('Assump - LNG'!$E20,1)))*INDEX('Assump - LNG'!$J$38:$J$49,MONTH($A94))))</f>
        <v/>
      </c>
      <c r="K94" s="14">
        <f>IF('Assump - LNG'!$D21="",0,IF($A94&lt;'Assump - LNG'!$D21,0,'Assump - LNG'!$C21*('Assump - LNG'!$F21+('Assump - LNG'!$G21-'Assump - LNG'!$F21)*MIN(1,((YEAR($A94)-YEAR('Assump - LNG'!$D21))*12+MONTH($A94)-MONTH('Assump - LNG'!$D21))/MAX('Assump - LNG'!$E21,1)))*INDEX('Assump - LNG'!$J$38:$J$49,MONTH($A94))))</f>
        <v/>
      </c>
      <c r="L94" s="14">
        <f>IF('Assump - LNG'!$D22="",0,IF($A94&lt;'Assump - LNG'!$D22,0,'Assump - LNG'!$C22*('Assump - LNG'!$F22+('Assump - LNG'!$G22-'Assump - LNG'!$F22)*MIN(1,((YEAR($A94)-YEAR('Assump - LNG'!$D22))*12+MONTH($A94)-MONTH('Assump - LNG'!$D22))/MAX('Assump - LNG'!$E22,1)))*INDEX('Assump - LNG'!$J$38:$J$49,MONTH($A94))))</f>
        <v/>
      </c>
      <c r="M94" s="14">
        <f>IF('Assump - LNG'!$D23="",0,IF($A94&lt;'Assump - LNG'!$D23,0,'Assump - LNG'!$C23*('Assump - LNG'!$F23+('Assump - LNG'!$G23-'Assump - LNG'!$F23)*MIN(1,((YEAR($A94)-YEAR('Assump - LNG'!$D23))*12+MONTH($A94)-MONTH('Assump - LNG'!$D23))/MAX('Assump - LNG'!$E23,1)))*INDEX('Assump - LNG'!$J$38:$J$49,MONTH($A94))))</f>
        <v/>
      </c>
      <c r="N94" s="14">
        <f>IF('Assump - LNG'!$D24="",0,IF($A94&lt;'Assump - LNG'!$D24,0,'Assump - LNG'!$C24*('Assump - LNG'!$F24+('Assump - LNG'!$G24-'Assump - LNG'!$F24)*MIN(1,((YEAR($A94)-YEAR('Assump - LNG'!$D24))*12+MONTH($A94)-MONTH('Assump - LNG'!$D24))/MAX('Assump - LNG'!$E24,1)))*INDEX('Assump - LNG'!$J$38:$J$49,MONTH($A94))))</f>
        <v/>
      </c>
      <c r="O94" s="14">
        <f>IF('Assump - LNG'!$D25="",0,IF($A94&lt;'Assump - LNG'!$D25,0,'Assump - LNG'!$C25*('Assump - LNG'!$F25+('Assump - LNG'!$G25-'Assump - LNG'!$F25)*MIN(1,((YEAR($A94)-YEAR('Assump - LNG'!$D25))*12+MONTH($A94)-MONTH('Assump - LNG'!$D25))/MAX('Assump - LNG'!$E25,1)))*INDEX('Assump - LNG'!$J$38:$J$49,MONTH($A94))))</f>
        <v/>
      </c>
      <c r="P94" s="14">
        <f>IF('Assump - LNG'!$D26="",0,IF($A94&lt;'Assump - LNG'!$D26,0,'Assump - LNG'!$C26*('Assump - LNG'!$F26+('Assump - LNG'!$G26-'Assump - LNG'!$F26)*MIN(1,((YEAR($A94)-YEAR('Assump - LNG'!$D26))*12+MONTH($A94)-MONTH('Assump - LNG'!$D26))/MAX('Assump - LNG'!$E26,1)))*INDEX('Assump - LNG'!$J$38:$J$49,MONTH($A94))))</f>
        <v/>
      </c>
      <c r="Q94" s="14">
        <f>IF('Assump - LNG'!$D27="",0,IF($A94&lt;'Assump - LNG'!$D27,0,'Assump - LNG'!$C27*('Assump - LNG'!$F27+('Assump - LNG'!$G27-'Assump - LNG'!$F27)*MIN(1,((YEAR($A94)-YEAR('Assump - LNG'!$D27))*12+MONTH($A94)-MONTH('Assump - LNG'!$D27))/MAX('Assump - LNG'!$E27,1)))*INDEX('Assump - LNG'!$J$38:$J$49,MONTH($A94))))</f>
        <v/>
      </c>
      <c r="R94" s="14">
        <f>IF('Assump - LNG'!$D28="",0,IF($A94&lt;'Assump - LNG'!$D28,0,'Assump - LNG'!$C28*('Assump - LNG'!$F28+('Assump - LNG'!$G28-'Assump - LNG'!$F28)*MIN(1,((YEAR($A94)-YEAR('Assump - LNG'!$D28))*12+MONTH($A94)-MONTH('Assump - LNG'!$D28))/MAX('Assump - LNG'!$E28,1)))*INDEX('Assump - LNG'!$J$38:$J$49,MONTH($A94))))</f>
        <v/>
      </c>
      <c r="S94" s="14">
        <f>IF('Assump - LNG'!$D29="",0,IF($A94&lt;'Assump - LNG'!$D29,0,'Assump - LNG'!$C29*('Assump - LNG'!$F29+('Assump - LNG'!$G29-'Assump - LNG'!$F29)*MIN(1,((YEAR($A94)-YEAR('Assump - LNG'!$D29))*12+MONTH($A94)-MONTH('Assump - LNG'!$D29))/MAX('Assump - LNG'!$E29,1)))*INDEX('Assump - LNG'!$J$38:$J$49,MONTH($A94))))</f>
        <v/>
      </c>
      <c r="T94" s="14">
        <f>IF('Assump - LNG'!$D30="",0,IF($A94&lt;'Assump - LNG'!$D30,0,'Assump - LNG'!$C30*('Assump - LNG'!$F30+('Assump - LNG'!$G30-'Assump - LNG'!$F30)*MIN(1,((YEAR($A94)-YEAR('Assump - LNG'!$D30))*12+MONTH($A94)-MONTH('Assump - LNG'!$D30))/MAX('Assump - LNG'!$E30,1)))*INDEX('Assump - LNG'!$J$38:$J$49,MONTH($A94))))</f>
        <v/>
      </c>
      <c r="U94" s="14">
        <f>IF('Assump - LNG'!$D31="",0,IF($A94&lt;'Assump - LNG'!$D31,0,'Assump - LNG'!$C31*('Assump - LNG'!$F31+('Assump - LNG'!$G31-'Assump - LNG'!$F31)*MIN(1,((YEAR($A94)-YEAR('Assump - LNG'!$D31))*12+MONTH($A94)-MONTH('Assump - LNG'!$D31))/MAX('Assump - LNG'!$E31,1)))*INDEX('Assump - LNG'!$J$38:$J$49,MONTH($A94))))</f>
        <v/>
      </c>
      <c r="V94" s="14">
        <f>IF('Assump - LNG'!$D12="",0,IF($A94&lt;IF('Assump - LNG'!$D12&gt;='Assump - LNG'!$B$6,EDATE('Assump - LNG'!$D12,'Assump - LNG'!$B$4),'Assump - LNG'!$D12),0,'Assump - LNG'!$C12*('Assump - LNG'!$F12+('Assump - LNG'!$G12-'Assump - LNG'!$F12)*MIN(1,((YEAR($A94)-YEAR(IF('Assump - LNG'!$D12&gt;='Assump - LNG'!$B$6,EDATE('Assump - LNG'!$D12,'Assump - LNG'!$B$4),'Assump - LNG'!$D12)))*12+MONTH($A94)-MONTH(IF('Assump - LNG'!$D12&gt;='Assump - LNG'!$B$6,EDATE('Assump - LNG'!$D12,'Assump - LNG'!$B$4),'Assump - LNG'!$D12)))/MAX('Assump - LNG'!$E12,1)))*INDEX('Assump - LNG'!$J$38:$J$49,MONTH($A94))))</f>
        <v/>
      </c>
      <c r="W94" s="14">
        <f>IF('Assump - LNG'!$D13="",0,IF($A94&lt;IF('Assump - LNG'!$D13&gt;='Assump - LNG'!$B$6,EDATE('Assump - LNG'!$D13,'Assump - LNG'!$B$4),'Assump - LNG'!$D13),0,'Assump - LNG'!$C13*('Assump - LNG'!$F13+('Assump - LNG'!$G13-'Assump - LNG'!$F13)*MIN(1,((YEAR($A94)-YEAR(IF('Assump - LNG'!$D13&gt;='Assump - LNG'!$B$6,EDATE('Assump - LNG'!$D13,'Assump - LNG'!$B$4),'Assump - LNG'!$D13)))*12+MONTH($A94)-MONTH(IF('Assump - LNG'!$D13&gt;='Assump - LNG'!$B$6,EDATE('Assump - LNG'!$D13,'Assump - LNG'!$B$4),'Assump - LNG'!$D13)))/MAX('Assump - LNG'!$E13,1)))*INDEX('Assump - LNG'!$J$38:$J$49,MONTH($A94))))</f>
        <v/>
      </c>
      <c r="X94" s="14">
        <f>IF('Assump - LNG'!$D14="",0,IF($A94&lt;IF('Assump - LNG'!$D14&gt;='Assump - LNG'!$B$6,EDATE('Assump - LNG'!$D14,'Assump - LNG'!$B$4),'Assump - LNG'!$D14),0,'Assump - LNG'!$C14*('Assump - LNG'!$F14+('Assump - LNG'!$G14-'Assump - LNG'!$F14)*MIN(1,((YEAR($A94)-YEAR(IF('Assump - LNG'!$D14&gt;='Assump - LNG'!$B$6,EDATE('Assump - LNG'!$D14,'Assump - LNG'!$B$4),'Assump - LNG'!$D14)))*12+MONTH($A94)-MONTH(IF('Assump - LNG'!$D14&gt;='Assump - LNG'!$B$6,EDATE('Assump - LNG'!$D14,'Assump - LNG'!$B$4),'Assump - LNG'!$D14)))/MAX('Assump - LNG'!$E14,1)))*INDEX('Assump - LNG'!$J$38:$J$49,MONTH($A94))))</f>
        <v/>
      </c>
      <c r="Y94" s="14">
        <f>IF('Assump - LNG'!$D15="",0,IF($A94&lt;IF('Assump - LNG'!$D15&gt;='Assump - LNG'!$B$6,EDATE('Assump - LNG'!$D15,'Assump - LNG'!$B$4),'Assump - LNG'!$D15),0,'Assump - LNG'!$C15*('Assump - LNG'!$F15+('Assump - LNG'!$G15-'Assump - LNG'!$F15)*MIN(1,((YEAR($A94)-YEAR(IF('Assump - LNG'!$D15&gt;='Assump - LNG'!$B$6,EDATE('Assump - LNG'!$D15,'Assump - LNG'!$B$4),'Assump - LNG'!$D15)))*12+MONTH($A94)-MONTH(IF('Assump - LNG'!$D15&gt;='Assump - LNG'!$B$6,EDATE('Assump - LNG'!$D15,'Assump - LNG'!$B$4),'Assump - LNG'!$D15)))/MAX('Assump - LNG'!$E15,1)))*INDEX('Assump - LNG'!$J$38:$J$49,MONTH($A94))))</f>
        <v/>
      </c>
      <c r="Z94" s="14">
        <f>IF('Assump - LNG'!$D16="",0,IF($A94&lt;IF('Assump - LNG'!$D16&gt;='Assump - LNG'!$B$6,EDATE('Assump - LNG'!$D16,'Assump - LNG'!$B$4),'Assump - LNG'!$D16),0,'Assump - LNG'!$C16*('Assump - LNG'!$F16+('Assump - LNG'!$G16-'Assump - LNG'!$F16)*MIN(1,((YEAR($A94)-YEAR(IF('Assump - LNG'!$D16&gt;='Assump - LNG'!$B$6,EDATE('Assump - LNG'!$D16,'Assump - LNG'!$B$4),'Assump - LNG'!$D16)))*12+MONTH($A94)-MONTH(IF('Assump - LNG'!$D16&gt;='Assump - LNG'!$B$6,EDATE('Assump - LNG'!$D16,'Assump - LNG'!$B$4),'Assump - LNG'!$D16)))/MAX('Assump - LNG'!$E16,1)))*INDEX('Assump - LNG'!$J$38:$J$49,MONTH($A94))))</f>
        <v/>
      </c>
      <c r="AA94" s="14">
        <f>IF('Assump - LNG'!$D17="",0,IF($A94&lt;IF('Assump - LNG'!$D17&gt;='Assump - LNG'!$B$6,EDATE('Assump - LNG'!$D17,'Assump - LNG'!$B$4),'Assump - LNG'!$D17),0,'Assump - LNG'!$C17*('Assump - LNG'!$F17+('Assump - LNG'!$G17-'Assump - LNG'!$F17)*MIN(1,((YEAR($A94)-YEAR(IF('Assump - LNG'!$D17&gt;='Assump - LNG'!$B$6,EDATE('Assump - LNG'!$D17,'Assump - LNG'!$B$4),'Assump - LNG'!$D17)))*12+MONTH($A94)-MONTH(IF('Assump - LNG'!$D17&gt;='Assump - LNG'!$B$6,EDATE('Assump - LNG'!$D17,'Assump - LNG'!$B$4),'Assump - LNG'!$D17)))/MAX('Assump - LNG'!$E17,1)))*INDEX('Assump - LNG'!$J$38:$J$49,MONTH($A94))))</f>
        <v/>
      </c>
      <c r="AB94" s="14">
        <f>IF('Assump - LNG'!$D18="",0,IF($A94&lt;IF('Assump - LNG'!$D18&gt;='Assump - LNG'!$B$6,EDATE('Assump - LNG'!$D18,'Assump - LNG'!$B$4),'Assump - LNG'!$D18),0,'Assump - LNG'!$C18*('Assump - LNG'!$F18+('Assump - LNG'!$G18-'Assump - LNG'!$F18)*MIN(1,((YEAR($A94)-YEAR(IF('Assump - LNG'!$D18&gt;='Assump - LNG'!$B$6,EDATE('Assump - LNG'!$D18,'Assump - LNG'!$B$4),'Assump - LNG'!$D18)))*12+MONTH($A94)-MONTH(IF('Assump - LNG'!$D18&gt;='Assump - LNG'!$B$6,EDATE('Assump - LNG'!$D18,'Assump - LNG'!$B$4),'Assump - LNG'!$D18)))/MAX('Assump - LNG'!$E18,1)))*INDEX('Assump - LNG'!$J$38:$J$49,MONTH($A94))))</f>
        <v/>
      </c>
      <c r="AC94" s="14">
        <f>IF('Assump - LNG'!$D19="",0,IF($A94&lt;IF('Assump - LNG'!$D19&gt;='Assump - LNG'!$B$6,EDATE('Assump - LNG'!$D19,'Assump - LNG'!$B$4),'Assump - LNG'!$D19),0,'Assump - LNG'!$C19*('Assump - LNG'!$F19+('Assump - LNG'!$G19-'Assump - LNG'!$F19)*MIN(1,((YEAR($A94)-YEAR(IF('Assump - LNG'!$D19&gt;='Assump - LNG'!$B$6,EDATE('Assump - LNG'!$D19,'Assump - LNG'!$B$4),'Assump - LNG'!$D19)))*12+MONTH($A94)-MONTH(IF('Assump - LNG'!$D19&gt;='Assump - LNG'!$B$6,EDATE('Assump - LNG'!$D19,'Assump - LNG'!$B$4),'Assump - LNG'!$D19)))/MAX('Assump - LNG'!$E19,1)))*INDEX('Assump - LNG'!$J$38:$J$49,MONTH($A94))))</f>
        <v/>
      </c>
      <c r="AD94" s="14">
        <f>IF('Assump - LNG'!$D20="",0,IF($A94&lt;IF('Assump - LNG'!$D20&gt;='Assump - LNG'!$B$6,EDATE('Assump - LNG'!$D20,'Assump - LNG'!$B$4),'Assump - LNG'!$D20),0,'Assump - LNG'!$C20*('Assump - LNG'!$F20+('Assump - LNG'!$G20-'Assump - LNG'!$F20)*MIN(1,((YEAR($A94)-YEAR(IF('Assump - LNG'!$D20&gt;='Assump - LNG'!$B$6,EDATE('Assump - LNG'!$D20,'Assump - LNG'!$B$4),'Assump - LNG'!$D20)))*12+MONTH($A94)-MONTH(IF('Assump - LNG'!$D20&gt;='Assump - LNG'!$B$6,EDATE('Assump - LNG'!$D20,'Assump - LNG'!$B$4),'Assump - LNG'!$D20)))/MAX('Assump - LNG'!$E20,1)))*INDEX('Assump - LNG'!$J$38:$J$49,MONTH($A94))))</f>
        <v/>
      </c>
      <c r="AE94" s="14">
        <f>IF('Assump - LNG'!$D21="",0,IF($A94&lt;IF('Assump - LNG'!$D21&gt;='Assump - LNG'!$B$6,EDATE('Assump - LNG'!$D21,'Assump - LNG'!$B$4),'Assump - LNG'!$D21),0,'Assump - LNG'!$C21*('Assump - LNG'!$F21+('Assump - LNG'!$G21-'Assump - LNG'!$F21)*MIN(1,((YEAR($A94)-YEAR(IF('Assump - LNG'!$D21&gt;='Assump - LNG'!$B$6,EDATE('Assump - LNG'!$D21,'Assump - LNG'!$B$4),'Assump - LNG'!$D21)))*12+MONTH($A94)-MONTH(IF('Assump - LNG'!$D21&gt;='Assump - LNG'!$B$6,EDATE('Assump - LNG'!$D21,'Assump - LNG'!$B$4),'Assump - LNG'!$D21)))/MAX('Assump - LNG'!$E21,1)))*INDEX('Assump - LNG'!$J$38:$J$49,MONTH($A94))))</f>
        <v/>
      </c>
      <c r="AF94" s="14">
        <f>IF('Assump - LNG'!$D22="",0,IF($A94&lt;IF('Assump - LNG'!$D22&gt;='Assump - LNG'!$B$6,EDATE('Assump - LNG'!$D22,'Assump - LNG'!$B$4),'Assump - LNG'!$D22),0,'Assump - LNG'!$C22*('Assump - LNG'!$F22+('Assump - LNG'!$G22-'Assump - LNG'!$F22)*MIN(1,((YEAR($A94)-YEAR(IF('Assump - LNG'!$D22&gt;='Assump - LNG'!$B$6,EDATE('Assump - LNG'!$D22,'Assump - LNG'!$B$4),'Assump - LNG'!$D22)))*12+MONTH($A94)-MONTH(IF('Assump - LNG'!$D22&gt;='Assump - LNG'!$B$6,EDATE('Assump - LNG'!$D22,'Assump - LNG'!$B$4),'Assump - LNG'!$D22)))/MAX('Assump - LNG'!$E22,1)))*INDEX('Assump - LNG'!$J$38:$J$49,MONTH($A94))))</f>
        <v/>
      </c>
      <c r="AG94" s="14">
        <f>IF('Assump - LNG'!$D23="",0,IF($A94&lt;IF('Assump - LNG'!$D23&gt;='Assump - LNG'!$B$6,EDATE('Assump - LNG'!$D23,'Assump - LNG'!$B$4),'Assump - LNG'!$D23),0,'Assump - LNG'!$C23*('Assump - LNG'!$F23+('Assump - LNG'!$G23-'Assump - LNG'!$F23)*MIN(1,((YEAR($A94)-YEAR(IF('Assump - LNG'!$D23&gt;='Assump - LNG'!$B$6,EDATE('Assump - LNG'!$D23,'Assump - LNG'!$B$4),'Assump - LNG'!$D23)))*12+MONTH($A94)-MONTH(IF('Assump - LNG'!$D23&gt;='Assump - LNG'!$B$6,EDATE('Assump - LNG'!$D23,'Assump - LNG'!$B$4),'Assump - LNG'!$D23)))/MAX('Assump - LNG'!$E23,1)))*INDEX('Assump - LNG'!$J$38:$J$49,MONTH($A94))))</f>
        <v/>
      </c>
      <c r="AH94" s="14">
        <f>IF('Assump - LNG'!$D24="",0,IF($A94&lt;IF('Assump - LNG'!$D24&gt;='Assump - LNG'!$B$6,EDATE('Assump - LNG'!$D24,'Assump - LNG'!$B$4),'Assump - LNG'!$D24),0,'Assump - LNG'!$C24*('Assump - LNG'!$F24+('Assump - LNG'!$G24-'Assump - LNG'!$F24)*MIN(1,((YEAR($A94)-YEAR(IF('Assump - LNG'!$D24&gt;='Assump - LNG'!$B$6,EDATE('Assump - LNG'!$D24,'Assump - LNG'!$B$4),'Assump - LNG'!$D24)))*12+MONTH($A94)-MONTH(IF('Assump - LNG'!$D24&gt;='Assump - LNG'!$B$6,EDATE('Assump - LNG'!$D24,'Assump - LNG'!$B$4),'Assump - LNG'!$D24)))/MAX('Assump - LNG'!$E24,1)))*INDEX('Assump - LNG'!$J$38:$J$49,MONTH($A94))))</f>
        <v/>
      </c>
      <c r="AI94" s="14">
        <f>IF('Assump - LNG'!$D25="",0,IF($A94&lt;IF('Assump - LNG'!$D25&gt;='Assump - LNG'!$B$6,EDATE('Assump - LNG'!$D25,'Assump - LNG'!$B$4),'Assump - LNG'!$D25),0,'Assump - LNG'!$C25*('Assump - LNG'!$F25+('Assump - LNG'!$G25-'Assump - LNG'!$F25)*MIN(1,((YEAR($A94)-YEAR(IF('Assump - LNG'!$D25&gt;='Assump - LNG'!$B$6,EDATE('Assump - LNG'!$D25,'Assump - LNG'!$B$4),'Assump - LNG'!$D25)))*12+MONTH($A94)-MONTH(IF('Assump - LNG'!$D25&gt;='Assump - LNG'!$B$6,EDATE('Assump - LNG'!$D25,'Assump - LNG'!$B$4),'Assump - LNG'!$D25)))/MAX('Assump - LNG'!$E25,1)))*INDEX('Assump - LNG'!$J$38:$J$49,MONTH($A94))))</f>
        <v/>
      </c>
      <c r="AJ94" s="14">
        <f>IF('Assump - LNG'!$D26="",0,IF($A94&lt;IF('Assump - LNG'!$D26&gt;='Assump - LNG'!$B$6,EDATE('Assump - LNG'!$D26,'Assump - LNG'!$B$4),'Assump - LNG'!$D26),0,'Assump - LNG'!$C26*('Assump - LNG'!$F26+('Assump - LNG'!$G26-'Assump - LNG'!$F26)*MIN(1,((YEAR($A94)-YEAR(IF('Assump - LNG'!$D26&gt;='Assump - LNG'!$B$6,EDATE('Assump - LNG'!$D26,'Assump - LNG'!$B$4),'Assump - LNG'!$D26)))*12+MONTH($A94)-MONTH(IF('Assump - LNG'!$D26&gt;='Assump - LNG'!$B$6,EDATE('Assump - LNG'!$D26,'Assump - LNG'!$B$4),'Assump - LNG'!$D26)))/MAX('Assump - LNG'!$E26,1)))*INDEX('Assump - LNG'!$J$38:$J$49,MONTH($A94))))</f>
        <v/>
      </c>
      <c r="AK94" s="14">
        <f>IF('Assump - LNG'!$D27="",0,IF($A94&lt;IF('Assump - LNG'!$D27&gt;='Assump - LNG'!$B$6,EDATE('Assump - LNG'!$D27,'Assump - LNG'!$B$4),'Assump - LNG'!$D27),0,'Assump - LNG'!$C27*('Assump - LNG'!$F27+('Assump - LNG'!$G27-'Assump - LNG'!$F27)*MIN(1,((YEAR($A94)-YEAR(IF('Assump - LNG'!$D27&gt;='Assump - LNG'!$B$6,EDATE('Assump - LNG'!$D27,'Assump - LNG'!$B$4),'Assump - LNG'!$D27)))*12+MONTH($A94)-MONTH(IF('Assump - LNG'!$D27&gt;='Assump - LNG'!$B$6,EDATE('Assump - LNG'!$D27,'Assump - LNG'!$B$4),'Assump - LNG'!$D27)))/MAX('Assump - LNG'!$E27,1)))*INDEX('Assump - LNG'!$J$38:$J$49,MONTH($A94))))</f>
        <v/>
      </c>
      <c r="AL94" s="14">
        <f>IF('Assump - LNG'!$D28="",0,IF($A94&lt;IF('Assump - LNG'!$D28&gt;='Assump - LNG'!$B$6,EDATE('Assump - LNG'!$D28,'Assump - LNG'!$B$4),'Assump - LNG'!$D28),0,'Assump - LNG'!$C28*('Assump - LNG'!$F28+('Assump - LNG'!$G28-'Assump - LNG'!$F28)*MIN(1,((YEAR($A94)-YEAR(IF('Assump - LNG'!$D28&gt;='Assump - LNG'!$B$6,EDATE('Assump - LNG'!$D28,'Assump - LNG'!$B$4),'Assump - LNG'!$D28)))*12+MONTH($A94)-MONTH(IF('Assump - LNG'!$D28&gt;='Assump - LNG'!$B$6,EDATE('Assump - LNG'!$D28,'Assump - LNG'!$B$4),'Assump - LNG'!$D28)))/MAX('Assump - LNG'!$E28,1)))*INDEX('Assump - LNG'!$J$38:$J$49,MONTH($A94))))</f>
        <v/>
      </c>
      <c r="AM94" s="14">
        <f>IF('Assump - LNG'!$D29="",0,IF($A94&lt;IF('Assump - LNG'!$D29&gt;='Assump - LNG'!$B$6,EDATE('Assump - LNG'!$D29,'Assump - LNG'!$B$4),'Assump - LNG'!$D29),0,'Assump - LNG'!$C29*('Assump - LNG'!$F29+('Assump - LNG'!$G29-'Assump - LNG'!$F29)*MIN(1,((YEAR($A94)-YEAR(IF('Assump - LNG'!$D29&gt;='Assump - LNG'!$B$6,EDATE('Assump - LNG'!$D29,'Assump - LNG'!$B$4),'Assump - LNG'!$D29)))*12+MONTH($A94)-MONTH(IF('Assump - LNG'!$D29&gt;='Assump - LNG'!$B$6,EDATE('Assump - LNG'!$D29,'Assump - LNG'!$B$4),'Assump - LNG'!$D29)))/MAX('Assump - LNG'!$E29,1)))*INDEX('Assump - LNG'!$J$38:$J$49,MONTH($A94))))</f>
        <v/>
      </c>
      <c r="AN94" s="14">
        <f>IF('Assump - LNG'!$D30="",0,IF($A94&lt;IF('Assump - LNG'!$D30&gt;='Assump - LNG'!$B$6,EDATE('Assump - LNG'!$D30,'Assump - LNG'!$B$4),'Assump - LNG'!$D30),0,'Assump - LNG'!$C30*('Assump - LNG'!$F30+('Assump - LNG'!$G30-'Assump - LNG'!$F30)*MIN(1,((YEAR($A94)-YEAR(IF('Assump - LNG'!$D30&gt;='Assump - LNG'!$B$6,EDATE('Assump - LNG'!$D30,'Assump - LNG'!$B$4),'Assump - LNG'!$D30)))*12+MONTH($A94)-MONTH(IF('Assump - LNG'!$D30&gt;='Assump - LNG'!$B$6,EDATE('Assump - LNG'!$D30,'Assump - LNG'!$B$4),'Assump - LNG'!$D30)))/MAX('Assump - LNG'!$E30,1)))*INDEX('Assump - LNG'!$J$38:$J$49,MONTH($A94))))</f>
        <v/>
      </c>
      <c r="AO94" s="14">
        <f>IF('Assump - LNG'!$D31="",0,IF($A94&lt;IF('Assump - LNG'!$D31&gt;='Assump - LNG'!$B$6,EDATE('Assump - LNG'!$D31,'Assump - LNG'!$B$4),'Assump - LNG'!$D31),0,'Assump - LNG'!$C31*('Assump - LNG'!$F31+('Assump - LNG'!$G31-'Assump - LNG'!$F31)*MIN(1,((YEAR($A94)-YEAR(IF('Assump - LNG'!$D31&gt;='Assump - LNG'!$B$6,EDATE('Assump - LNG'!$D31,'Assump - LNG'!$B$4),'Assump - LNG'!$D31)))*12+MONTH($A94)-MONTH(IF('Assump - LNG'!$D31&gt;='Assump - LNG'!$B$6,EDATE('Assump - LNG'!$D31,'Assump - LNG'!$B$4),'Assump - LNG'!$D31)))/MAX('Assump - LNG'!$E31,1)))*INDEX('Assump - LNG'!$J$38:$J$49,MONTH($A94))))</f>
        <v/>
      </c>
    </row>
    <row r="95">
      <c r="A95" s="12" t="n">
        <v>46905</v>
      </c>
      <c r="B95" s="14">
        <f>IF('Assump - LNG'!$D12="",0,IF($A95&lt;'Assump - LNG'!$D12,0,'Assump - LNG'!$C12*('Assump - LNG'!$F12+('Assump - LNG'!$G12-'Assump - LNG'!$F12)*MIN(1,((YEAR($A95)-YEAR('Assump - LNG'!$D12))*12+MONTH($A95)-MONTH('Assump - LNG'!$D12))/MAX('Assump - LNG'!$E12,1)))*INDEX('Assump - LNG'!$J$38:$J$49,MONTH($A95))))</f>
        <v/>
      </c>
      <c r="C95" s="14">
        <f>IF('Assump - LNG'!$D13="",0,IF($A95&lt;'Assump - LNG'!$D13,0,'Assump - LNG'!$C13*('Assump - LNG'!$F13+('Assump - LNG'!$G13-'Assump - LNG'!$F13)*MIN(1,((YEAR($A95)-YEAR('Assump - LNG'!$D13))*12+MONTH($A95)-MONTH('Assump - LNG'!$D13))/MAX('Assump - LNG'!$E13,1)))*INDEX('Assump - LNG'!$J$38:$J$49,MONTH($A95))))</f>
        <v/>
      </c>
      <c r="D95" s="14">
        <f>IF('Assump - LNG'!$D14="",0,IF($A95&lt;'Assump - LNG'!$D14,0,'Assump - LNG'!$C14*('Assump - LNG'!$F14+('Assump - LNG'!$G14-'Assump - LNG'!$F14)*MIN(1,((YEAR($A95)-YEAR('Assump - LNG'!$D14))*12+MONTH($A95)-MONTH('Assump - LNG'!$D14))/MAX('Assump - LNG'!$E14,1)))*INDEX('Assump - LNG'!$J$38:$J$49,MONTH($A95))))</f>
        <v/>
      </c>
      <c r="E95" s="14">
        <f>IF('Assump - LNG'!$D15="",0,IF($A95&lt;'Assump - LNG'!$D15,0,'Assump - LNG'!$C15*('Assump - LNG'!$F15+('Assump - LNG'!$G15-'Assump - LNG'!$F15)*MIN(1,((YEAR($A95)-YEAR('Assump - LNG'!$D15))*12+MONTH($A95)-MONTH('Assump - LNG'!$D15))/MAX('Assump - LNG'!$E15,1)))*INDEX('Assump - LNG'!$J$38:$J$49,MONTH($A95))))</f>
        <v/>
      </c>
      <c r="F95" s="14">
        <f>IF('Assump - LNG'!$D16="",0,IF($A95&lt;'Assump - LNG'!$D16,0,'Assump - LNG'!$C16*('Assump - LNG'!$F16+('Assump - LNG'!$G16-'Assump - LNG'!$F16)*MIN(1,((YEAR($A95)-YEAR('Assump - LNG'!$D16))*12+MONTH($A95)-MONTH('Assump - LNG'!$D16))/MAX('Assump - LNG'!$E16,1)))*INDEX('Assump - LNG'!$J$38:$J$49,MONTH($A95))))</f>
        <v/>
      </c>
      <c r="G95" s="14">
        <f>IF('Assump - LNG'!$D17="",0,IF($A95&lt;'Assump - LNG'!$D17,0,'Assump - LNG'!$C17*('Assump - LNG'!$F17+('Assump - LNG'!$G17-'Assump - LNG'!$F17)*MIN(1,((YEAR($A95)-YEAR('Assump - LNG'!$D17))*12+MONTH($A95)-MONTH('Assump - LNG'!$D17))/MAX('Assump - LNG'!$E17,1)))*INDEX('Assump - LNG'!$J$38:$J$49,MONTH($A95))))</f>
        <v/>
      </c>
      <c r="H95" s="14">
        <f>IF('Assump - LNG'!$D18="",0,IF($A95&lt;'Assump - LNG'!$D18,0,'Assump - LNG'!$C18*('Assump - LNG'!$F18+('Assump - LNG'!$G18-'Assump - LNG'!$F18)*MIN(1,((YEAR($A95)-YEAR('Assump - LNG'!$D18))*12+MONTH($A95)-MONTH('Assump - LNG'!$D18))/MAX('Assump - LNG'!$E18,1)))*INDEX('Assump - LNG'!$J$38:$J$49,MONTH($A95))))</f>
        <v/>
      </c>
      <c r="I95" s="14">
        <f>IF('Assump - LNG'!$D19="",0,IF($A95&lt;'Assump - LNG'!$D19,0,'Assump - LNG'!$C19*('Assump - LNG'!$F19+('Assump - LNG'!$G19-'Assump - LNG'!$F19)*MIN(1,((YEAR($A95)-YEAR('Assump - LNG'!$D19))*12+MONTH($A95)-MONTH('Assump - LNG'!$D19))/MAX('Assump - LNG'!$E19,1)))*INDEX('Assump - LNG'!$J$38:$J$49,MONTH($A95))))</f>
        <v/>
      </c>
      <c r="J95" s="14">
        <f>IF('Assump - LNG'!$D20="",0,IF($A95&lt;'Assump - LNG'!$D20,0,'Assump - LNG'!$C20*('Assump - LNG'!$F20+('Assump - LNG'!$G20-'Assump - LNG'!$F20)*MIN(1,((YEAR($A95)-YEAR('Assump - LNG'!$D20))*12+MONTH($A95)-MONTH('Assump - LNG'!$D20))/MAX('Assump - LNG'!$E20,1)))*INDEX('Assump - LNG'!$J$38:$J$49,MONTH($A95))))</f>
        <v/>
      </c>
      <c r="K95" s="14">
        <f>IF('Assump - LNG'!$D21="",0,IF($A95&lt;'Assump - LNG'!$D21,0,'Assump - LNG'!$C21*('Assump - LNG'!$F21+('Assump - LNG'!$G21-'Assump - LNG'!$F21)*MIN(1,((YEAR($A95)-YEAR('Assump - LNG'!$D21))*12+MONTH($A95)-MONTH('Assump - LNG'!$D21))/MAX('Assump - LNG'!$E21,1)))*INDEX('Assump - LNG'!$J$38:$J$49,MONTH($A95))))</f>
        <v/>
      </c>
      <c r="L95" s="14">
        <f>IF('Assump - LNG'!$D22="",0,IF($A95&lt;'Assump - LNG'!$D22,0,'Assump - LNG'!$C22*('Assump - LNG'!$F22+('Assump - LNG'!$G22-'Assump - LNG'!$F22)*MIN(1,((YEAR($A95)-YEAR('Assump - LNG'!$D22))*12+MONTH($A95)-MONTH('Assump - LNG'!$D22))/MAX('Assump - LNG'!$E22,1)))*INDEX('Assump - LNG'!$J$38:$J$49,MONTH($A95))))</f>
        <v/>
      </c>
      <c r="M95" s="14">
        <f>IF('Assump - LNG'!$D23="",0,IF($A95&lt;'Assump - LNG'!$D23,0,'Assump - LNG'!$C23*('Assump - LNG'!$F23+('Assump - LNG'!$G23-'Assump - LNG'!$F23)*MIN(1,((YEAR($A95)-YEAR('Assump - LNG'!$D23))*12+MONTH($A95)-MONTH('Assump - LNG'!$D23))/MAX('Assump - LNG'!$E23,1)))*INDEX('Assump - LNG'!$J$38:$J$49,MONTH($A95))))</f>
        <v/>
      </c>
      <c r="N95" s="14">
        <f>IF('Assump - LNG'!$D24="",0,IF($A95&lt;'Assump - LNG'!$D24,0,'Assump - LNG'!$C24*('Assump - LNG'!$F24+('Assump - LNG'!$G24-'Assump - LNG'!$F24)*MIN(1,((YEAR($A95)-YEAR('Assump - LNG'!$D24))*12+MONTH($A95)-MONTH('Assump - LNG'!$D24))/MAX('Assump - LNG'!$E24,1)))*INDEX('Assump - LNG'!$J$38:$J$49,MONTH($A95))))</f>
        <v/>
      </c>
      <c r="O95" s="14">
        <f>IF('Assump - LNG'!$D25="",0,IF($A95&lt;'Assump - LNG'!$D25,0,'Assump - LNG'!$C25*('Assump - LNG'!$F25+('Assump - LNG'!$G25-'Assump - LNG'!$F25)*MIN(1,((YEAR($A95)-YEAR('Assump - LNG'!$D25))*12+MONTH($A95)-MONTH('Assump - LNG'!$D25))/MAX('Assump - LNG'!$E25,1)))*INDEX('Assump - LNG'!$J$38:$J$49,MONTH($A95))))</f>
        <v/>
      </c>
      <c r="P95" s="14">
        <f>IF('Assump - LNG'!$D26="",0,IF($A95&lt;'Assump - LNG'!$D26,0,'Assump - LNG'!$C26*('Assump - LNG'!$F26+('Assump - LNG'!$G26-'Assump - LNG'!$F26)*MIN(1,((YEAR($A95)-YEAR('Assump - LNG'!$D26))*12+MONTH($A95)-MONTH('Assump - LNG'!$D26))/MAX('Assump - LNG'!$E26,1)))*INDEX('Assump - LNG'!$J$38:$J$49,MONTH($A95))))</f>
        <v/>
      </c>
      <c r="Q95" s="14">
        <f>IF('Assump - LNG'!$D27="",0,IF($A95&lt;'Assump - LNG'!$D27,0,'Assump - LNG'!$C27*('Assump - LNG'!$F27+('Assump - LNG'!$G27-'Assump - LNG'!$F27)*MIN(1,((YEAR($A95)-YEAR('Assump - LNG'!$D27))*12+MONTH($A95)-MONTH('Assump - LNG'!$D27))/MAX('Assump - LNG'!$E27,1)))*INDEX('Assump - LNG'!$J$38:$J$49,MONTH($A95))))</f>
        <v/>
      </c>
      <c r="R95" s="14">
        <f>IF('Assump - LNG'!$D28="",0,IF($A95&lt;'Assump - LNG'!$D28,0,'Assump - LNG'!$C28*('Assump - LNG'!$F28+('Assump - LNG'!$G28-'Assump - LNG'!$F28)*MIN(1,((YEAR($A95)-YEAR('Assump - LNG'!$D28))*12+MONTH($A95)-MONTH('Assump - LNG'!$D28))/MAX('Assump - LNG'!$E28,1)))*INDEX('Assump - LNG'!$J$38:$J$49,MONTH($A95))))</f>
        <v/>
      </c>
      <c r="S95" s="14">
        <f>IF('Assump - LNG'!$D29="",0,IF($A95&lt;'Assump - LNG'!$D29,0,'Assump - LNG'!$C29*('Assump - LNG'!$F29+('Assump - LNG'!$G29-'Assump - LNG'!$F29)*MIN(1,((YEAR($A95)-YEAR('Assump - LNG'!$D29))*12+MONTH($A95)-MONTH('Assump - LNG'!$D29))/MAX('Assump - LNG'!$E29,1)))*INDEX('Assump - LNG'!$J$38:$J$49,MONTH($A95))))</f>
        <v/>
      </c>
      <c r="T95" s="14">
        <f>IF('Assump - LNG'!$D30="",0,IF($A95&lt;'Assump - LNG'!$D30,0,'Assump - LNG'!$C30*('Assump - LNG'!$F30+('Assump - LNG'!$G30-'Assump - LNG'!$F30)*MIN(1,((YEAR($A95)-YEAR('Assump - LNG'!$D30))*12+MONTH($A95)-MONTH('Assump - LNG'!$D30))/MAX('Assump - LNG'!$E30,1)))*INDEX('Assump - LNG'!$J$38:$J$49,MONTH($A95))))</f>
        <v/>
      </c>
      <c r="U95" s="14">
        <f>IF('Assump - LNG'!$D31="",0,IF($A95&lt;'Assump - LNG'!$D31,0,'Assump - LNG'!$C31*('Assump - LNG'!$F31+('Assump - LNG'!$G31-'Assump - LNG'!$F31)*MIN(1,((YEAR($A95)-YEAR('Assump - LNG'!$D31))*12+MONTH($A95)-MONTH('Assump - LNG'!$D31))/MAX('Assump - LNG'!$E31,1)))*INDEX('Assump - LNG'!$J$38:$J$49,MONTH($A95))))</f>
        <v/>
      </c>
      <c r="V95" s="14">
        <f>IF('Assump - LNG'!$D12="",0,IF($A95&lt;IF('Assump - LNG'!$D12&gt;='Assump - LNG'!$B$6,EDATE('Assump - LNG'!$D12,'Assump - LNG'!$B$4),'Assump - LNG'!$D12),0,'Assump - LNG'!$C12*('Assump - LNG'!$F12+('Assump - LNG'!$G12-'Assump - LNG'!$F12)*MIN(1,((YEAR($A95)-YEAR(IF('Assump - LNG'!$D12&gt;='Assump - LNG'!$B$6,EDATE('Assump - LNG'!$D12,'Assump - LNG'!$B$4),'Assump - LNG'!$D12)))*12+MONTH($A95)-MONTH(IF('Assump - LNG'!$D12&gt;='Assump - LNG'!$B$6,EDATE('Assump - LNG'!$D12,'Assump - LNG'!$B$4),'Assump - LNG'!$D12)))/MAX('Assump - LNG'!$E12,1)))*INDEX('Assump - LNG'!$J$38:$J$49,MONTH($A95))))</f>
        <v/>
      </c>
      <c r="W95" s="14">
        <f>IF('Assump - LNG'!$D13="",0,IF($A95&lt;IF('Assump - LNG'!$D13&gt;='Assump - LNG'!$B$6,EDATE('Assump - LNG'!$D13,'Assump - LNG'!$B$4),'Assump - LNG'!$D13),0,'Assump - LNG'!$C13*('Assump - LNG'!$F13+('Assump - LNG'!$G13-'Assump - LNG'!$F13)*MIN(1,((YEAR($A95)-YEAR(IF('Assump - LNG'!$D13&gt;='Assump - LNG'!$B$6,EDATE('Assump - LNG'!$D13,'Assump - LNG'!$B$4),'Assump - LNG'!$D13)))*12+MONTH($A95)-MONTH(IF('Assump - LNG'!$D13&gt;='Assump - LNG'!$B$6,EDATE('Assump - LNG'!$D13,'Assump - LNG'!$B$4),'Assump - LNG'!$D13)))/MAX('Assump - LNG'!$E13,1)))*INDEX('Assump - LNG'!$J$38:$J$49,MONTH($A95))))</f>
        <v/>
      </c>
      <c r="X95" s="14">
        <f>IF('Assump - LNG'!$D14="",0,IF($A95&lt;IF('Assump - LNG'!$D14&gt;='Assump - LNG'!$B$6,EDATE('Assump - LNG'!$D14,'Assump - LNG'!$B$4),'Assump - LNG'!$D14),0,'Assump - LNG'!$C14*('Assump - LNG'!$F14+('Assump - LNG'!$G14-'Assump - LNG'!$F14)*MIN(1,((YEAR($A95)-YEAR(IF('Assump - LNG'!$D14&gt;='Assump - LNG'!$B$6,EDATE('Assump - LNG'!$D14,'Assump - LNG'!$B$4),'Assump - LNG'!$D14)))*12+MONTH($A95)-MONTH(IF('Assump - LNG'!$D14&gt;='Assump - LNG'!$B$6,EDATE('Assump - LNG'!$D14,'Assump - LNG'!$B$4),'Assump - LNG'!$D14)))/MAX('Assump - LNG'!$E14,1)))*INDEX('Assump - LNG'!$J$38:$J$49,MONTH($A95))))</f>
        <v/>
      </c>
      <c r="Y95" s="14">
        <f>IF('Assump - LNG'!$D15="",0,IF($A95&lt;IF('Assump - LNG'!$D15&gt;='Assump - LNG'!$B$6,EDATE('Assump - LNG'!$D15,'Assump - LNG'!$B$4),'Assump - LNG'!$D15),0,'Assump - LNG'!$C15*('Assump - LNG'!$F15+('Assump - LNG'!$G15-'Assump - LNG'!$F15)*MIN(1,((YEAR($A95)-YEAR(IF('Assump - LNG'!$D15&gt;='Assump - LNG'!$B$6,EDATE('Assump - LNG'!$D15,'Assump - LNG'!$B$4),'Assump - LNG'!$D15)))*12+MONTH($A95)-MONTH(IF('Assump - LNG'!$D15&gt;='Assump - LNG'!$B$6,EDATE('Assump - LNG'!$D15,'Assump - LNG'!$B$4),'Assump - LNG'!$D15)))/MAX('Assump - LNG'!$E15,1)))*INDEX('Assump - LNG'!$J$38:$J$49,MONTH($A95))))</f>
        <v/>
      </c>
      <c r="Z95" s="14">
        <f>IF('Assump - LNG'!$D16="",0,IF($A95&lt;IF('Assump - LNG'!$D16&gt;='Assump - LNG'!$B$6,EDATE('Assump - LNG'!$D16,'Assump - LNG'!$B$4),'Assump - LNG'!$D16),0,'Assump - LNG'!$C16*('Assump - LNG'!$F16+('Assump - LNG'!$G16-'Assump - LNG'!$F16)*MIN(1,((YEAR($A95)-YEAR(IF('Assump - LNG'!$D16&gt;='Assump - LNG'!$B$6,EDATE('Assump - LNG'!$D16,'Assump - LNG'!$B$4),'Assump - LNG'!$D16)))*12+MONTH($A95)-MONTH(IF('Assump - LNG'!$D16&gt;='Assump - LNG'!$B$6,EDATE('Assump - LNG'!$D16,'Assump - LNG'!$B$4),'Assump - LNG'!$D16)))/MAX('Assump - LNG'!$E16,1)))*INDEX('Assump - LNG'!$J$38:$J$49,MONTH($A95))))</f>
        <v/>
      </c>
      <c r="AA95" s="14">
        <f>IF('Assump - LNG'!$D17="",0,IF($A95&lt;IF('Assump - LNG'!$D17&gt;='Assump - LNG'!$B$6,EDATE('Assump - LNG'!$D17,'Assump - LNG'!$B$4),'Assump - LNG'!$D17),0,'Assump - LNG'!$C17*('Assump - LNG'!$F17+('Assump - LNG'!$G17-'Assump - LNG'!$F17)*MIN(1,((YEAR($A95)-YEAR(IF('Assump - LNG'!$D17&gt;='Assump - LNG'!$B$6,EDATE('Assump - LNG'!$D17,'Assump - LNG'!$B$4),'Assump - LNG'!$D17)))*12+MONTH($A95)-MONTH(IF('Assump - LNG'!$D17&gt;='Assump - LNG'!$B$6,EDATE('Assump - LNG'!$D17,'Assump - LNG'!$B$4),'Assump - LNG'!$D17)))/MAX('Assump - LNG'!$E17,1)))*INDEX('Assump - LNG'!$J$38:$J$49,MONTH($A95))))</f>
        <v/>
      </c>
      <c r="AB95" s="14">
        <f>IF('Assump - LNG'!$D18="",0,IF($A95&lt;IF('Assump - LNG'!$D18&gt;='Assump - LNG'!$B$6,EDATE('Assump - LNG'!$D18,'Assump - LNG'!$B$4),'Assump - LNG'!$D18),0,'Assump - LNG'!$C18*('Assump - LNG'!$F18+('Assump - LNG'!$G18-'Assump - LNG'!$F18)*MIN(1,((YEAR($A95)-YEAR(IF('Assump - LNG'!$D18&gt;='Assump - LNG'!$B$6,EDATE('Assump - LNG'!$D18,'Assump - LNG'!$B$4),'Assump - LNG'!$D18)))*12+MONTH($A95)-MONTH(IF('Assump - LNG'!$D18&gt;='Assump - LNG'!$B$6,EDATE('Assump - LNG'!$D18,'Assump - LNG'!$B$4),'Assump - LNG'!$D18)))/MAX('Assump - LNG'!$E18,1)))*INDEX('Assump - LNG'!$J$38:$J$49,MONTH($A95))))</f>
        <v/>
      </c>
      <c r="AC95" s="14">
        <f>IF('Assump - LNG'!$D19="",0,IF($A95&lt;IF('Assump - LNG'!$D19&gt;='Assump - LNG'!$B$6,EDATE('Assump - LNG'!$D19,'Assump - LNG'!$B$4),'Assump - LNG'!$D19),0,'Assump - LNG'!$C19*('Assump - LNG'!$F19+('Assump - LNG'!$G19-'Assump - LNG'!$F19)*MIN(1,((YEAR($A95)-YEAR(IF('Assump - LNG'!$D19&gt;='Assump - LNG'!$B$6,EDATE('Assump - LNG'!$D19,'Assump - LNG'!$B$4),'Assump - LNG'!$D19)))*12+MONTH($A95)-MONTH(IF('Assump - LNG'!$D19&gt;='Assump - LNG'!$B$6,EDATE('Assump - LNG'!$D19,'Assump - LNG'!$B$4),'Assump - LNG'!$D19)))/MAX('Assump - LNG'!$E19,1)))*INDEX('Assump - LNG'!$J$38:$J$49,MONTH($A95))))</f>
        <v/>
      </c>
      <c r="AD95" s="14">
        <f>IF('Assump - LNG'!$D20="",0,IF($A95&lt;IF('Assump - LNG'!$D20&gt;='Assump - LNG'!$B$6,EDATE('Assump - LNG'!$D20,'Assump - LNG'!$B$4),'Assump - LNG'!$D20),0,'Assump - LNG'!$C20*('Assump - LNG'!$F20+('Assump - LNG'!$G20-'Assump - LNG'!$F20)*MIN(1,((YEAR($A95)-YEAR(IF('Assump - LNG'!$D20&gt;='Assump - LNG'!$B$6,EDATE('Assump - LNG'!$D20,'Assump - LNG'!$B$4),'Assump - LNG'!$D20)))*12+MONTH($A95)-MONTH(IF('Assump - LNG'!$D20&gt;='Assump - LNG'!$B$6,EDATE('Assump - LNG'!$D20,'Assump - LNG'!$B$4),'Assump - LNG'!$D20)))/MAX('Assump - LNG'!$E20,1)))*INDEX('Assump - LNG'!$J$38:$J$49,MONTH($A95))))</f>
        <v/>
      </c>
      <c r="AE95" s="14">
        <f>IF('Assump - LNG'!$D21="",0,IF($A95&lt;IF('Assump - LNG'!$D21&gt;='Assump - LNG'!$B$6,EDATE('Assump - LNG'!$D21,'Assump - LNG'!$B$4),'Assump - LNG'!$D21),0,'Assump - LNG'!$C21*('Assump - LNG'!$F21+('Assump - LNG'!$G21-'Assump - LNG'!$F21)*MIN(1,((YEAR($A95)-YEAR(IF('Assump - LNG'!$D21&gt;='Assump - LNG'!$B$6,EDATE('Assump - LNG'!$D21,'Assump - LNG'!$B$4),'Assump - LNG'!$D21)))*12+MONTH($A95)-MONTH(IF('Assump - LNG'!$D21&gt;='Assump - LNG'!$B$6,EDATE('Assump - LNG'!$D21,'Assump - LNG'!$B$4),'Assump - LNG'!$D21)))/MAX('Assump - LNG'!$E21,1)))*INDEX('Assump - LNG'!$J$38:$J$49,MONTH($A95))))</f>
        <v/>
      </c>
      <c r="AF95" s="14">
        <f>IF('Assump - LNG'!$D22="",0,IF($A95&lt;IF('Assump - LNG'!$D22&gt;='Assump - LNG'!$B$6,EDATE('Assump - LNG'!$D22,'Assump - LNG'!$B$4),'Assump - LNG'!$D22),0,'Assump - LNG'!$C22*('Assump - LNG'!$F22+('Assump - LNG'!$G22-'Assump - LNG'!$F22)*MIN(1,((YEAR($A95)-YEAR(IF('Assump - LNG'!$D22&gt;='Assump - LNG'!$B$6,EDATE('Assump - LNG'!$D22,'Assump - LNG'!$B$4),'Assump - LNG'!$D22)))*12+MONTH($A95)-MONTH(IF('Assump - LNG'!$D22&gt;='Assump - LNG'!$B$6,EDATE('Assump - LNG'!$D22,'Assump - LNG'!$B$4),'Assump - LNG'!$D22)))/MAX('Assump - LNG'!$E22,1)))*INDEX('Assump - LNG'!$J$38:$J$49,MONTH($A95))))</f>
        <v/>
      </c>
      <c r="AG95" s="14">
        <f>IF('Assump - LNG'!$D23="",0,IF($A95&lt;IF('Assump - LNG'!$D23&gt;='Assump - LNG'!$B$6,EDATE('Assump - LNG'!$D23,'Assump - LNG'!$B$4),'Assump - LNG'!$D23),0,'Assump - LNG'!$C23*('Assump - LNG'!$F23+('Assump - LNG'!$G23-'Assump - LNG'!$F23)*MIN(1,((YEAR($A95)-YEAR(IF('Assump - LNG'!$D23&gt;='Assump - LNG'!$B$6,EDATE('Assump - LNG'!$D23,'Assump - LNG'!$B$4),'Assump - LNG'!$D23)))*12+MONTH($A95)-MONTH(IF('Assump - LNG'!$D23&gt;='Assump - LNG'!$B$6,EDATE('Assump - LNG'!$D23,'Assump - LNG'!$B$4),'Assump - LNG'!$D23)))/MAX('Assump - LNG'!$E23,1)))*INDEX('Assump - LNG'!$J$38:$J$49,MONTH($A95))))</f>
        <v/>
      </c>
      <c r="AH95" s="14">
        <f>IF('Assump - LNG'!$D24="",0,IF($A95&lt;IF('Assump - LNG'!$D24&gt;='Assump - LNG'!$B$6,EDATE('Assump - LNG'!$D24,'Assump - LNG'!$B$4),'Assump - LNG'!$D24),0,'Assump - LNG'!$C24*('Assump - LNG'!$F24+('Assump - LNG'!$G24-'Assump - LNG'!$F24)*MIN(1,((YEAR($A95)-YEAR(IF('Assump - LNG'!$D24&gt;='Assump - LNG'!$B$6,EDATE('Assump - LNG'!$D24,'Assump - LNG'!$B$4),'Assump - LNG'!$D24)))*12+MONTH($A95)-MONTH(IF('Assump - LNG'!$D24&gt;='Assump - LNG'!$B$6,EDATE('Assump - LNG'!$D24,'Assump - LNG'!$B$4),'Assump - LNG'!$D24)))/MAX('Assump - LNG'!$E24,1)))*INDEX('Assump - LNG'!$J$38:$J$49,MONTH($A95))))</f>
        <v/>
      </c>
      <c r="AI95" s="14">
        <f>IF('Assump - LNG'!$D25="",0,IF($A95&lt;IF('Assump - LNG'!$D25&gt;='Assump - LNG'!$B$6,EDATE('Assump - LNG'!$D25,'Assump - LNG'!$B$4),'Assump - LNG'!$D25),0,'Assump - LNG'!$C25*('Assump - LNG'!$F25+('Assump - LNG'!$G25-'Assump - LNG'!$F25)*MIN(1,((YEAR($A95)-YEAR(IF('Assump - LNG'!$D25&gt;='Assump - LNG'!$B$6,EDATE('Assump - LNG'!$D25,'Assump - LNG'!$B$4),'Assump - LNG'!$D25)))*12+MONTH($A95)-MONTH(IF('Assump - LNG'!$D25&gt;='Assump - LNG'!$B$6,EDATE('Assump - LNG'!$D25,'Assump - LNG'!$B$4),'Assump - LNG'!$D25)))/MAX('Assump - LNG'!$E25,1)))*INDEX('Assump - LNG'!$J$38:$J$49,MONTH($A95))))</f>
        <v/>
      </c>
      <c r="AJ95" s="14">
        <f>IF('Assump - LNG'!$D26="",0,IF($A95&lt;IF('Assump - LNG'!$D26&gt;='Assump - LNG'!$B$6,EDATE('Assump - LNG'!$D26,'Assump - LNG'!$B$4),'Assump - LNG'!$D26),0,'Assump - LNG'!$C26*('Assump - LNG'!$F26+('Assump - LNG'!$G26-'Assump - LNG'!$F26)*MIN(1,((YEAR($A95)-YEAR(IF('Assump - LNG'!$D26&gt;='Assump - LNG'!$B$6,EDATE('Assump - LNG'!$D26,'Assump - LNG'!$B$4),'Assump - LNG'!$D26)))*12+MONTH($A95)-MONTH(IF('Assump - LNG'!$D26&gt;='Assump - LNG'!$B$6,EDATE('Assump - LNG'!$D26,'Assump - LNG'!$B$4),'Assump - LNG'!$D26)))/MAX('Assump - LNG'!$E26,1)))*INDEX('Assump - LNG'!$J$38:$J$49,MONTH($A95))))</f>
        <v/>
      </c>
      <c r="AK95" s="14">
        <f>IF('Assump - LNG'!$D27="",0,IF($A95&lt;IF('Assump - LNG'!$D27&gt;='Assump - LNG'!$B$6,EDATE('Assump - LNG'!$D27,'Assump - LNG'!$B$4),'Assump - LNG'!$D27),0,'Assump - LNG'!$C27*('Assump - LNG'!$F27+('Assump - LNG'!$G27-'Assump - LNG'!$F27)*MIN(1,((YEAR($A95)-YEAR(IF('Assump - LNG'!$D27&gt;='Assump - LNG'!$B$6,EDATE('Assump - LNG'!$D27,'Assump - LNG'!$B$4),'Assump - LNG'!$D27)))*12+MONTH($A95)-MONTH(IF('Assump - LNG'!$D27&gt;='Assump - LNG'!$B$6,EDATE('Assump - LNG'!$D27,'Assump - LNG'!$B$4),'Assump - LNG'!$D27)))/MAX('Assump - LNG'!$E27,1)))*INDEX('Assump - LNG'!$J$38:$J$49,MONTH($A95))))</f>
        <v/>
      </c>
      <c r="AL95" s="14">
        <f>IF('Assump - LNG'!$D28="",0,IF($A95&lt;IF('Assump - LNG'!$D28&gt;='Assump - LNG'!$B$6,EDATE('Assump - LNG'!$D28,'Assump - LNG'!$B$4),'Assump - LNG'!$D28),0,'Assump - LNG'!$C28*('Assump - LNG'!$F28+('Assump - LNG'!$G28-'Assump - LNG'!$F28)*MIN(1,((YEAR($A95)-YEAR(IF('Assump - LNG'!$D28&gt;='Assump - LNG'!$B$6,EDATE('Assump - LNG'!$D28,'Assump - LNG'!$B$4),'Assump - LNG'!$D28)))*12+MONTH($A95)-MONTH(IF('Assump - LNG'!$D28&gt;='Assump - LNG'!$B$6,EDATE('Assump - LNG'!$D28,'Assump - LNG'!$B$4),'Assump - LNG'!$D28)))/MAX('Assump - LNG'!$E28,1)))*INDEX('Assump - LNG'!$J$38:$J$49,MONTH($A95))))</f>
        <v/>
      </c>
      <c r="AM95" s="14">
        <f>IF('Assump - LNG'!$D29="",0,IF($A95&lt;IF('Assump - LNG'!$D29&gt;='Assump - LNG'!$B$6,EDATE('Assump - LNG'!$D29,'Assump - LNG'!$B$4),'Assump - LNG'!$D29),0,'Assump - LNG'!$C29*('Assump - LNG'!$F29+('Assump - LNG'!$G29-'Assump - LNG'!$F29)*MIN(1,((YEAR($A95)-YEAR(IF('Assump - LNG'!$D29&gt;='Assump - LNG'!$B$6,EDATE('Assump - LNG'!$D29,'Assump - LNG'!$B$4),'Assump - LNG'!$D29)))*12+MONTH($A95)-MONTH(IF('Assump - LNG'!$D29&gt;='Assump - LNG'!$B$6,EDATE('Assump - LNG'!$D29,'Assump - LNG'!$B$4),'Assump - LNG'!$D29)))/MAX('Assump - LNG'!$E29,1)))*INDEX('Assump - LNG'!$J$38:$J$49,MONTH($A95))))</f>
        <v/>
      </c>
      <c r="AN95" s="14">
        <f>IF('Assump - LNG'!$D30="",0,IF($A95&lt;IF('Assump - LNG'!$D30&gt;='Assump - LNG'!$B$6,EDATE('Assump - LNG'!$D30,'Assump - LNG'!$B$4),'Assump - LNG'!$D30),0,'Assump - LNG'!$C30*('Assump - LNG'!$F30+('Assump - LNG'!$G30-'Assump - LNG'!$F30)*MIN(1,((YEAR($A95)-YEAR(IF('Assump - LNG'!$D30&gt;='Assump - LNG'!$B$6,EDATE('Assump - LNG'!$D30,'Assump - LNG'!$B$4),'Assump - LNG'!$D30)))*12+MONTH($A95)-MONTH(IF('Assump - LNG'!$D30&gt;='Assump - LNG'!$B$6,EDATE('Assump - LNG'!$D30,'Assump - LNG'!$B$4),'Assump - LNG'!$D30)))/MAX('Assump - LNG'!$E30,1)))*INDEX('Assump - LNG'!$J$38:$J$49,MONTH($A95))))</f>
        <v/>
      </c>
      <c r="AO95" s="14">
        <f>IF('Assump - LNG'!$D31="",0,IF($A95&lt;IF('Assump - LNG'!$D31&gt;='Assump - LNG'!$B$6,EDATE('Assump - LNG'!$D31,'Assump - LNG'!$B$4),'Assump - LNG'!$D31),0,'Assump - LNG'!$C31*('Assump - LNG'!$F31+('Assump - LNG'!$G31-'Assump - LNG'!$F31)*MIN(1,((YEAR($A95)-YEAR(IF('Assump - LNG'!$D31&gt;='Assump - LNG'!$B$6,EDATE('Assump - LNG'!$D31,'Assump - LNG'!$B$4),'Assump - LNG'!$D31)))*12+MONTH($A95)-MONTH(IF('Assump - LNG'!$D31&gt;='Assump - LNG'!$B$6,EDATE('Assump - LNG'!$D31,'Assump - LNG'!$B$4),'Assump - LNG'!$D31)))/MAX('Assump - LNG'!$E31,1)))*INDEX('Assump - LNG'!$J$38:$J$49,MONTH($A95))))</f>
        <v/>
      </c>
    </row>
    <row r="96">
      <c r="A96" s="12" t="n">
        <v>46935</v>
      </c>
      <c r="B96" s="14">
        <f>IF('Assump - LNG'!$D12="",0,IF($A96&lt;'Assump - LNG'!$D12,0,'Assump - LNG'!$C12*('Assump - LNG'!$F12+('Assump - LNG'!$G12-'Assump - LNG'!$F12)*MIN(1,((YEAR($A96)-YEAR('Assump - LNG'!$D12))*12+MONTH($A96)-MONTH('Assump - LNG'!$D12))/MAX('Assump - LNG'!$E12,1)))*INDEX('Assump - LNG'!$J$38:$J$49,MONTH($A96))))</f>
        <v/>
      </c>
      <c r="C96" s="14">
        <f>IF('Assump - LNG'!$D13="",0,IF($A96&lt;'Assump - LNG'!$D13,0,'Assump - LNG'!$C13*('Assump - LNG'!$F13+('Assump - LNG'!$G13-'Assump - LNG'!$F13)*MIN(1,((YEAR($A96)-YEAR('Assump - LNG'!$D13))*12+MONTH($A96)-MONTH('Assump - LNG'!$D13))/MAX('Assump - LNG'!$E13,1)))*INDEX('Assump - LNG'!$J$38:$J$49,MONTH($A96))))</f>
        <v/>
      </c>
      <c r="D96" s="14">
        <f>IF('Assump - LNG'!$D14="",0,IF($A96&lt;'Assump - LNG'!$D14,0,'Assump - LNG'!$C14*('Assump - LNG'!$F14+('Assump - LNG'!$G14-'Assump - LNG'!$F14)*MIN(1,((YEAR($A96)-YEAR('Assump - LNG'!$D14))*12+MONTH($A96)-MONTH('Assump - LNG'!$D14))/MAX('Assump - LNG'!$E14,1)))*INDEX('Assump - LNG'!$J$38:$J$49,MONTH($A96))))</f>
        <v/>
      </c>
      <c r="E96" s="14">
        <f>IF('Assump - LNG'!$D15="",0,IF($A96&lt;'Assump - LNG'!$D15,0,'Assump - LNG'!$C15*('Assump - LNG'!$F15+('Assump - LNG'!$G15-'Assump - LNG'!$F15)*MIN(1,((YEAR($A96)-YEAR('Assump - LNG'!$D15))*12+MONTH($A96)-MONTH('Assump - LNG'!$D15))/MAX('Assump - LNG'!$E15,1)))*INDEX('Assump - LNG'!$J$38:$J$49,MONTH($A96))))</f>
        <v/>
      </c>
      <c r="F96" s="14">
        <f>IF('Assump - LNG'!$D16="",0,IF($A96&lt;'Assump - LNG'!$D16,0,'Assump - LNG'!$C16*('Assump - LNG'!$F16+('Assump - LNG'!$G16-'Assump - LNG'!$F16)*MIN(1,((YEAR($A96)-YEAR('Assump - LNG'!$D16))*12+MONTH($A96)-MONTH('Assump - LNG'!$D16))/MAX('Assump - LNG'!$E16,1)))*INDEX('Assump - LNG'!$J$38:$J$49,MONTH($A96))))</f>
        <v/>
      </c>
      <c r="G96" s="14">
        <f>IF('Assump - LNG'!$D17="",0,IF($A96&lt;'Assump - LNG'!$D17,0,'Assump - LNG'!$C17*('Assump - LNG'!$F17+('Assump - LNG'!$G17-'Assump - LNG'!$F17)*MIN(1,((YEAR($A96)-YEAR('Assump - LNG'!$D17))*12+MONTH($A96)-MONTH('Assump - LNG'!$D17))/MAX('Assump - LNG'!$E17,1)))*INDEX('Assump - LNG'!$J$38:$J$49,MONTH($A96))))</f>
        <v/>
      </c>
      <c r="H96" s="14">
        <f>IF('Assump - LNG'!$D18="",0,IF($A96&lt;'Assump - LNG'!$D18,0,'Assump - LNG'!$C18*('Assump - LNG'!$F18+('Assump - LNG'!$G18-'Assump - LNG'!$F18)*MIN(1,((YEAR($A96)-YEAR('Assump - LNG'!$D18))*12+MONTH($A96)-MONTH('Assump - LNG'!$D18))/MAX('Assump - LNG'!$E18,1)))*INDEX('Assump - LNG'!$J$38:$J$49,MONTH($A96))))</f>
        <v/>
      </c>
      <c r="I96" s="14">
        <f>IF('Assump - LNG'!$D19="",0,IF($A96&lt;'Assump - LNG'!$D19,0,'Assump - LNG'!$C19*('Assump - LNG'!$F19+('Assump - LNG'!$G19-'Assump - LNG'!$F19)*MIN(1,((YEAR($A96)-YEAR('Assump - LNG'!$D19))*12+MONTH($A96)-MONTH('Assump - LNG'!$D19))/MAX('Assump - LNG'!$E19,1)))*INDEX('Assump - LNG'!$J$38:$J$49,MONTH($A96))))</f>
        <v/>
      </c>
      <c r="J96" s="14">
        <f>IF('Assump - LNG'!$D20="",0,IF($A96&lt;'Assump - LNG'!$D20,0,'Assump - LNG'!$C20*('Assump - LNG'!$F20+('Assump - LNG'!$G20-'Assump - LNG'!$F20)*MIN(1,((YEAR($A96)-YEAR('Assump - LNG'!$D20))*12+MONTH($A96)-MONTH('Assump - LNG'!$D20))/MAX('Assump - LNG'!$E20,1)))*INDEX('Assump - LNG'!$J$38:$J$49,MONTH($A96))))</f>
        <v/>
      </c>
      <c r="K96" s="14">
        <f>IF('Assump - LNG'!$D21="",0,IF($A96&lt;'Assump - LNG'!$D21,0,'Assump - LNG'!$C21*('Assump - LNG'!$F21+('Assump - LNG'!$G21-'Assump - LNG'!$F21)*MIN(1,((YEAR($A96)-YEAR('Assump - LNG'!$D21))*12+MONTH($A96)-MONTH('Assump - LNG'!$D21))/MAX('Assump - LNG'!$E21,1)))*INDEX('Assump - LNG'!$J$38:$J$49,MONTH($A96))))</f>
        <v/>
      </c>
      <c r="L96" s="14">
        <f>IF('Assump - LNG'!$D22="",0,IF($A96&lt;'Assump - LNG'!$D22,0,'Assump - LNG'!$C22*('Assump - LNG'!$F22+('Assump - LNG'!$G22-'Assump - LNG'!$F22)*MIN(1,((YEAR($A96)-YEAR('Assump - LNG'!$D22))*12+MONTH($A96)-MONTH('Assump - LNG'!$D22))/MAX('Assump - LNG'!$E22,1)))*INDEX('Assump - LNG'!$J$38:$J$49,MONTH($A96))))</f>
        <v/>
      </c>
      <c r="M96" s="14">
        <f>IF('Assump - LNG'!$D23="",0,IF($A96&lt;'Assump - LNG'!$D23,0,'Assump - LNG'!$C23*('Assump - LNG'!$F23+('Assump - LNG'!$G23-'Assump - LNG'!$F23)*MIN(1,((YEAR($A96)-YEAR('Assump - LNG'!$D23))*12+MONTH($A96)-MONTH('Assump - LNG'!$D23))/MAX('Assump - LNG'!$E23,1)))*INDEX('Assump - LNG'!$J$38:$J$49,MONTH($A96))))</f>
        <v/>
      </c>
      <c r="N96" s="14">
        <f>IF('Assump - LNG'!$D24="",0,IF($A96&lt;'Assump - LNG'!$D24,0,'Assump - LNG'!$C24*('Assump - LNG'!$F24+('Assump - LNG'!$G24-'Assump - LNG'!$F24)*MIN(1,((YEAR($A96)-YEAR('Assump - LNG'!$D24))*12+MONTH($A96)-MONTH('Assump - LNG'!$D24))/MAX('Assump - LNG'!$E24,1)))*INDEX('Assump - LNG'!$J$38:$J$49,MONTH($A96))))</f>
        <v/>
      </c>
      <c r="O96" s="14">
        <f>IF('Assump - LNG'!$D25="",0,IF($A96&lt;'Assump - LNG'!$D25,0,'Assump - LNG'!$C25*('Assump - LNG'!$F25+('Assump - LNG'!$G25-'Assump - LNG'!$F25)*MIN(1,((YEAR($A96)-YEAR('Assump - LNG'!$D25))*12+MONTH($A96)-MONTH('Assump - LNG'!$D25))/MAX('Assump - LNG'!$E25,1)))*INDEX('Assump - LNG'!$J$38:$J$49,MONTH($A96))))</f>
        <v/>
      </c>
      <c r="P96" s="14">
        <f>IF('Assump - LNG'!$D26="",0,IF($A96&lt;'Assump - LNG'!$D26,0,'Assump - LNG'!$C26*('Assump - LNG'!$F26+('Assump - LNG'!$G26-'Assump - LNG'!$F26)*MIN(1,((YEAR($A96)-YEAR('Assump - LNG'!$D26))*12+MONTH($A96)-MONTH('Assump - LNG'!$D26))/MAX('Assump - LNG'!$E26,1)))*INDEX('Assump - LNG'!$J$38:$J$49,MONTH($A96))))</f>
        <v/>
      </c>
      <c r="Q96" s="14">
        <f>IF('Assump - LNG'!$D27="",0,IF($A96&lt;'Assump - LNG'!$D27,0,'Assump - LNG'!$C27*('Assump - LNG'!$F27+('Assump - LNG'!$G27-'Assump - LNG'!$F27)*MIN(1,((YEAR($A96)-YEAR('Assump - LNG'!$D27))*12+MONTH($A96)-MONTH('Assump - LNG'!$D27))/MAX('Assump - LNG'!$E27,1)))*INDEX('Assump - LNG'!$J$38:$J$49,MONTH($A96))))</f>
        <v/>
      </c>
      <c r="R96" s="14">
        <f>IF('Assump - LNG'!$D28="",0,IF($A96&lt;'Assump - LNG'!$D28,0,'Assump - LNG'!$C28*('Assump - LNG'!$F28+('Assump - LNG'!$G28-'Assump - LNG'!$F28)*MIN(1,((YEAR($A96)-YEAR('Assump - LNG'!$D28))*12+MONTH($A96)-MONTH('Assump - LNG'!$D28))/MAX('Assump - LNG'!$E28,1)))*INDEX('Assump - LNG'!$J$38:$J$49,MONTH($A96))))</f>
        <v/>
      </c>
      <c r="S96" s="14">
        <f>IF('Assump - LNG'!$D29="",0,IF($A96&lt;'Assump - LNG'!$D29,0,'Assump - LNG'!$C29*('Assump - LNG'!$F29+('Assump - LNG'!$G29-'Assump - LNG'!$F29)*MIN(1,((YEAR($A96)-YEAR('Assump - LNG'!$D29))*12+MONTH($A96)-MONTH('Assump - LNG'!$D29))/MAX('Assump - LNG'!$E29,1)))*INDEX('Assump - LNG'!$J$38:$J$49,MONTH($A96))))</f>
        <v/>
      </c>
      <c r="T96" s="14">
        <f>IF('Assump - LNG'!$D30="",0,IF($A96&lt;'Assump - LNG'!$D30,0,'Assump - LNG'!$C30*('Assump - LNG'!$F30+('Assump - LNG'!$G30-'Assump - LNG'!$F30)*MIN(1,((YEAR($A96)-YEAR('Assump - LNG'!$D30))*12+MONTH($A96)-MONTH('Assump - LNG'!$D30))/MAX('Assump - LNG'!$E30,1)))*INDEX('Assump - LNG'!$J$38:$J$49,MONTH($A96))))</f>
        <v/>
      </c>
      <c r="U96" s="14">
        <f>IF('Assump - LNG'!$D31="",0,IF($A96&lt;'Assump - LNG'!$D31,0,'Assump - LNG'!$C31*('Assump - LNG'!$F31+('Assump - LNG'!$G31-'Assump - LNG'!$F31)*MIN(1,((YEAR($A96)-YEAR('Assump - LNG'!$D31))*12+MONTH($A96)-MONTH('Assump - LNG'!$D31))/MAX('Assump - LNG'!$E31,1)))*INDEX('Assump - LNG'!$J$38:$J$49,MONTH($A96))))</f>
        <v/>
      </c>
      <c r="V96" s="14">
        <f>IF('Assump - LNG'!$D12="",0,IF($A96&lt;IF('Assump - LNG'!$D12&gt;='Assump - LNG'!$B$6,EDATE('Assump - LNG'!$D12,'Assump - LNG'!$B$4),'Assump - LNG'!$D12),0,'Assump - LNG'!$C12*('Assump - LNG'!$F12+('Assump - LNG'!$G12-'Assump - LNG'!$F12)*MIN(1,((YEAR($A96)-YEAR(IF('Assump - LNG'!$D12&gt;='Assump - LNG'!$B$6,EDATE('Assump - LNG'!$D12,'Assump - LNG'!$B$4),'Assump - LNG'!$D12)))*12+MONTH($A96)-MONTH(IF('Assump - LNG'!$D12&gt;='Assump - LNG'!$B$6,EDATE('Assump - LNG'!$D12,'Assump - LNG'!$B$4),'Assump - LNG'!$D12)))/MAX('Assump - LNG'!$E12,1)))*INDEX('Assump - LNG'!$J$38:$J$49,MONTH($A96))))</f>
        <v/>
      </c>
      <c r="W96" s="14">
        <f>IF('Assump - LNG'!$D13="",0,IF($A96&lt;IF('Assump - LNG'!$D13&gt;='Assump - LNG'!$B$6,EDATE('Assump - LNG'!$D13,'Assump - LNG'!$B$4),'Assump - LNG'!$D13),0,'Assump - LNG'!$C13*('Assump - LNG'!$F13+('Assump - LNG'!$G13-'Assump - LNG'!$F13)*MIN(1,((YEAR($A96)-YEAR(IF('Assump - LNG'!$D13&gt;='Assump - LNG'!$B$6,EDATE('Assump - LNG'!$D13,'Assump - LNG'!$B$4),'Assump - LNG'!$D13)))*12+MONTH($A96)-MONTH(IF('Assump - LNG'!$D13&gt;='Assump - LNG'!$B$6,EDATE('Assump - LNG'!$D13,'Assump - LNG'!$B$4),'Assump - LNG'!$D13)))/MAX('Assump - LNG'!$E13,1)))*INDEX('Assump - LNG'!$J$38:$J$49,MONTH($A96))))</f>
        <v/>
      </c>
      <c r="X96" s="14">
        <f>IF('Assump - LNG'!$D14="",0,IF($A96&lt;IF('Assump - LNG'!$D14&gt;='Assump - LNG'!$B$6,EDATE('Assump - LNG'!$D14,'Assump - LNG'!$B$4),'Assump - LNG'!$D14),0,'Assump - LNG'!$C14*('Assump - LNG'!$F14+('Assump - LNG'!$G14-'Assump - LNG'!$F14)*MIN(1,((YEAR($A96)-YEAR(IF('Assump - LNG'!$D14&gt;='Assump - LNG'!$B$6,EDATE('Assump - LNG'!$D14,'Assump - LNG'!$B$4),'Assump - LNG'!$D14)))*12+MONTH($A96)-MONTH(IF('Assump - LNG'!$D14&gt;='Assump - LNG'!$B$6,EDATE('Assump - LNG'!$D14,'Assump - LNG'!$B$4),'Assump - LNG'!$D14)))/MAX('Assump - LNG'!$E14,1)))*INDEX('Assump - LNG'!$J$38:$J$49,MONTH($A96))))</f>
        <v/>
      </c>
      <c r="Y96" s="14">
        <f>IF('Assump - LNG'!$D15="",0,IF($A96&lt;IF('Assump - LNG'!$D15&gt;='Assump - LNG'!$B$6,EDATE('Assump - LNG'!$D15,'Assump - LNG'!$B$4),'Assump - LNG'!$D15),0,'Assump - LNG'!$C15*('Assump - LNG'!$F15+('Assump - LNG'!$G15-'Assump - LNG'!$F15)*MIN(1,((YEAR($A96)-YEAR(IF('Assump - LNG'!$D15&gt;='Assump - LNG'!$B$6,EDATE('Assump - LNG'!$D15,'Assump - LNG'!$B$4),'Assump - LNG'!$D15)))*12+MONTH($A96)-MONTH(IF('Assump - LNG'!$D15&gt;='Assump - LNG'!$B$6,EDATE('Assump - LNG'!$D15,'Assump - LNG'!$B$4),'Assump - LNG'!$D15)))/MAX('Assump - LNG'!$E15,1)))*INDEX('Assump - LNG'!$J$38:$J$49,MONTH($A96))))</f>
        <v/>
      </c>
      <c r="Z96" s="14">
        <f>IF('Assump - LNG'!$D16="",0,IF($A96&lt;IF('Assump - LNG'!$D16&gt;='Assump - LNG'!$B$6,EDATE('Assump - LNG'!$D16,'Assump - LNG'!$B$4),'Assump - LNG'!$D16),0,'Assump - LNG'!$C16*('Assump - LNG'!$F16+('Assump - LNG'!$G16-'Assump - LNG'!$F16)*MIN(1,((YEAR($A96)-YEAR(IF('Assump - LNG'!$D16&gt;='Assump - LNG'!$B$6,EDATE('Assump - LNG'!$D16,'Assump - LNG'!$B$4),'Assump - LNG'!$D16)))*12+MONTH($A96)-MONTH(IF('Assump - LNG'!$D16&gt;='Assump - LNG'!$B$6,EDATE('Assump - LNG'!$D16,'Assump - LNG'!$B$4),'Assump - LNG'!$D16)))/MAX('Assump - LNG'!$E16,1)))*INDEX('Assump - LNG'!$J$38:$J$49,MONTH($A96))))</f>
        <v/>
      </c>
      <c r="AA96" s="14">
        <f>IF('Assump - LNG'!$D17="",0,IF($A96&lt;IF('Assump - LNG'!$D17&gt;='Assump - LNG'!$B$6,EDATE('Assump - LNG'!$D17,'Assump - LNG'!$B$4),'Assump - LNG'!$D17),0,'Assump - LNG'!$C17*('Assump - LNG'!$F17+('Assump - LNG'!$G17-'Assump - LNG'!$F17)*MIN(1,((YEAR($A96)-YEAR(IF('Assump - LNG'!$D17&gt;='Assump - LNG'!$B$6,EDATE('Assump - LNG'!$D17,'Assump - LNG'!$B$4),'Assump - LNG'!$D17)))*12+MONTH($A96)-MONTH(IF('Assump - LNG'!$D17&gt;='Assump - LNG'!$B$6,EDATE('Assump - LNG'!$D17,'Assump - LNG'!$B$4),'Assump - LNG'!$D17)))/MAX('Assump - LNG'!$E17,1)))*INDEX('Assump - LNG'!$J$38:$J$49,MONTH($A96))))</f>
        <v/>
      </c>
      <c r="AB96" s="14">
        <f>IF('Assump - LNG'!$D18="",0,IF($A96&lt;IF('Assump - LNG'!$D18&gt;='Assump - LNG'!$B$6,EDATE('Assump - LNG'!$D18,'Assump - LNG'!$B$4),'Assump - LNG'!$D18),0,'Assump - LNG'!$C18*('Assump - LNG'!$F18+('Assump - LNG'!$G18-'Assump - LNG'!$F18)*MIN(1,((YEAR($A96)-YEAR(IF('Assump - LNG'!$D18&gt;='Assump - LNG'!$B$6,EDATE('Assump - LNG'!$D18,'Assump - LNG'!$B$4),'Assump - LNG'!$D18)))*12+MONTH($A96)-MONTH(IF('Assump - LNG'!$D18&gt;='Assump - LNG'!$B$6,EDATE('Assump - LNG'!$D18,'Assump - LNG'!$B$4),'Assump - LNG'!$D18)))/MAX('Assump - LNG'!$E18,1)))*INDEX('Assump - LNG'!$J$38:$J$49,MONTH($A96))))</f>
        <v/>
      </c>
      <c r="AC96" s="14">
        <f>IF('Assump - LNG'!$D19="",0,IF($A96&lt;IF('Assump - LNG'!$D19&gt;='Assump - LNG'!$B$6,EDATE('Assump - LNG'!$D19,'Assump - LNG'!$B$4),'Assump - LNG'!$D19),0,'Assump - LNG'!$C19*('Assump - LNG'!$F19+('Assump - LNG'!$G19-'Assump - LNG'!$F19)*MIN(1,((YEAR($A96)-YEAR(IF('Assump - LNG'!$D19&gt;='Assump - LNG'!$B$6,EDATE('Assump - LNG'!$D19,'Assump - LNG'!$B$4),'Assump - LNG'!$D19)))*12+MONTH($A96)-MONTH(IF('Assump - LNG'!$D19&gt;='Assump - LNG'!$B$6,EDATE('Assump - LNG'!$D19,'Assump - LNG'!$B$4),'Assump - LNG'!$D19)))/MAX('Assump - LNG'!$E19,1)))*INDEX('Assump - LNG'!$J$38:$J$49,MONTH($A96))))</f>
        <v/>
      </c>
      <c r="AD96" s="14">
        <f>IF('Assump - LNG'!$D20="",0,IF($A96&lt;IF('Assump - LNG'!$D20&gt;='Assump - LNG'!$B$6,EDATE('Assump - LNG'!$D20,'Assump - LNG'!$B$4),'Assump - LNG'!$D20),0,'Assump - LNG'!$C20*('Assump - LNG'!$F20+('Assump - LNG'!$G20-'Assump - LNG'!$F20)*MIN(1,((YEAR($A96)-YEAR(IF('Assump - LNG'!$D20&gt;='Assump - LNG'!$B$6,EDATE('Assump - LNG'!$D20,'Assump - LNG'!$B$4),'Assump - LNG'!$D20)))*12+MONTH($A96)-MONTH(IF('Assump - LNG'!$D20&gt;='Assump - LNG'!$B$6,EDATE('Assump - LNG'!$D20,'Assump - LNG'!$B$4),'Assump - LNG'!$D20)))/MAX('Assump - LNG'!$E20,1)))*INDEX('Assump - LNG'!$J$38:$J$49,MONTH($A96))))</f>
        <v/>
      </c>
      <c r="AE96" s="14">
        <f>IF('Assump - LNG'!$D21="",0,IF($A96&lt;IF('Assump - LNG'!$D21&gt;='Assump - LNG'!$B$6,EDATE('Assump - LNG'!$D21,'Assump - LNG'!$B$4),'Assump - LNG'!$D21),0,'Assump - LNG'!$C21*('Assump - LNG'!$F21+('Assump - LNG'!$G21-'Assump - LNG'!$F21)*MIN(1,((YEAR($A96)-YEAR(IF('Assump - LNG'!$D21&gt;='Assump - LNG'!$B$6,EDATE('Assump - LNG'!$D21,'Assump - LNG'!$B$4),'Assump - LNG'!$D21)))*12+MONTH($A96)-MONTH(IF('Assump - LNG'!$D21&gt;='Assump - LNG'!$B$6,EDATE('Assump - LNG'!$D21,'Assump - LNG'!$B$4),'Assump - LNG'!$D21)))/MAX('Assump - LNG'!$E21,1)))*INDEX('Assump - LNG'!$J$38:$J$49,MONTH($A96))))</f>
        <v/>
      </c>
      <c r="AF96" s="14">
        <f>IF('Assump - LNG'!$D22="",0,IF($A96&lt;IF('Assump - LNG'!$D22&gt;='Assump - LNG'!$B$6,EDATE('Assump - LNG'!$D22,'Assump - LNG'!$B$4),'Assump - LNG'!$D22),0,'Assump - LNG'!$C22*('Assump - LNG'!$F22+('Assump - LNG'!$G22-'Assump - LNG'!$F22)*MIN(1,((YEAR($A96)-YEAR(IF('Assump - LNG'!$D22&gt;='Assump - LNG'!$B$6,EDATE('Assump - LNG'!$D22,'Assump - LNG'!$B$4),'Assump - LNG'!$D22)))*12+MONTH($A96)-MONTH(IF('Assump - LNG'!$D22&gt;='Assump - LNG'!$B$6,EDATE('Assump - LNG'!$D22,'Assump - LNG'!$B$4),'Assump - LNG'!$D22)))/MAX('Assump - LNG'!$E22,1)))*INDEX('Assump - LNG'!$J$38:$J$49,MONTH($A96))))</f>
        <v/>
      </c>
      <c r="AG96" s="14">
        <f>IF('Assump - LNG'!$D23="",0,IF($A96&lt;IF('Assump - LNG'!$D23&gt;='Assump - LNG'!$B$6,EDATE('Assump - LNG'!$D23,'Assump - LNG'!$B$4),'Assump - LNG'!$D23),0,'Assump - LNG'!$C23*('Assump - LNG'!$F23+('Assump - LNG'!$G23-'Assump - LNG'!$F23)*MIN(1,((YEAR($A96)-YEAR(IF('Assump - LNG'!$D23&gt;='Assump - LNG'!$B$6,EDATE('Assump - LNG'!$D23,'Assump - LNG'!$B$4),'Assump - LNG'!$D23)))*12+MONTH($A96)-MONTH(IF('Assump - LNG'!$D23&gt;='Assump - LNG'!$B$6,EDATE('Assump - LNG'!$D23,'Assump - LNG'!$B$4),'Assump - LNG'!$D23)))/MAX('Assump - LNG'!$E23,1)))*INDEX('Assump - LNG'!$J$38:$J$49,MONTH($A96))))</f>
        <v/>
      </c>
      <c r="AH96" s="14">
        <f>IF('Assump - LNG'!$D24="",0,IF($A96&lt;IF('Assump - LNG'!$D24&gt;='Assump - LNG'!$B$6,EDATE('Assump - LNG'!$D24,'Assump - LNG'!$B$4),'Assump - LNG'!$D24),0,'Assump - LNG'!$C24*('Assump - LNG'!$F24+('Assump - LNG'!$G24-'Assump - LNG'!$F24)*MIN(1,((YEAR($A96)-YEAR(IF('Assump - LNG'!$D24&gt;='Assump - LNG'!$B$6,EDATE('Assump - LNG'!$D24,'Assump - LNG'!$B$4),'Assump - LNG'!$D24)))*12+MONTH($A96)-MONTH(IF('Assump - LNG'!$D24&gt;='Assump - LNG'!$B$6,EDATE('Assump - LNG'!$D24,'Assump - LNG'!$B$4),'Assump - LNG'!$D24)))/MAX('Assump - LNG'!$E24,1)))*INDEX('Assump - LNG'!$J$38:$J$49,MONTH($A96))))</f>
        <v/>
      </c>
      <c r="AI96" s="14">
        <f>IF('Assump - LNG'!$D25="",0,IF($A96&lt;IF('Assump - LNG'!$D25&gt;='Assump - LNG'!$B$6,EDATE('Assump - LNG'!$D25,'Assump - LNG'!$B$4),'Assump - LNG'!$D25),0,'Assump - LNG'!$C25*('Assump - LNG'!$F25+('Assump - LNG'!$G25-'Assump - LNG'!$F25)*MIN(1,((YEAR($A96)-YEAR(IF('Assump - LNG'!$D25&gt;='Assump - LNG'!$B$6,EDATE('Assump - LNG'!$D25,'Assump - LNG'!$B$4),'Assump - LNG'!$D25)))*12+MONTH($A96)-MONTH(IF('Assump - LNG'!$D25&gt;='Assump - LNG'!$B$6,EDATE('Assump - LNG'!$D25,'Assump - LNG'!$B$4),'Assump - LNG'!$D25)))/MAX('Assump - LNG'!$E25,1)))*INDEX('Assump - LNG'!$J$38:$J$49,MONTH($A96))))</f>
        <v/>
      </c>
      <c r="AJ96" s="14">
        <f>IF('Assump - LNG'!$D26="",0,IF($A96&lt;IF('Assump - LNG'!$D26&gt;='Assump - LNG'!$B$6,EDATE('Assump - LNG'!$D26,'Assump - LNG'!$B$4),'Assump - LNG'!$D26),0,'Assump - LNG'!$C26*('Assump - LNG'!$F26+('Assump - LNG'!$G26-'Assump - LNG'!$F26)*MIN(1,((YEAR($A96)-YEAR(IF('Assump - LNG'!$D26&gt;='Assump - LNG'!$B$6,EDATE('Assump - LNG'!$D26,'Assump - LNG'!$B$4),'Assump - LNG'!$D26)))*12+MONTH($A96)-MONTH(IF('Assump - LNG'!$D26&gt;='Assump - LNG'!$B$6,EDATE('Assump - LNG'!$D26,'Assump - LNG'!$B$4),'Assump - LNG'!$D26)))/MAX('Assump - LNG'!$E26,1)))*INDEX('Assump - LNG'!$J$38:$J$49,MONTH($A96))))</f>
        <v/>
      </c>
      <c r="AK96" s="14">
        <f>IF('Assump - LNG'!$D27="",0,IF($A96&lt;IF('Assump - LNG'!$D27&gt;='Assump - LNG'!$B$6,EDATE('Assump - LNG'!$D27,'Assump - LNG'!$B$4),'Assump - LNG'!$D27),0,'Assump - LNG'!$C27*('Assump - LNG'!$F27+('Assump - LNG'!$G27-'Assump - LNG'!$F27)*MIN(1,((YEAR($A96)-YEAR(IF('Assump - LNG'!$D27&gt;='Assump - LNG'!$B$6,EDATE('Assump - LNG'!$D27,'Assump - LNG'!$B$4),'Assump - LNG'!$D27)))*12+MONTH($A96)-MONTH(IF('Assump - LNG'!$D27&gt;='Assump - LNG'!$B$6,EDATE('Assump - LNG'!$D27,'Assump - LNG'!$B$4),'Assump - LNG'!$D27)))/MAX('Assump - LNG'!$E27,1)))*INDEX('Assump - LNG'!$J$38:$J$49,MONTH($A96))))</f>
        <v/>
      </c>
      <c r="AL96" s="14">
        <f>IF('Assump - LNG'!$D28="",0,IF($A96&lt;IF('Assump - LNG'!$D28&gt;='Assump - LNG'!$B$6,EDATE('Assump - LNG'!$D28,'Assump - LNG'!$B$4),'Assump - LNG'!$D28),0,'Assump - LNG'!$C28*('Assump - LNG'!$F28+('Assump - LNG'!$G28-'Assump - LNG'!$F28)*MIN(1,((YEAR($A96)-YEAR(IF('Assump - LNG'!$D28&gt;='Assump - LNG'!$B$6,EDATE('Assump - LNG'!$D28,'Assump - LNG'!$B$4),'Assump - LNG'!$D28)))*12+MONTH($A96)-MONTH(IF('Assump - LNG'!$D28&gt;='Assump - LNG'!$B$6,EDATE('Assump - LNG'!$D28,'Assump - LNG'!$B$4),'Assump - LNG'!$D28)))/MAX('Assump - LNG'!$E28,1)))*INDEX('Assump - LNG'!$J$38:$J$49,MONTH($A96))))</f>
        <v/>
      </c>
      <c r="AM96" s="14">
        <f>IF('Assump - LNG'!$D29="",0,IF($A96&lt;IF('Assump - LNG'!$D29&gt;='Assump - LNG'!$B$6,EDATE('Assump - LNG'!$D29,'Assump - LNG'!$B$4),'Assump - LNG'!$D29),0,'Assump - LNG'!$C29*('Assump - LNG'!$F29+('Assump - LNG'!$G29-'Assump - LNG'!$F29)*MIN(1,((YEAR($A96)-YEAR(IF('Assump - LNG'!$D29&gt;='Assump - LNG'!$B$6,EDATE('Assump - LNG'!$D29,'Assump - LNG'!$B$4),'Assump - LNG'!$D29)))*12+MONTH($A96)-MONTH(IF('Assump - LNG'!$D29&gt;='Assump - LNG'!$B$6,EDATE('Assump - LNG'!$D29,'Assump - LNG'!$B$4),'Assump - LNG'!$D29)))/MAX('Assump - LNG'!$E29,1)))*INDEX('Assump - LNG'!$J$38:$J$49,MONTH($A96))))</f>
        <v/>
      </c>
      <c r="AN96" s="14">
        <f>IF('Assump - LNG'!$D30="",0,IF($A96&lt;IF('Assump - LNG'!$D30&gt;='Assump - LNG'!$B$6,EDATE('Assump - LNG'!$D30,'Assump - LNG'!$B$4),'Assump - LNG'!$D30),0,'Assump - LNG'!$C30*('Assump - LNG'!$F30+('Assump - LNG'!$G30-'Assump - LNG'!$F30)*MIN(1,((YEAR($A96)-YEAR(IF('Assump - LNG'!$D30&gt;='Assump - LNG'!$B$6,EDATE('Assump - LNG'!$D30,'Assump - LNG'!$B$4),'Assump - LNG'!$D30)))*12+MONTH($A96)-MONTH(IF('Assump - LNG'!$D30&gt;='Assump - LNG'!$B$6,EDATE('Assump - LNG'!$D30,'Assump - LNG'!$B$4),'Assump - LNG'!$D30)))/MAX('Assump - LNG'!$E30,1)))*INDEX('Assump - LNG'!$J$38:$J$49,MONTH($A96))))</f>
        <v/>
      </c>
      <c r="AO96" s="14">
        <f>IF('Assump - LNG'!$D31="",0,IF($A96&lt;IF('Assump - LNG'!$D31&gt;='Assump - LNG'!$B$6,EDATE('Assump - LNG'!$D31,'Assump - LNG'!$B$4),'Assump - LNG'!$D31),0,'Assump - LNG'!$C31*('Assump - LNG'!$F31+('Assump - LNG'!$G31-'Assump - LNG'!$F31)*MIN(1,((YEAR($A96)-YEAR(IF('Assump - LNG'!$D31&gt;='Assump - LNG'!$B$6,EDATE('Assump - LNG'!$D31,'Assump - LNG'!$B$4),'Assump - LNG'!$D31)))*12+MONTH($A96)-MONTH(IF('Assump - LNG'!$D31&gt;='Assump - LNG'!$B$6,EDATE('Assump - LNG'!$D31,'Assump - LNG'!$B$4),'Assump - LNG'!$D31)))/MAX('Assump - LNG'!$E31,1)))*INDEX('Assump - LNG'!$J$38:$J$49,MONTH($A96))))</f>
        <v/>
      </c>
    </row>
    <row r="97">
      <c r="A97" s="12" t="n">
        <v>46966</v>
      </c>
      <c r="B97" s="14">
        <f>IF('Assump - LNG'!$D12="",0,IF($A97&lt;'Assump - LNG'!$D12,0,'Assump - LNG'!$C12*('Assump - LNG'!$F12+('Assump - LNG'!$G12-'Assump - LNG'!$F12)*MIN(1,((YEAR($A97)-YEAR('Assump - LNG'!$D12))*12+MONTH($A97)-MONTH('Assump - LNG'!$D12))/MAX('Assump - LNG'!$E12,1)))*INDEX('Assump - LNG'!$J$38:$J$49,MONTH($A97))))</f>
        <v/>
      </c>
      <c r="C97" s="14">
        <f>IF('Assump - LNG'!$D13="",0,IF($A97&lt;'Assump - LNG'!$D13,0,'Assump - LNG'!$C13*('Assump - LNG'!$F13+('Assump - LNG'!$G13-'Assump - LNG'!$F13)*MIN(1,((YEAR($A97)-YEAR('Assump - LNG'!$D13))*12+MONTH($A97)-MONTH('Assump - LNG'!$D13))/MAX('Assump - LNG'!$E13,1)))*INDEX('Assump - LNG'!$J$38:$J$49,MONTH($A97))))</f>
        <v/>
      </c>
      <c r="D97" s="14">
        <f>IF('Assump - LNG'!$D14="",0,IF($A97&lt;'Assump - LNG'!$D14,0,'Assump - LNG'!$C14*('Assump - LNG'!$F14+('Assump - LNG'!$G14-'Assump - LNG'!$F14)*MIN(1,((YEAR($A97)-YEAR('Assump - LNG'!$D14))*12+MONTH($A97)-MONTH('Assump - LNG'!$D14))/MAX('Assump - LNG'!$E14,1)))*INDEX('Assump - LNG'!$J$38:$J$49,MONTH($A97))))</f>
        <v/>
      </c>
      <c r="E97" s="14">
        <f>IF('Assump - LNG'!$D15="",0,IF($A97&lt;'Assump - LNG'!$D15,0,'Assump - LNG'!$C15*('Assump - LNG'!$F15+('Assump - LNG'!$G15-'Assump - LNG'!$F15)*MIN(1,((YEAR($A97)-YEAR('Assump - LNG'!$D15))*12+MONTH($A97)-MONTH('Assump - LNG'!$D15))/MAX('Assump - LNG'!$E15,1)))*INDEX('Assump - LNG'!$J$38:$J$49,MONTH($A97))))</f>
        <v/>
      </c>
      <c r="F97" s="14">
        <f>IF('Assump - LNG'!$D16="",0,IF($A97&lt;'Assump - LNG'!$D16,0,'Assump - LNG'!$C16*('Assump - LNG'!$F16+('Assump - LNG'!$G16-'Assump - LNG'!$F16)*MIN(1,((YEAR($A97)-YEAR('Assump - LNG'!$D16))*12+MONTH($A97)-MONTH('Assump - LNG'!$D16))/MAX('Assump - LNG'!$E16,1)))*INDEX('Assump - LNG'!$J$38:$J$49,MONTH($A97))))</f>
        <v/>
      </c>
      <c r="G97" s="14">
        <f>IF('Assump - LNG'!$D17="",0,IF($A97&lt;'Assump - LNG'!$D17,0,'Assump - LNG'!$C17*('Assump - LNG'!$F17+('Assump - LNG'!$G17-'Assump - LNG'!$F17)*MIN(1,((YEAR($A97)-YEAR('Assump - LNG'!$D17))*12+MONTH($A97)-MONTH('Assump - LNG'!$D17))/MAX('Assump - LNG'!$E17,1)))*INDEX('Assump - LNG'!$J$38:$J$49,MONTH($A97))))</f>
        <v/>
      </c>
      <c r="H97" s="14">
        <f>IF('Assump - LNG'!$D18="",0,IF($A97&lt;'Assump - LNG'!$D18,0,'Assump - LNG'!$C18*('Assump - LNG'!$F18+('Assump - LNG'!$G18-'Assump - LNG'!$F18)*MIN(1,((YEAR($A97)-YEAR('Assump - LNG'!$D18))*12+MONTH($A97)-MONTH('Assump - LNG'!$D18))/MAX('Assump - LNG'!$E18,1)))*INDEX('Assump - LNG'!$J$38:$J$49,MONTH($A97))))</f>
        <v/>
      </c>
      <c r="I97" s="14">
        <f>IF('Assump - LNG'!$D19="",0,IF($A97&lt;'Assump - LNG'!$D19,0,'Assump - LNG'!$C19*('Assump - LNG'!$F19+('Assump - LNG'!$G19-'Assump - LNG'!$F19)*MIN(1,((YEAR($A97)-YEAR('Assump - LNG'!$D19))*12+MONTH($A97)-MONTH('Assump - LNG'!$D19))/MAX('Assump - LNG'!$E19,1)))*INDEX('Assump - LNG'!$J$38:$J$49,MONTH($A97))))</f>
        <v/>
      </c>
      <c r="J97" s="14">
        <f>IF('Assump - LNG'!$D20="",0,IF($A97&lt;'Assump - LNG'!$D20,0,'Assump - LNG'!$C20*('Assump - LNG'!$F20+('Assump - LNG'!$G20-'Assump - LNG'!$F20)*MIN(1,((YEAR($A97)-YEAR('Assump - LNG'!$D20))*12+MONTH($A97)-MONTH('Assump - LNG'!$D20))/MAX('Assump - LNG'!$E20,1)))*INDEX('Assump - LNG'!$J$38:$J$49,MONTH($A97))))</f>
        <v/>
      </c>
      <c r="K97" s="14">
        <f>IF('Assump - LNG'!$D21="",0,IF($A97&lt;'Assump - LNG'!$D21,0,'Assump - LNG'!$C21*('Assump - LNG'!$F21+('Assump - LNG'!$G21-'Assump - LNG'!$F21)*MIN(1,((YEAR($A97)-YEAR('Assump - LNG'!$D21))*12+MONTH($A97)-MONTH('Assump - LNG'!$D21))/MAX('Assump - LNG'!$E21,1)))*INDEX('Assump - LNG'!$J$38:$J$49,MONTH($A97))))</f>
        <v/>
      </c>
      <c r="L97" s="14">
        <f>IF('Assump - LNG'!$D22="",0,IF($A97&lt;'Assump - LNG'!$D22,0,'Assump - LNG'!$C22*('Assump - LNG'!$F22+('Assump - LNG'!$G22-'Assump - LNG'!$F22)*MIN(1,((YEAR($A97)-YEAR('Assump - LNG'!$D22))*12+MONTH($A97)-MONTH('Assump - LNG'!$D22))/MAX('Assump - LNG'!$E22,1)))*INDEX('Assump - LNG'!$J$38:$J$49,MONTH($A97))))</f>
        <v/>
      </c>
      <c r="M97" s="14">
        <f>IF('Assump - LNG'!$D23="",0,IF($A97&lt;'Assump - LNG'!$D23,0,'Assump - LNG'!$C23*('Assump - LNG'!$F23+('Assump - LNG'!$G23-'Assump - LNG'!$F23)*MIN(1,((YEAR($A97)-YEAR('Assump - LNG'!$D23))*12+MONTH($A97)-MONTH('Assump - LNG'!$D23))/MAX('Assump - LNG'!$E23,1)))*INDEX('Assump - LNG'!$J$38:$J$49,MONTH($A97))))</f>
        <v/>
      </c>
      <c r="N97" s="14">
        <f>IF('Assump - LNG'!$D24="",0,IF($A97&lt;'Assump - LNG'!$D24,0,'Assump - LNG'!$C24*('Assump - LNG'!$F24+('Assump - LNG'!$G24-'Assump - LNG'!$F24)*MIN(1,((YEAR($A97)-YEAR('Assump - LNG'!$D24))*12+MONTH($A97)-MONTH('Assump - LNG'!$D24))/MAX('Assump - LNG'!$E24,1)))*INDEX('Assump - LNG'!$J$38:$J$49,MONTH($A97))))</f>
        <v/>
      </c>
      <c r="O97" s="14">
        <f>IF('Assump - LNG'!$D25="",0,IF($A97&lt;'Assump - LNG'!$D25,0,'Assump - LNG'!$C25*('Assump - LNG'!$F25+('Assump - LNG'!$G25-'Assump - LNG'!$F25)*MIN(1,((YEAR($A97)-YEAR('Assump - LNG'!$D25))*12+MONTH($A97)-MONTH('Assump - LNG'!$D25))/MAX('Assump - LNG'!$E25,1)))*INDEX('Assump - LNG'!$J$38:$J$49,MONTH($A97))))</f>
        <v/>
      </c>
      <c r="P97" s="14">
        <f>IF('Assump - LNG'!$D26="",0,IF($A97&lt;'Assump - LNG'!$D26,0,'Assump - LNG'!$C26*('Assump - LNG'!$F26+('Assump - LNG'!$G26-'Assump - LNG'!$F26)*MIN(1,((YEAR($A97)-YEAR('Assump - LNG'!$D26))*12+MONTH($A97)-MONTH('Assump - LNG'!$D26))/MAX('Assump - LNG'!$E26,1)))*INDEX('Assump - LNG'!$J$38:$J$49,MONTH($A97))))</f>
        <v/>
      </c>
      <c r="Q97" s="14">
        <f>IF('Assump - LNG'!$D27="",0,IF($A97&lt;'Assump - LNG'!$D27,0,'Assump - LNG'!$C27*('Assump - LNG'!$F27+('Assump - LNG'!$G27-'Assump - LNG'!$F27)*MIN(1,((YEAR($A97)-YEAR('Assump - LNG'!$D27))*12+MONTH($A97)-MONTH('Assump - LNG'!$D27))/MAX('Assump - LNG'!$E27,1)))*INDEX('Assump - LNG'!$J$38:$J$49,MONTH($A97))))</f>
        <v/>
      </c>
      <c r="R97" s="14">
        <f>IF('Assump - LNG'!$D28="",0,IF($A97&lt;'Assump - LNG'!$D28,0,'Assump - LNG'!$C28*('Assump - LNG'!$F28+('Assump - LNG'!$G28-'Assump - LNG'!$F28)*MIN(1,((YEAR($A97)-YEAR('Assump - LNG'!$D28))*12+MONTH($A97)-MONTH('Assump - LNG'!$D28))/MAX('Assump - LNG'!$E28,1)))*INDEX('Assump - LNG'!$J$38:$J$49,MONTH($A97))))</f>
        <v/>
      </c>
      <c r="S97" s="14">
        <f>IF('Assump - LNG'!$D29="",0,IF($A97&lt;'Assump - LNG'!$D29,0,'Assump - LNG'!$C29*('Assump - LNG'!$F29+('Assump - LNG'!$G29-'Assump - LNG'!$F29)*MIN(1,((YEAR($A97)-YEAR('Assump - LNG'!$D29))*12+MONTH($A97)-MONTH('Assump - LNG'!$D29))/MAX('Assump - LNG'!$E29,1)))*INDEX('Assump - LNG'!$J$38:$J$49,MONTH($A97))))</f>
        <v/>
      </c>
      <c r="T97" s="14">
        <f>IF('Assump - LNG'!$D30="",0,IF($A97&lt;'Assump - LNG'!$D30,0,'Assump - LNG'!$C30*('Assump - LNG'!$F30+('Assump - LNG'!$G30-'Assump - LNG'!$F30)*MIN(1,((YEAR($A97)-YEAR('Assump - LNG'!$D30))*12+MONTH($A97)-MONTH('Assump - LNG'!$D30))/MAX('Assump - LNG'!$E30,1)))*INDEX('Assump - LNG'!$J$38:$J$49,MONTH($A97))))</f>
        <v/>
      </c>
      <c r="U97" s="14">
        <f>IF('Assump - LNG'!$D31="",0,IF($A97&lt;'Assump - LNG'!$D31,0,'Assump - LNG'!$C31*('Assump - LNG'!$F31+('Assump - LNG'!$G31-'Assump - LNG'!$F31)*MIN(1,((YEAR($A97)-YEAR('Assump - LNG'!$D31))*12+MONTH($A97)-MONTH('Assump - LNG'!$D31))/MAX('Assump - LNG'!$E31,1)))*INDEX('Assump - LNG'!$J$38:$J$49,MONTH($A97))))</f>
        <v/>
      </c>
      <c r="V97" s="14">
        <f>IF('Assump - LNG'!$D12="",0,IF($A97&lt;IF('Assump - LNG'!$D12&gt;='Assump - LNG'!$B$6,EDATE('Assump - LNG'!$D12,'Assump - LNG'!$B$4),'Assump - LNG'!$D12),0,'Assump - LNG'!$C12*('Assump - LNG'!$F12+('Assump - LNG'!$G12-'Assump - LNG'!$F12)*MIN(1,((YEAR($A97)-YEAR(IF('Assump - LNG'!$D12&gt;='Assump - LNG'!$B$6,EDATE('Assump - LNG'!$D12,'Assump - LNG'!$B$4),'Assump - LNG'!$D12)))*12+MONTH($A97)-MONTH(IF('Assump - LNG'!$D12&gt;='Assump - LNG'!$B$6,EDATE('Assump - LNG'!$D12,'Assump - LNG'!$B$4),'Assump - LNG'!$D12)))/MAX('Assump - LNG'!$E12,1)))*INDEX('Assump - LNG'!$J$38:$J$49,MONTH($A97))))</f>
        <v/>
      </c>
      <c r="W97" s="14">
        <f>IF('Assump - LNG'!$D13="",0,IF($A97&lt;IF('Assump - LNG'!$D13&gt;='Assump - LNG'!$B$6,EDATE('Assump - LNG'!$D13,'Assump - LNG'!$B$4),'Assump - LNG'!$D13),0,'Assump - LNG'!$C13*('Assump - LNG'!$F13+('Assump - LNG'!$G13-'Assump - LNG'!$F13)*MIN(1,((YEAR($A97)-YEAR(IF('Assump - LNG'!$D13&gt;='Assump - LNG'!$B$6,EDATE('Assump - LNG'!$D13,'Assump - LNG'!$B$4),'Assump - LNG'!$D13)))*12+MONTH($A97)-MONTH(IF('Assump - LNG'!$D13&gt;='Assump - LNG'!$B$6,EDATE('Assump - LNG'!$D13,'Assump - LNG'!$B$4),'Assump - LNG'!$D13)))/MAX('Assump - LNG'!$E13,1)))*INDEX('Assump - LNG'!$J$38:$J$49,MONTH($A97))))</f>
        <v/>
      </c>
      <c r="X97" s="14">
        <f>IF('Assump - LNG'!$D14="",0,IF($A97&lt;IF('Assump - LNG'!$D14&gt;='Assump - LNG'!$B$6,EDATE('Assump - LNG'!$D14,'Assump - LNG'!$B$4),'Assump - LNG'!$D14),0,'Assump - LNG'!$C14*('Assump - LNG'!$F14+('Assump - LNG'!$G14-'Assump - LNG'!$F14)*MIN(1,((YEAR($A97)-YEAR(IF('Assump - LNG'!$D14&gt;='Assump - LNG'!$B$6,EDATE('Assump - LNG'!$D14,'Assump - LNG'!$B$4),'Assump - LNG'!$D14)))*12+MONTH($A97)-MONTH(IF('Assump - LNG'!$D14&gt;='Assump - LNG'!$B$6,EDATE('Assump - LNG'!$D14,'Assump - LNG'!$B$4),'Assump - LNG'!$D14)))/MAX('Assump - LNG'!$E14,1)))*INDEX('Assump - LNG'!$J$38:$J$49,MONTH($A97))))</f>
        <v/>
      </c>
      <c r="Y97" s="14">
        <f>IF('Assump - LNG'!$D15="",0,IF($A97&lt;IF('Assump - LNG'!$D15&gt;='Assump - LNG'!$B$6,EDATE('Assump - LNG'!$D15,'Assump - LNG'!$B$4),'Assump - LNG'!$D15),0,'Assump - LNG'!$C15*('Assump - LNG'!$F15+('Assump - LNG'!$G15-'Assump - LNG'!$F15)*MIN(1,((YEAR($A97)-YEAR(IF('Assump - LNG'!$D15&gt;='Assump - LNG'!$B$6,EDATE('Assump - LNG'!$D15,'Assump - LNG'!$B$4),'Assump - LNG'!$D15)))*12+MONTH($A97)-MONTH(IF('Assump - LNG'!$D15&gt;='Assump - LNG'!$B$6,EDATE('Assump - LNG'!$D15,'Assump - LNG'!$B$4),'Assump - LNG'!$D15)))/MAX('Assump - LNG'!$E15,1)))*INDEX('Assump - LNG'!$J$38:$J$49,MONTH($A97))))</f>
        <v/>
      </c>
      <c r="Z97" s="14">
        <f>IF('Assump - LNG'!$D16="",0,IF($A97&lt;IF('Assump - LNG'!$D16&gt;='Assump - LNG'!$B$6,EDATE('Assump - LNG'!$D16,'Assump - LNG'!$B$4),'Assump - LNG'!$D16),0,'Assump - LNG'!$C16*('Assump - LNG'!$F16+('Assump - LNG'!$G16-'Assump - LNG'!$F16)*MIN(1,((YEAR($A97)-YEAR(IF('Assump - LNG'!$D16&gt;='Assump - LNG'!$B$6,EDATE('Assump - LNG'!$D16,'Assump - LNG'!$B$4),'Assump - LNG'!$D16)))*12+MONTH($A97)-MONTH(IF('Assump - LNG'!$D16&gt;='Assump - LNG'!$B$6,EDATE('Assump - LNG'!$D16,'Assump - LNG'!$B$4),'Assump - LNG'!$D16)))/MAX('Assump - LNG'!$E16,1)))*INDEX('Assump - LNG'!$J$38:$J$49,MONTH($A97))))</f>
        <v/>
      </c>
      <c r="AA97" s="14">
        <f>IF('Assump - LNG'!$D17="",0,IF($A97&lt;IF('Assump - LNG'!$D17&gt;='Assump - LNG'!$B$6,EDATE('Assump - LNG'!$D17,'Assump - LNG'!$B$4),'Assump - LNG'!$D17),0,'Assump - LNG'!$C17*('Assump - LNG'!$F17+('Assump - LNG'!$G17-'Assump - LNG'!$F17)*MIN(1,((YEAR($A97)-YEAR(IF('Assump - LNG'!$D17&gt;='Assump - LNG'!$B$6,EDATE('Assump - LNG'!$D17,'Assump - LNG'!$B$4),'Assump - LNG'!$D17)))*12+MONTH($A97)-MONTH(IF('Assump - LNG'!$D17&gt;='Assump - LNG'!$B$6,EDATE('Assump - LNG'!$D17,'Assump - LNG'!$B$4),'Assump - LNG'!$D17)))/MAX('Assump - LNG'!$E17,1)))*INDEX('Assump - LNG'!$J$38:$J$49,MONTH($A97))))</f>
        <v/>
      </c>
      <c r="AB97" s="14">
        <f>IF('Assump - LNG'!$D18="",0,IF($A97&lt;IF('Assump - LNG'!$D18&gt;='Assump - LNG'!$B$6,EDATE('Assump - LNG'!$D18,'Assump - LNG'!$B$4),'Assump - LNG'!$D18),0,'Assump - LNG'!$C18*('Assump - LNG'!$F18+('Assump - LNG'!$G18-'Assump - LNG'!$F18)*MIN(1,((YEAR($A97)-YEAR(IF('Assump - LNG'!$D18&gt;='Assump - LNG'!$B$6,EDATE('Assump - LNG'!$D18,'Assump - LNG'!$B$4),'Assump - LNG'!$D18)))*12+MONTH($A97)-MONTH(IF('Assump - LNG'!$D18&gt;='Assump - LNG'!$B$6,EDATE('Assump - LNG'!$D18,'Assump - LNG'!$B$4),'Assump - LNG'!$D18)))/MAX('Assump - LNG'!$E18,1)))*INDEX('Assump - LNG'!$J$38:$J$49,MONTH($A97))))</f>
        <v/>
      </c>
      <c r="AC97" s="14">
        <f>IF('Assump - LNG'!$D19="",0,IF($A97&lt;IF('Assump - LNG'!$D19&gt;='Assump - LNG'!$B$6,EDATE('Assump - LNG'!$D19,'Assump - LNG'!$B$4),'Assump - LNG'!$D19),0,'Assump - LNG'!$C19*('Assump - LNG'!$F19+('Assump - LNG'!$G19-'Assump - LNG'!$F19)*MIN(1,((YEAR($A97)-YEAR(IF('Assump - LNG'!$D19&gt;='Assump - LNG'!$B$6,EDATE('Assump - LNG'!$D19,'Assump - LNG'!$B$4),'Assump - LNG'!$D19)))*12+MONTH($A97)-MONTH(IF('Assump - LNG'!$D19&gt;='Assump - LNG'!$B$6,EDATE('Assump - LNG'!$D19,'Assump - LNG'!$B$4),'Assump - LNG'!$D19)))/MAX('Assump - LNG'!$E19,1)))*INDEX('Assump - LNG'!$J$38:$J$49,MONTH($A97))))</f>
        <v/>
      </c>
      <c r="AD97" s="14">
        <f>IF('Assump - LNG'!$D20="",0,IF($A97&lt;IF('Assump - LNG'!$D20&gt;='Assump - LNG'!$B$6,EDATE('Assump - LNG'!$D20,'Assump - LNG'!$B$4),'Assump - LNG'!$D20),0,'Assump - LNG'!$C20*('Assump - LNG'!$F20+('Assump - LNG'!$G20-'Assump - LNG'!$F20)*MIN(1,((YEAR($A97)-YEAR(IF('Assump - LNG'!$D20&gt;='Assump - LNG'!$B$6,EDATE('Assump - LNG'!$D20,'Assump - LNG'!$B$4),'Assump - LNG'!$D20)))*12+MONTH($A97)-MONTH(IF('Assump - LNG'!$D20&gt;='Assump - LNG'!$B$6,EDATE('Assump - LNG'!$D20,'Assump - LNG'!$B$4),'Assump - LNG'!$D20)))/MAX('Assump - LNG'!$E20,1)))*INDEX('Assump - LNG'!$J$38:$J$49,MONTH($A97))))</f>
        <v/>
      </c>
      <c r="AE97" s="14">
        <f>IF('Assump - LNG'!$D21="",0,IF($A97&lt;IF('Assump - LNG'!$D21&gt;='Assump - LNG'!$B$6,EDATE('Assump - LNG'!$D21,'Assump - LNG'!$B$4),'Assump - LNG'!$D21),0,'Assump - LNG'!$C21*('Assump - LNG'!$F21+('Assump - LNG'!$G21-'Assump - LNG'!$F21)*MIN(1,((YEAR($A97)-YEAR(IF('Assump - LNG'!$D21&gt;='Assump - LNG'!$B$6,EDATE('Assump - LNG'!$D21,'Assump - LNG'!$B$4),'Assump - LNG'!$D21)))*12+MONTH($A97)-MONTH(IF('Assump - LNG'!$D21&gt;='Assump - LNG'!$B$6,EDATE('Assump - LNG'!$D21,'Assump - LNG'!$B$4),'Assump - LNG'!$D21)))/MAX('Assump - LNG'!$E21,1)))*INDEX('Assump - LNG'!$J$38:$J$49,MONTH($A97))))</f>
        <v/>
      </c>
      <c r="AF97" s="14">
        <f>IF('Assump - LNG'!$D22="",0,IF($A97&lt;IF('Assump - LNG'!$D22&gt;='Assump - LNG'!$B$6,EDATE('Assump - LNG'!$D22,'Assump - LNG'!$B$4),'Assump - LNG'!$D22),0,'Assump - LNG'!$C22*('Assump - LNG'!$F22+('Assump - LNG'!$G22-'Assump - LNG'!$F22)*MIN(1,((YEAR($A97)-YEAR(IF('Assump - LNG'!$D22&gt;='Assump - LNG'!$B$6,EDATE('Assump - LNG'!$D22,'Assump - LNG'!$B$4),'Assump - LNG'!$D22)))*12+MONTH($A97)-MONTH(IF('Assump - LNG'!$D22&gt;='Assump - LNG'!$B$6,EDATE('Assump - LNG'!$D22,'Assump - LNG'!$B$4),'Assump - LNG'!$D22)))/MAX('Assump - LNG'!$E22,1)))*INDEX('Assump - LNG'!$J$38:$J$49,MONTH($A97))))</f>
        <v/>
      </c>
      <c r="AG97" s="14">
        <f>IF('Assump - LNG'!$D23="",0,IF($A97&lt;IF('Assump - LNG'!$D23&gt;='Assump - LNG'!$B$6,EDATE('Assump - LNG'!$D23,'Assump - LNG'!$B$4),'Assump - LNG'!$D23),0,'Assump - LNG'!$C23*('Assump - LNG'!$F23+('Assump - LNG'!$G23-'Assump - LNG'!$F23)*MIN(1,((YEAR($A97)-YEAR(IF('Assump - LNG'!$D23&gt;='Assump - LNG'!$B$6,EDATE('Assump - LNG'!$D23,'Assump - LNG'!$B$4),'Assump - LNG'!$D23)))*12+MONTH($A97)-MONTH(IF('Assump - LNG'!$D23&gt;='Assump - LNG'!$B$6,EDATE('Assump - LNG'!$D23,'Assump - LNG'!$B$4),'Assump - LNG'!$D23)))/MAX('Assump - LNG'!$E23,1)))*INDEX('Assump - LNG'!$J$38:$J$49,MONTH($A97))))</f>
        <v/>
      </c>
      <c r="AH97" s="14">
        <f>IF('Assump - LNG'!$D24="",0,IF($A97&lt;IF('Assump - LNG'!$D24&gt;='Assump - LNG'!$B$6,EDATE('Assump - LNG'!$D24,'Assump - LNG'!$B$4),'Assump - LNG'!$D24),0,'Assump - LNG'!$C24*('Assump - LNG'!$F24+('Assump - LNG'!$G24-'Assump - LNG'!$F24)*MIN(1,((YEAR($A97)-YEAR(IF('Assump - LNG'!$D24&gt;='Assump - LNG'!$B$6,EDATE('Assump - LNG'!$D24,'Assump - LNG'!$B$4),'Assump - LNG'!$D24)))*12+MONTH($A97)-MONTH(IF('Assump - LNG'!$D24&gt;='Assump - LNG'!$B$6,EDATE('Assump - LNG'!$D24,'Assump - LNG'!$B$4),'Assump - LNG'!$D24)))/MAX('Assump - LNG'!$E24,1)))*INDEX('Assump - LNG'!$J$38:$J$49,MONTH($A97))))</f>
        <v/>
      </c>
      <c r="AI97" s="14">
        <f>IF('Assump - LNG'!$D25="",0,IF($A97&lt;IF('Assump - LNG'!$D25&gt;='Assump - LNG'!$B$6,EDATE('Assump - LNG'!$D25,'Assump - LNG'!$B$4),'Assump - LNG'!$D25),0,'Assump - LNG'!$C25*('Assump - LNG'!$F25+('Assump - LNG'!$G25-'Assump - LNG'!$F25)*MIN(1,((YEAR($A97)-YEAR(IF('Assump - LNG'!$D25&gt;='Assump - LNG'!$B$6,EDATE('Assump - LNG'!$D25,'Assump - LNG'!$B$4),'Assump - LNG'!$D25)))*12+MONTH($A97)-MONTH(IF('Assump - LNG'!$D25&gt;='Assump - LNG'!$B$6,EDATE('Assump - LNG'!$D25,'Assump - LNG'!$B$4),'Assump - LNG'!$D25)))/MAX('Assump - LNG'!$E25,1)))*INDEX('Assump - LNG'!$J$38:$J$49,MONTH($A97))))</f>
        <v/>
      </c>
      <c r="AJ97" s="14">
        <f>IF('Assump - LNG'!$D26="",0,IF($A97&lt;IF('Assump - LNG'!$D26&gt;='Assump - LNG'!$B$6,EDATE('Assump - LNG'!$D26,'Assump - LNG'!$B$4),'Assump - LNG'!$D26),0,'Assump - LNG'!$C26*('Assump - LNG'!$F26+('Assump - LNG'!$G26-'Assump - LNG'!$F26)*MIN(1,((YEAR($A97)-YEAR(IF('Assump - LNG'!$D26&gt;='Assump - LNG'!$B$6,EDATE('Assump - LNG'!$D26,'Assump - LNG'!$B$4),'Assump - LNG'!$D26)))*12+MONTH($A97)-MONTH(IF('Assump - LNG'!$D26&gt;='Assump - LNG'!$B$6,EDATE('Assump - LNG'!$D26,'Assump - LNG'!$B$4),'Assump - LNG'!$D26)))/MAX('Assump - LNG'!$E26,1)))*INDEX('Assump - LNG'!$J$38:$J$49,MONTH($A97))))</f>
        <v/>
      </c>
      <c r="AK97" s="14">
        <f>IF('Assump - LNG'!$D27="",0,IF($A97&lt;IF('Assump - LNG'!$D27&gt;='Assump - LNG'!$B$6,EDATE('Assump - LNG'!$D27,'Assump - LNG'!$B$4),'Assump - LNG'!$D27),0,'Assump - LNG'!$C27*('Assump - LNG'!$F27+('Assump - LNG'!$G27-'Assump - LNG'!$F27)*MIN(1,((YEAR($A97)-YEAR(IF('Assump - LNG'!$D27&gt;='Assump - LNG'!$B$6,EDATE('Assump - LNG'!$D27,'Assump - LNG'!$B$4),'Assump - LNG'!$D27)))*12+MONTH($A97)-MONTH(IF('Assump - LNG'!$D27&gt;='Assump - LNG'!$B$6,EDATE('Assump - LNG'!$D27,'Assump - LNG'!$B$4),'Assump - LNG'!$D27)))/MAX('Assump - LNG'!$E27,1)))*INDEX('Assump - LNG'!$J$38:$J$49,MONTH($A97))))</f>
        <v/>
      </c>
      <c r="AL97" s="14">
        <f>IF('Assump - LNG'!$D28="",0,IF($A97&lt;IF('Assump - LNG'!$D28&gt;='Assump - LNG'!$B$6,EDATE('Assump - LNG'!$D28,'Assump - LNG'!$B$4),'Assump - LNG'!$D28),0,'Assump - LNG'!$C28*('Assump - LNG'!$F28+('Assump - LNG'!$G28-'Assump - LNG'!$F28)*MIN(1,((YEAR($A97)-YEAR(IF('Assump - LNG'!$D28&gt;='Assump - LNG'!$B$6,EDATE('Assump - LNG'!$D28,'Assump - LNG'!$B$4),'Assump - LNG'!$D28)))*12+MONTH($A97)-MONTH(IF('Assump - LNG'!$D28&gt;='Assump - LNG'!$B$6,EDATE('Assump - LNG'!$D28,'Assump - LNG'!$B$4),'Assump - LNG'!$D28)))/MAX('Assump - LNG'!$E28,1)))*INDEX('Assump - LNG'!$J$38:$J$49,MONTH($A97))))</f>
        <v/>
      </c>
      <c r="AM97" s="14">
        <f>IF('Assump - LNG'!$D29="",0,IF($A97&lt;IF('Assump - LNG'!$D29&gt;='Assump - LNG'!$B$6,EDATE('Assump - LNG'!$D29,'Assump - LNG'!$B$4),'Assump - LNG'!$D29),0,'Assump - LNG'!$C29*('Assump - LNG'!$F29+('Assump - LNG'!$G29-'Assump - LNG'!$F29)*MIN(1,((YEAR($A97)-YEAR(IF('Assump - LNG'!$D29&gt;='Assump - LNG'!$B$6,EDATE('Assump - LNG'!$D29,'Assump - LNG'!$B$4),'Assump - LNG'!$D29)))*12+MONTH($A97)-MONTH(IF('Assump - LNG'!$D29&gt;='Assump - LNG'!$B$6,EDATE('Assump - LNG'!$D29,'Assump - LNG'!$B$4),'Assump - LNG'!$D29)))/MAX('Assump - LNG'!$E29,1)))*INDEX('Assump - LNG'!$J$38:$J$49,MONTH($A97))))</f>
        <v/>
      </c>
      <c r="AN97" s="14">
        <f>IF('Assump - LNG'!$D30="",0,IF($A97&lt;IF('Assump - LNG'!$D30&gt;='Assump - LNG'!$B$6,EDATE('Assump - LNG'!$D30,'Assump - LNG'!$B$4),'Assump - LNG'!$D30),0,'Assump - LNG'!$C30*('Assump - LNG'!$F30+('Assump - LNG'!$G30-'Assump - LNG'!$F30)*MIN(1,((YEAR($A97)-YEAR(IF('Assump - LNG'!$D30&gt;='Assump - LNG'!$B$6,EDATE('Assump - LNG'!$D30,'Assump - LNG'!$B$4),'Assump - LNG'!$D30)))*12+MONTH($A97)-MONTH(IF('Assump - LNG'!$D30&gt;='Assump - LNG'!$B$6,EDATE('Assump - LNG'!$D30,'Assump - LNG'!$B$4),'Assump - LNG'!$D30)))/MAX('Assump - LNG'!$E30,1)))*INDEX('Assump - LNG'!$J$38:$J$49,MONTH($A97))))</f>
        <v/>
      </c>
      <c r="AO97" s="14">
        <f>IF('Assump - LNG'!$D31="",0,IF($A97&lt;IF('Assump - LNG'!$D31&gt;='Assump - LNG'!$B$6,EDATE('Assump - LNG'!$D31,'Assump - LNG'!$B$4),'Assump - LNG'!$D31),0,'Assump - LNG'!$C31*('Assump - LNG'!$F31+('Assump - LNG'!$G31-'Assump - LNG'!$F31)*MIN(1,((YEAR($A97)-YEAR(IF('Assump - LNG'!$D31&gt;='Assump - LNG'!$B$6,EDATE('Assump - LNG'!$D31,'Assump - LNG'!$B$4),'Assump - LNG'!$D31)))*12+MONTH($A97)-MONTH(IF('Assump - LNG'!$D31&gt;='Assump - LNG'!$B$6,EDATE('Assump - LNG'!$D31,'Assump - LNG'!$B$4),'Assump - LNG'!$D31)))/MAX('Assump - LNG'!$E31,1)))*INDEX('Assump - LNG'!$J$38:$J$49,MONTH($A97))))</f>
        <v/>
      </c>
    </row>
    <row r="98">
      <c r="A98" s="12" t="n">
        <v>46997</v>
      </c>
      <c r="B98" s="14">
        <f>IF('Assump - LNG'!$D12="",0,IF($A98&lt;'Assump - LNG'!$D12,0,'Assump - LNG'!$C12*('Assump - LNG'!$F12+('Assump - LNG'!$G12-'Assump - LNG'!$F12)*MIN(1,((YEAR($A98)-YEAR('Assump - LNG'!$D12))*12+MONTH($A98)-MONTH('Assump - LNG'!$D12))/MAX('Assump - LNG'!$E12,1)))*INDEX('Assump - LNG'!$J$38:$J$49,MONTH($A98))))</f>
        <v/>
      </c>
      <c r="C98" s="14">
        <f>IF('Assump - LNG'!$D13="",0,IF($A98&lt;'Assump - LNG'!$D13,0,'Assump - LNG'!$C13*('Assump - LNG'!$F13+('Assump - LNG'!$G13-'Assump - LNG'!$F13)*MIN(1,((YEAR($A98)-YEAR('Assump - LNG'!$D13))*12+MONTH($A98)-MONTH('Assump - LNG'!$D13))/MAX('Assump - LNG'!$E13,1)))*INDEX('Assump - LNG'!$J$38:$J$49,MONTH($A98))))</f>
        <v/>
      </c>
      <c r="D98" s="14">
        <f>IF('Assump - LNG'!$D14="",0,IF($A98&lt;'Assump - LNG'!$D14,0,'Assump - LNG'!$C14*('Assump - LNG'!$F14+('Assump - LNG'!$G14-'Assump - LNG'!$F14)*MIN(1,((YEAR($A98)-YEAR('Assump - LNG'!$D14))*12+MONTH($A98)-MONTH('Assump - LNG'!$D14))/MAX('Assump - LNG'!$E14,1)))*INDEX('Assump - LNG'!$J$38:$J$49,MONTH($A98))))</f>
        <v/>
      </c>
      <c r="E98" s="14">
        <f>IF('Assump - LNG'!$D15="",0,IF($A98&lt;'Assump - LNG'!$D15,0,'Assump - LNG'!$C15*('Assump - LNG'!$F15+('Assump - LNG'!$G15-'Assump - LNG'!$F15)*MIN(1,((YEAR($A98)-YEAR('Assump - LNG'!$D15))*12+MONTH($A98)-MONTH('Assump - LNG'!$D15))/MAX('Assump - LNG'!$E15,1)))*INDEX('Assump - LNG'!$J$38:$J$49,MONTH($A98))))</f>
        <v/>
      </c>
      <c r="F98" s="14">
        <f>IF('Assump - LNG'!$D16="",0,IF($A98&lt;'Assump - LNG'!$D16,0,'Assump - LNG'!$C16*('Assump - LNG'!$F16+('Assump - LNG'!$G16-'Assump - LNG'!$F16)*MIN(1,((YEAR($A98)-YEAR('Assump - LNG'!$D16))*12+MONTH($A98)-MONTH('Assump - LNG'!$D16))/MAX('Assump - LNG'!$E16,1)))*INDEX('Assump - LNG'!$J$38:$J$49,MONTH($A98))))</f>
        <v/>
      </c>
      <c r="G98" s="14">
        <f>IF('Assump - LNG'!$D17="",0,IF($A98&lt;'Assump - LNG'!$D17,0,'Assump - LNG'!$C17*('Assump - LNG'!$F17+('Assump - LNG'!$G17-'Assump - LNG'!$F17)*MIN(1,((YEAR($A98)-YEAR('Assump - LNG'!$D17))*12+MONTH($A98)-MONTH('Assump - LNG'!$D17))/MAX('Assump - LNG'!$E17,1)))*INDEX('Assump - LNG'!$J$38:$J$49,MONTH($A98))))</f>
        <v/>
      </c>
      <c r="H98" s="14">
        <f>IF('Assump - LNG'!$D18="",0,IF($A98&lt;'Assump - LNG'!$D18,0,'Assump - LNG'!$C18*('Assump - LNG'!$F18+('Assump - LNG'!$G18-'Assump - LNG'!$F18)*MIN(1,((YEAR($A98)-YEAR('Assump - LNG'!$D18))*12+MONTH($A98)-MONTH('Assump - LNG'!$D18))/MAX('Assump - LNG'!$E18,1)))*INDEX('Assump - LNG'!$J$38:$J$49,MONTH($A98))))</f>
        <v/>
      </c>
      <c r="I98" s="14">
        <f>IF('Assump - LNG'!$D19="",0,IF($A98&lt;'Assump - LNG'!$D19,0,'Assump - LNG'!$C19*('Assump - LNG'!$F19+('Assump - LNG'!$G19-'Assump - LNG'!$F19)*MIN(1,((YEAR($A98)-YEAR('Assump - LNG'!$D19))*12+MONTH($A98)-MONTH('Assump - LNG'!$D19))/MAX('Assump - LNG'!$E19,1)))*INDEX('Assump - LNG'!$J$38:$J$49,MONTH($A98))))</f>
        <v/>
      </c>
      <c r="J98" s="14">
        <f>IF('Assump - LNG'!$D20="",0,IF($A98&lt;'Assump - LNG'!$D20,0,'Assump - LNG'!$C20*('Assump - LNG'!$F20+('Assump - LNG'!$G20-'Assump - LNG'!$F20)*MIN(1,((YEAR($A98)-YEAR('Assump - LNG'!$D20))*12+MONTH($A98)-MONTH('Assump - LNG'!$D20))/MAX('Assump - LNG'!$E20,1)))*INDEX('Assump - LNG'!$J$38:$J$49,MONTH($A98))))</f>
        <v/>
      </c>
      <c r="K98" s="14">
        <f>IF('Assump - LNG'!$D21="",0,IF($A98&lt;'Assump - LNG'!$D21,0,'Assump - LNG'!$C21*('Assump - LNG'!$F21+('Assump - LNG'!$G21-'Assump - LNG'!$F21)*MIN(1,((YEAR($A98)-YEAR('Assump - LNG'!$D21))*12+MONTH($A98)-MONTH('Assump - LNG'!$D21))/MAX('Assump - LNG'!$E21,1)))*INDEX('Assump - LNG'!$J$38:$J$49,MONTH($A98))))</f>
        <v/>
      </c>
      <c r="L98" s="14">
        <f>IF('Assump - LNG'!$D22="",0,IF($A98&lt;'Assump - LNG'!$D22,0,'Assump - LNG'!$C22*('Assump - LNG'!$F22+('Assump - LNG'!$G22-'Assump - LNG'!$F22)*MIN(1,((YEAR($A98)-YEAR('Assump - LNG'!$D22))*12+MONTH($A98)-MONTH('Assump - LNG'!$D22))/MAX('Assump - LNG'!$E22,1)))*INDEX('Assump - LNG'!$J$38:$J$49,MONTH($A98))))</f>
        <v/>
      </c>
      <c r="M98" s="14">
        <f>IF('Assump - LNG'!$D23="",0,IF($A98&lt;'Assump - LNG'!$D23,0,'Assump - LNG'!$C23*('Assump - LNG'!$F23+('Assump - LNG'!$G23-'Assump - LNG'!$F23)*MIN(1,((YEAR($A98)-YEAR('Assump - LNG'!$D23))*12+MONTH($A98)-MONTH('Assump - LNG'!$D23))/MAX('Assump - LNG'!$E23,1)))*INDEX('Assump - LNG'!$J$38:$J$49,MONTH($A98))))</f>
        <v/>
      </c>
      <c r="N98" s="14">
        <f>IF('Assump - LNG'!$D24="",0,IF($A98&lt;'Assump - LNG'!$D24,0,'Assump - LNG'!$C24*('Assump - LNG'!$F24+('Assump - LNG'!$G24-'Assump - LNG'!$F24)*MIN(1,((YEAR($A98)-YEAR('Assump - LNG'!$D24))*12+MONTH($A98)-MONTH('Assump - LNG'!$D24))/MAX('Assump - LNG'!$E24,1)))*INDEX('Assump - LNG'!$J$38:$J$49,MONTH($A98))))</f>
        <v/>
      </c>
      <c r="O98" s="14">
        <f>IF('Assump - LNG'!$D25="",0,IF($A98&lt;'Assump - LNG'!$D25,0,'Assump - LNG'!$C25*('Assump - LNG'!$F25+('Assump - LNG'!$G25-'Assump - LNG'!$F25)*MIN(1,((YEAR($A98)-YEAR('Assump - LNG'!$D25))*12+MONTH($A98)-MONTH('Assump - LNG'!$D25))/MAX('Assump - LNG'!$E25,1)))*INDEX('Assump - LNG'!$J$38:$J$49,MONTH($A98))))</f>
        <v/>
      </c>
      <c r="P98" s="14">
        <f>IF('Assump - LNG'!$D26="",0,IF($A98&lt;'Assump - LNG'!$D26,0,'Assump - LNG'!$C26*('Assump - LNG'!$F26+('Assump - LNG'!$G26-'Assump - LNG'!$F26)*MIN(1,((YEAR($A98)-YEAR('Assump - LNG'!$D26))*12+MONTH($A98)-MONTH('Assump - LNG'!$D26))/MAX('Assump - LNG'!$E26,1)))*INDEX('Assump - LNG'!$J$38:$J$49,MONTH($A98))))</f>
        <v/>
      </c>
      <c r="Q98" s="14">
        <f>IF('Assump - LNG'!$D27="",0,IF($A98&lt;'Assump - LNG'!$D27,0,'Assump - LNG'!$C27*('Assump - LNG'!$F27+('Assump - LNG'!$G27-'Assump - LNG'!$F27)*MIN(1,((YEAR($A98)-YEAR('Assump - LNG'!$D27))*12+MONTH($A98)-MONTH('Assump - LNG'!$D27))/MAX('Assump - LNG'!$E27,1)))*INDEX('Assump - LNG'!$J$38:$J$49,MONTH($A98))))</f>
        <v/>
      </c>
      <c r="R98" s="14">
        <f>IF('Assump - LNG'!$D28="",0,IF($A98&lt;'Assump - LNG'!$D28,0,'Assump - LNG'!$C28*('Assump - LNG'!$F28+('Assump - LNG'!$G28-'Assump - LNG'!$F28)*MIN(1,((YEAR($A98)-YEAR('Assump - LNG'!$D28))*12+MONTH($A98)-MONTH('Assump - LNG'!$D28))/MAX('Assump - LNG'!$E28,1)))*INDEX('Assump - LNG'!$J$38:$J$49,MONTH($A98))))</f>
        <v/>
      </c>
      <c r="S98" s="14">
        <f>IF('Assump - LNG'!$D29="",0,IF($A98&lt;'Assump - LNG'!$D29,0,'Assump - LNG'!$C29*('Assump - LNG'!$F29+('Assump - LNG'!$G29-'Assump - LNG'!$F29)*MIN(1,((YEAR($A98)-YEAR('Assump - LNG'!$D29))*12+MONTH($A98)-MONTH('Assump - LNG'!$D29))/MAX('Assump - LNG'!$E29,1)))*INDEX('Assump - LNG'!$J$38:$J$49,MONTH($A98))))</f>
        <v/>
      </c>
      <c r="T98" s="14">
        <f>IF('Assump - LNG'!$D30="",0,IF($A98&lt;'Assump - LNG'!$D30,0,'Assump - LNG'!$C30*('Assump - LNG'!$F30+('Assump - LNG'!$G30-'Assump - LNG'!$F30)*MIN(1,((YEAR($A98)-YEAR('Assump - LNG'!$D30))*12+MONTH($A98)-MONTH('Assump - LNG'!$D30))/MAX('Assump - LNG'!$E30,1)))*INDEX('Assump - LNG'!$J$38:$J$49,MONTH($A98))))</f>
        <v/>
      </c>
      <c r="U98" s="14">
        <f>IF('Assump - LNG'!$D31="",0,IF($A98&lt;'Assump - LNG'!$D31,0,'Assump - LNG'!$C31*('Assump - LNG'!$F31+('Assump - LNG'!$G31-'Assump - LNG'!$F31)*MIN(1,((YEAR($A98)-YEAR('Assump - LNG'!$D31))*12+MONTH($A98)-MONTH('Assump - LNG'!$D31))/MAX('Assump - LNG'!$E31,1)))*INDEX('Assump - LNG'!$J$38:$J$49,MONTH($A98))))</f>
        <v/>
      </c>
      <c r="V98" s="14">
        <f>IF('Assump - LNG'!$D12="",0,IF($A98&lt;IF('Assump - LNG'!$D12&gt;='Assump - LNG'!$B$6,EDATE('Assump - LNG'!$D12,'Assump - LNG'!$B$4),'Assump - LNG'!$D12),0,'Assump - LNG'!$C12*('Assump - LNG'!$F12+('Assump - LNG'!$G12-'Assump - LNG'!$F12)*MIN(1,((YEAR($A98)-YEAR(IF('Assump - LNG'!$D12&gt;='Assump - LNG'!$B$6,EDATE('Assump - LNG'!$D12,'Assump - LNG'!$B$4),'Assump - LNG'!$D12)))*12+MONTH($A98)-MONTH(IF('Assump - LNG'!$D12&gt;='Assump - LNG'!$B$6,EDATE('Assump - LNG'!$D12,'Assump - LNG'!$B$4),'Assump - LNG'!$D12)))/MAX('Assump - LNG'!$E12,1)))*INDEX('Assump - LNG'!$J$38:$J$49,MONTH($A98))))</f>
        <v/>
      </c>
      <c r="W98" s="14">
        <f>IF('Assump - LNG'!$D13="",0,IF($A98&lt;IF('Assump - LNG'!$D13&gt;='Assump - LNG'!$B$6,EDATE('Assump - LNG'!$D13,'Assump - LNG'!$B$4),'Assump - LNG'!$D13),0,'Assump - LNG'!$C13*('Assump - LNG'!$F13+('Assump - LNG'!$G13-'Assump - LNG'!$F13)*MIN(1,((YEAR($A98)-YEAR(IF('Assump - LNG'!$D13&gt;='Assump - LNG'!$B$6,EDATE('Assump - LNG'!$D13,'Assump - LNG'!$B$4),'Assump - LNG'!$D13)))*12+MONTH($A98)-MONTH(IF('Assump - LNG'!$D13&gt;='Assump - LNG'!$B$6,EDATE('Assump - LNG'!$D13,'Assump - LNG'!$B$4),'Assump - LNG'!$D13)))/MAX('Assump - LNG'!$E13,1)))*INDEX('Assump - LNG'!$J$38:$J$49,MONTH($A98))))</f>
        <v/>
      </c>
      <c r="X98" s="14">
        <f>IF('Assump - LNG'!$D14="",0,IF($A98&lt;IF('Assump - LNG'!$D14&gt;='Assump - LNG'!$B$6,EDATE('Assump - LNG'!$D14,'Assump - LNG'!$B$4),'Assump - LNG'!$D14),0,'Assump - LNG'!$C14*('Assump - LNG'!$F14+('Assump - LNG'!$G14-'Assump - LNG'!$F14)*MIN(1,((YEAR($A98)-YEAR(IF('Assump - LNG'!$D14&gt;='Assump - LNG'!$B$6,EDATE('Assump - LNG'!$D14,'Assump - LNG'!$B$4),'Assump - LNG'!$D14)))*12+MONTH($A98)-MONTH(IF('Assump - LNG'!$D14&gt;='Assump - LNG'!$B$6,EDATE('Assump - LNG'!$D14,'Assump - LNG'!$B$4),'Assump - LNG'!$D14)))/MAX('Assump - LNG'!$E14,1)))*INDEX('Assump - LNG'!$J$38:$J$49,MONTH($A98))))</f>
        <v/>
      </c>
      <c r="Y98" s="14">
        <f>IF('Assump - LNG'!$D15="",0,IF($A98&lt;IF('Assump - LNG'!$D15&gt;='Assump - LNG'!$B$6,EDATE('Assump - LNG'!$D15,'Assump - LNG'!$B$4),'Assump - LNG'!$D15),0,'Assump - LNG'!$C15*('Assump - LNG'!$F15+('Assump - LNG'!$G15-'Assump - LNG'!$F15)*MIN(1,((YEAR($A98)-YEAR(IF('Assump - LNG'!$D15&gt;='Assump - LNG'!$B$6,EDATE('Assump - LNG'!$D15,'Assump - LNG'!$B$4),'Assump - LNG'!$D15)))*12+MONTH($A98)-MONTH(IF('Assump - LNG'!$D15&gt;='Assump - LNG'!$B$6,EDATE('Assump - LNG'!$D15,'Assump - LNG'!$B$4),'Assump - LNG'!$D15)))/MAX('Assump - LNG'!$E15,1)))*INDEX('Assump - LNG'!$J$38:$J$49,MONTH($A98))))</f>
        <v/>
      </c>
      <c r="Z98" s="14">
        <f>IF('Assump - LNG'!$D16="",0,IF($A98&lt;IF('Assump - LNG'!$D16&gt;='Assump - LNG'!$B$6,EDATE('Assump - LNG'!$D16,'Assump - LNG'!$B$4),'Assump - LNG'!$D16),0,'Assump - LNG'!$C16*('Assump - LNG'!$F16+('Assump - LNG'!$G16-'Assump - LNG'!$F16)*MIN(1,((YEAR($A98)-YEAR(IF('Assump - LNG'!$D16&gt;='Assump - LNG'!$B$6,EDATE('Assump - LNG'!$D16,'Assump - LNG'!$B$4),'Assump - LNG'!$D16)))*12+MONTH($A98)-MONTH(IF('Assump - LNG'!$D16&gt;='Assump - LNG'!$B$6,EDATE('Assump - LNG'!$D16,'Assump - LNG'!$B$4),'Assump - LNG'!$D16)))/MAX('Assump - LNG'!$E16,1)))*INDEX('Assump - LNG'!$J$38:$J$49,MONTH($A98))))</f>
        <v/>
      </c>
      <c r="AA98" s="14">
        <f>IF('Assump - LNG'!$D17="",0,IF($A98&lt;IF('Assump - LNG'!$D17&gt;='Assump - LNG'!$B$6,EDATE('Assump - LNG'!$D17,'Assump - LNG'!$B$4),'Assump - LNG'!$D17),0,'Assump - LNG'!$C17*('Assump - LNG'!$F17+('Assump - LNG'!$G17-'Assump - LNG'!$F17)*MIN(1,((YEAR($A98)-YEAR(IF('Assump - LNG'!$D17&gt;='Assump - LNG'!$B$6,EDATE('Assump - LNG'!$D17,'Assump - LNG'!$B$4),'Assump - LNG'!$D17)))*12+MONTH($A98)-MONTH(IF('Assump - LNG'!$D17&gt;='Assump - LNG'!$B$6,EDATE('Assump - LNG'!$D17,'Assump - LNG'!$B$4),'Assump - LNG'!$D17)))/MAX('Assump - LNG'!$E17,1)))*INDEX('Assump - LNG'!$J$38:$J$49,MONTH($A98))))</f>
        <v/>
      </c>
      <c r="AB98" s="14">
        <f>IF('Assump - LNG'!$D18="",0,IF($A98&lt;IF('Assump - LNG'!$D18&gt;='Assump - LNG'!$B$6,EDATE('Assump - LNG'!$D18,'Assump - LNG'!$B$4),'Assump - LNG'!$D18),0,'Assump - LNG'!$C18*('Assump - LNG'!$F18+('Assump - LNG'!$G18-'Assump - LNG'!$F18)*MIN(1,((YEAR($A98)-YEAR(IF('Assump - LNG'!$D18&gt;='Assump - LNG'!$B$6,EDATE('Assump - LNG'!$D18,'Assump - LNG'!$B$4),'Assump - LNG'!$D18)))*12+MONTH($A98)-MONTH(IF('Assump - LNG'!$D18&gt;='Assump - LNG'!$B$6,EDATE('Assump - LNG'!$D18,'Assump - LNG'!$B$4),'Assump - LNG'!$D18)))/MAX('Assump - LNG'!$E18,1)))*INDEX('Assump - LNG'!$J$38:$J$49,MONTH($A98))))</f>
        <v/>
      </c>
      <c r="AC98" s="14">
        <f>IF('Assump - LNG'!$D19="",0,IF($A98&lt;IF('Assump - LNG'!$D19&gt;='Assump - LNG'!$B$6,EDATE('Assump - LNG'!$D19,'Assump - LNG'!$B$4),'Assump - LNG'!$D19),0,'Assump - LNG'!$C19*('Assump - LNG'!$F19+('Assump - LNG'!$G19-'Assump - LNG'!$F19)*MIN(1,((YEAR($A98)-YEAR(IF('Assump - LNG'!$D19&gt;='Assump - LNG'!$B$6,EDATE('Assump - LNG'!$D19,'Assump - LNG'!$B$4),'Assump - LNG'!$D19)))*12+MONTH($A98)-MONTH(IF('Assump - LNG'!$D19&gt;='Assump - LNG'!$B$6,EDATE('Assump - LNG'!$D19,'Assump - LNG'!$B$4),'Assump - LNG'!$D19)))/MAX('Assump - LNG'!$E19,1)))*INDEX('Assump - LNG'!$J$38:$J$49,MONTH($A98))))</f>
        <v/>
      </c>
      <c r="AD98" s="14">
        <f>IF('Assump - LNG'!$D20="",0,IF($A98&lt;IF('Assump - LNG'!$D20&gt;='Assump - LNG'!$B$6,EDATE('Assump - LNG'!$D20,'Assump - LNG'!$B$4),'Assump - LNG'!$D20),0,'Assump - LNG'!$C20*('Assump - LNG'!$F20+('Assump - LNG'!$G20-'Assump - LNG'!$F20)*MIN(1,((YEAR($A98)-YEAR(IF('Assump - LNG'!$D20&gt;='Assump - LNG'!$B$6,EDATE('Assump - LNG'!$D20,'Assump - LNG'!$B$4),'Assump - LNG'!$D20)))*12+MONTH($A98)-MONTH(IF('Assump - LNG'!$D20&gt;='Assump - LNG'!$B$6,EDATE('Assump - LNG'!$D20,'Assump - LNG'!$B$4),'Assump - LNG'!$D20)))/MAX('Assump - LNG'!$E20,1)))*INDEX('Assump - LNG'!$J$38:$J$49,MONTH($A98))))</f>
        <v/>
      </c>
      <c r="AE98" s="14">
        <f>IF('Assump - LNG'!$D21="",0,IF($A98&lt;IF('Assump - LNG'!$D21&gt;='Assump - LNG'!$B$6,EDATE('Assump - LNG'!$D21,'Assump - LNG'!$B$4),'Assump - LNG'!$D21),0,'Assump - LNG'!$C21*('Assump - LNG'!$F21+('Assump - LNG'!$G21-'Assump - LNG'!$F21)*MIN(1,((YEAR($A98)-YEAR(IF('Assump - LNG'!$D21&gt;='Assump - LNG'!$B$6,EDATE('Assump - LNG'!$D21,'Assump - LNG'!$B$4),'Assump - LNG'!$D21)))*12+MONTH($A98)-MONTH(IF('Assump - LNG'!$D21&gt;='Assump - LNG'!$B$6,EDATE('Assump - LNG'!$D21,'Assump - LNG'!$B$4),'Assump - LNG'!$D21)))/MAX('Assump - LNG'!$E21,1)))*INDEX('Assump - LNG'!$J$38:$J$49,MONTH($A98))))</f>
        <v/>
      </c>
      <c r="AF98" s="14">
        <f>IF('Assump - LNG'!$D22="",0,IF($A98&lt;IF('Assump - LNG'!$D22&gt;='Assump - LNG'!$B$6,EDATE('Assump - LNG'!$D22,'Assump - LNG'!$B$4),'Assump - LNG'!$D22),0,'Assump - LNG'!$C22*('Assump - LNG'!$F22+('Assump - LNG'!$G22-'Assump - LNG'!$F22)*MIN(1,((YEAR($A98)-YEAR(IF('Assump - LNG'!$D22&gt;='Assump - LNG'!$B$6,EDATE('Assump - LNG'!$D22,'Assump - LNG'!$B$4),'Assump - LNG'!$D22)))*12+MONTH($A98)-MONTH(IF('Assump - LNG'!$D22&gt;='Assump - LNG'!$B$6,EDATE('Assump - LNG'!$D22,'Assump - LNG'!$B$4),'Assump - LNG'!$D22)))/MAX('Assump - LNG'!$E22,1)))*INDEX('Assump - LNG'!$J$38:$J$49,MONTH($A98))))</f>
        <v/>
      </c>
      <c r="AG98" s="14">
        <f>IF('Assump - LNG'!$D23="",0,IF($A98&lt;IF('Assump - LNG'!$D23&gt;='Assump - LNG'!$B$6,EDATE('Assump - LNG'!$D23,'Assump - LNG'!$B$4),'Assump - LNG'!$D23),0,'Assump - LNG'!$C23*('Assump - LNG'!$F23+('Assump - LNG'!$G23-'Assump - LNG'!$F23)*MIN(1,((YEAR($A98)-YEAR(IF('Assump - LNG'!$D23&gt;='Assump - LNG'!$B$6,EDATE('Assump - LNG'!$D23,'Assump - LNG'!$B$4),'Assump - LNG'!$D23)))*12+MONTH($A98)-MONTH(IF('Assump - LNG'!$D23&gt;='Assump - LNG'!$B$6,EDATE('Assump - LNG'!$D23,'Assump - LNG'!$B$4),'Assump - LNG'!$D23)))/MAX('Assump - LNG'!$E23,1)))*INDEX('Assump - LNG'!$J$38:$J$49,MONTH($A98))))</f>
        <v/>
      </c>
      <c r="AH98" s="14">
        <f>IF('Assump - LNG'!$D24="",0,IF($A98&lt;IF('Assump - LNG'!$D24&gt;='Assump - LNG'!$B$6,EDATE('Assump - LNG'!$D24,'Assump - LNG'!$B$4),'Assump - LNG'!$D24),0,'Assump - LNG'!$C24*('Assump - LNG'!$F24+('Assump - LNG'!$G24-'Assump - LNG'!$F24)*MIN(1,((YEAR($A98)-YEAR(IF('Assump - LNG'!$D24&gt;='Assump - LNG'!$B$6,EDATE('Assump - LNG'!$D24,'Assump - LNG'!$B$4),'Assump - LNG'!$D24)))*12+MONTH($A98)-MONTH(IF('Assump - LNG'!$D24&gt;='Assump - LNG'!$B$6,EDATE('Assump - LNG'!$D24,'Assump - LNG'!$B$4),'Assump - LNG'!$D24)))/MAX('Assump - LNG'!$E24,1)))*INDEX('Assump - LNG'!$J$38:$J$49,MONTH($A98))))</f>
        <v/>
      </c>
      <c r="AI98" s="14">
        <f>IF('Assump - LNG'!$D25="",0,IF($A98&lt;IF('Assump - LNG'!$D25&gt;='Assump - LNG'!$B$6,EDATE('Assump - LNG'!$D25,'Assump - LNG'!$B$4),'Assump - LNG'!$D25),0,'Assump - LNG'!$C25*('Assump - LNG'!$F25+('Assump - LNG'!$G25-'Assump - LNG'!$F25)*MIN(1,((YEAR($A98)-YEAR(IF('Assump - LNG'!$D25&gt;='Assump - LNG'!$B$6,EDATE('Assump - LNG'!$D25,'Assump - LNG'!$B$4),'Assump - LNG'!$D25)))*12+MONTH($A98)-MONTH(IF('Assump - LNG'!$D25&gt;='Assump - LNG'!$B$6,EDATE('Assump - LNG'!$D25,'Assump - LNG'!$B$4),'Assump - LNG'!$D25)))/MAX('Assump - LNG'!$E25,1)))*INDEX('Assump - LNG'!$J$38:$J$49,MONTH($A98))))</f>
        <v/>
      </c>
      <c r="AJ98" s="14">
        <f>IF('Assump - LNG'!$D26="",0,IF($A98&lt;IF('Assump - LNG'!$D26&gt;='Assump - LNG'!$B$6,EDATE('Assump - LNG'!$D26,'Assump - LNG'!$B$4),'Assump - LNG'!$D26),0,'Assump - LNG'!$C26*('Assump - LNG'!$F26+('Assump - LNG'!$G26-'Assump - LNG'!$F26)*MIN(1,((YEAR($A98)-YEAR(IF('Assump - LNG'!$D26&gt;='Assump - LNG'!$B$6,EDATE('Assump - LNG'!$D26,'Assump - LNG'!$B$4),'Assump - LNG'!$D26)))*12+MONTH($A98)-MONTH(IF('Assump - LNG'!$D26&gt;='Assump - LNG'!$B$6,EDATE('Assump - LNG'!$D26,'Assump - LNG'!$B$4),'Assump - LNG'!$D26)))/MAX('Assump - LNG'!$E26,1)))*INDEX('Assump - LNG'!$J$38:$J$49,MONTH($A98))))</f>
        <v/>
      </c>
      <c r="AK98" s="14">
        <f>IF('Assump - LNG'!$D27="",0,IF($A98&lt;IF('Assump - LNG'!$D27&gt;='Assump - LNG'!$B$6,EDATE('Assump - LNG'!$D27,'Assump - LNG'!$B$4),'Assump - LNG'!$D27),0,'Assump - LNG'!$C27*('Assump - LNG'!$F27+('Assump - LNG'!$G27-'Assump - LNG'!$F27)*MIN(1,((YEAR($A98)-YEAR(IF('Assump - LNG'!$D27&gt;='Assump - LNG'!$B$6,EDATE('Assump - LNG'!$D27,'Assump - LNG'!$B$4),'Assump - LNG'!$D27)))*12+MONTH($A98)-MONTH(IF('Assump - LNG'!$D27&gt;='Assump - LNG'!$B$6,EDATE('Assump - LNG'!$D27,'Assump - LNG'!$B$4),'Assump - LNG'!$D27)))/MAX('Assump - LNG'!$E27,1)))*INDEX('Assump - LNG'!$J$38:$J$49,MONTH($A98))))</f>
        <v/>
      </c>
      <c r="AL98" s="14">
        <f>IF('Assump - LNG'!$D28="",0,IF($A98&lt;IF('Assump - LNG'!$D28&gt;='Assump - LNG'!$B$6,EDATE('Assump - LNG'!$D28,'Assump - LNG'!$B$4),'Assump - LNG'!$D28),0,'Assump - LNG'!$C28*('Assump - LNG'!$F28+('Assump - LNG'!$G28-'Assump - LNG'!$F28)*MIN(1,((YEAR($A98)-YEAR(IF('Assump - LNG'!$D28&gt;='Assump - LNG'!$B$6,EDATE('Assump - LNG'!$D28,'Assump - LNG'!$B$4),'Assump - LNG'!$D28)))*12+MONTH($A98)-MONTH(IF('Assump - LNG'!$D28&gt;='Assump - LNG'!$B$6,EDATE('Assump - LNG'!$D28,'Assump - LNG'!$B$4),'Assump - LNG'!$D28)))/MAX('Assump - LNG'!$E28,1)))*INDEX('Assump - LNG'!$J$38:$J$49,MONTH($A98))))</f>
        <v/>
      </c>
      <c r="AM98" s="14">
        <f>IF('Assump - LNG'!$D29="",0,IF($A98&lt;IF('Assump - LNG'!$D29&gt;='Assump - LNG'!$B$6,EDATE('Assump - LNG'!$D29,'Assump - LNG'!$B$4),'Assump - LNG'!$D29),0,'Assump - LNG'!$C29*('Assump - LNG'!$F29+('Assump - LNG'!$G29-'Assump - LNG'!$F29)*MIN(1,((YEAR($A98)-YEAR(IF('Assump - LNG'!$D29&gt;='Assump - LNG'!$B$6,EDATE('Assump - LNG'!$D29,'Assump - LNG'!$B$4),'Assump - LNG'!$D29)))*12+MONTH($A98)-MONTH(IF('Assump - LNG'!$D29&gt;='Assump - LNG'!$B$6,EDATE('Assump - LNG'!$D29,'Assump - LNG'!$B$4),'Assump - LNG'!$D29)))/MAX('Assump - LNG'!$E29,1)))*INDEX('Assump - LNG'!$J$38:$J$49,MONTH($A98))))</f>
        <v/>
      </c>
      <c r="AN98" s="14">
        <f>IF('Assump - LNG'!$D30="",0,IF($A98&lt;IF('Assump - LNG'!$D30&gt;='Assump - LNG'!$B$6,EDATE('Assump - LNG'!$D30,'Assump - LNG'!$B$4),'Assump - LNG'!$D30),0,'Assump - LNG'!$C30*('Assump - LNG'!$F30+('Assump - LNG'!$G30-'Assump - LNG'!$F30)*MIN(1,((YEAR($A98)-YEAR(IF('Assump - LNG'!$D30&gt;='Assump - LNG'!$B$6,EDATE('Assump - LNG'!$D30,'Assump - LNG'!$B$4),'Assump - LNG'!$D30)))*12+MONTH($A98)-MONTH(IF('Assump - LNG'!$D30&gt;='Assump - LNG'!$B$6,EDATE('Assump - LNG'!$D30,'Assump - LNG'!$B$4),'Assump - LNG'!$D30)))/MAX('Assump - LNG'!$E30,1)))*INDEX('Assump - LNG'!$J$38:$J$49,MONTH($A98))))</f>
        <v/>
      </c>
      <c r="AO98" s="14">
        <f>IF('Assump - LNG'!$D31="",0,IF($A98&lt;IF('Assump - LNG'!$D31&gt;='Assump - LNG'!$B$6,EDATE('Assump - LNG'!$D31,'Assump - LNG'!$B$4),'Assump - LNG'!$D31),0,'Assump - LNG'!$C31*('Assump - LNG'!$F31+('Assump - LNG'!$G31-'Assump - LNG'!$F31)*MIN(1,((YEAR($A98)-YEAR(IF('Assump - LNG'!$D31&gt;='Assump - LNG'!$B$6,EDATE('Assump - LNG'!$D31,'Assump - LNG'!$B$4),'Assump - LNG'!$D31)))*12+MONTH($A98)-MONTH(IF('Assump - LNG'!$D31&gt;='Assump - LNG'!$B$6,EDATE('Assump - LNG'!$D31,'Assump - LNG'!$B$4),'Assump - LNG'!$D31)))/MAX('Assump - LNG'!$E31,1)))*INDEX('Assump - LNG'!$J$38:$J$49,MONTH($A98))))</f>
        <v/>
      </c>
    </row>
    <row r="99">
      <c r="A99" s="12" t="n">
        <v>47027</v>
      </c>
      <c r="B99" s="14">
        <f>IF('Assump - LNG'!$D12="",0,IF($A99&lt;'Assump - LNG'!$D12,0,'Assump - LNG'!$C12*('Assump - LNG'!$F12+('Assump - LNG'!$G12-'Assump - LNG'!$F12)*MIN(1,((YEAR($A99)-YEAR('Assump - LNG'!$D12))*12+MONTH($A99)-MONTH('Assump - LNG'!$D12))/MAX('Assump - LNG'!$E12,1)))*INDEX('Assump - LNG'!$J$38:$J$49,MONTH($A99))))</f>
        <v/>
      </c>
      <c r="C99" s="14">
        <f>IF('Assump - LNG'!$D13="",0,IF($A99&lt;'Assump - LNG'!$D13,0,'Assump - LNG'!$C13*('Assump - LNG'!$F13+('Assump - LNG'!$G13-'Assump - LNG'!$F13)*MIN(1,((YEAR($A99)-YEAR('Assump - LNG'!$D13))*12+MONTH($A99)-MONTH('Assump - LNG'!$D13))/MAX('Assump - LNG'!$E13,1)))*INDEX('Assump - LNG'!$J$38:$J$49,MONTH($A99))))</f>
        <v/>
      </c>
      <c r="D99" s="14">
        <f>IF('Assump - LNG'!$D14="",0,IF($A99&lt;'Assump - LNG'!$D14,0,'Assump - LNG'!$C14*('Assump - LNG'!$F14+('Assump - LNG'!$G14-'Assump - LNG'!$F14)*MIN(1,((YEAR($A99)-YEAR('Assump - LNG'!$D14))*12+MONTH($A99)-MONTH('Assump - LNG'!$D14))/MAX('Assump - LNG'!$E14,1)))*INDEX('Assump - LNG'!$J$38:$J$49,MONTH($A99))))</f>
        <v/>
      </c>
      <c r="E99" s="14">
        <f>IF('Assump - LNG'!$D15="",0,IF($A99&lt;'Assump - LNG'!$D15,0,'Assump - LNG'!$C15*('Assump - LNG'!$F15+('Assump - LNG'!$G15-'Assump - LNG'!$F15)*MIN(1,((YEAR($A99)-YEAR('Assump - LNG'!$D15))*12+MONTH($A99)-MONTH('Assump - LNG'!$D15))/MAX('Assump - LNG'!$E15,1)))*INDEX('Assump - LNG'!$J$38:$J$49,MONTH($A99))))</f>
        <v/>
      </c>
      <c r="F99" s="14">
        <f>IF('Assump - LNG'!$D16="",0,IF($A99&lt;'Assump - LNG'!$D16,0,'Assump - LNG'!$C16*('Assump - LNG'!$F16+('Assump - LNG'!$G16-'Assump - LNG'!$F16)*MIN(1,((YEAR($A99)-YEAR('Assump - LNG'!$D16))*12+MONTH($A99)-MONTH('Assump - LNG'!$D16))/MAX('Assump - LNG'!$E16,1)))*INDEX('Assump - LNG'!$J$38:$J$49,MONTH($A99))))</f>
        <v/>
      </c>
      <c r="G99" s="14">
        <f>IF('Assump - LNG'!$D17="",0,IF($A99&lt;'Assump - LNG'!$D17,0,'Assump - LNG'!$C17*('Assump - LNG'!$F17+('Assump - LNG'!$G17-'Assump - LNG'!$F17)*MIN(1,((YEAR($A99)-YEAR('Assump - LNG'!$D17))*12+MONTH($A99)-MONTH('Assump - LNG'!$D17))/MAX('Assump - LNG'!$E17,1)))*INDEX('Assump - LNG'!$J$38:$J$49,MONTH($A99))))</f>
        <v/>
      </c>
      <c r="H99" s="14">
        <f>IF('Assump - LNG'!$D18="",0,IF($A99&lt;'Assump - LNG'!$D18,0,'Assump - LNG'!$C18*('Assump - LNG'!$F18+('Assump - LNG'!$G18-'Assump - LNG'!$F18)*MIN(1,((YEAR($A99)-YEAR('Assump - LNG'!$D18))*12+MONTH($A99)-MONTH('Assump - LNG'!$D18))/MAX('Assump - LNG'!$E18,1)))*INDEX('Assump - LNG'!$J$38:$J$49,MONTH($A99))))</f>
        <v/>
      </c>
      <c r="I99" s="14">
        <f>IF('Assump - LNG'!$D19="",0,IF($A99&lt;'Assump - LNG'!$D19,0,'Assump - LNG'!$C19*('Assump - LNG'!$F19+('Assump - LNG'!$G19-'Assump - LNG'!$F19)*MIN(1,((YEAR($A99)-YEAR('Assump - LNG'!$D19))*12+MONTH($A99)-MONTH('Assump - LNG'!$D19))/MAX('Assump - LNG'!$E19,1)))*INDEX('Assump - LNG'!$J$38:$J$49,MONTH($A99))))</f>
        <v/>
      </c>
      <c r="J99" s="14">
        <f>IF('Assump - LNG'!$D20="",0,IF($A99&lt;'Assump - LNG'!$D20,0,'Assump - LNG'!$C20*('Assump - LNG'!$F20+('Assump - LNG'!$G20-'Assump - LNG'!$F20)*MIN(1,((YEAR($A99)-YEAR('Assump - LNG'!$D20))*12+MONTH($A99)-MONTH('Assump - LNG'!$D20))/MAX('Assump - LNG'!$E20,1)))*INDEX('Assump - LNG'!$J$38:$J$49,MONTH($A99))))</f>
        <v/>
      </c>
      <c r="K99" s="14">
        <f>IF('Assump - LNG'!$D21="",0,IF($A99&lt;'Assump - LNG'!$D21,0,'Assump - LNG'!$C21*('Assump - LNG'!$F21+('Assump - LNG'!$G21-'Assump - LNG'!$F21)*MIN(1,((YEAR($A99)-YEAR('Assump - LNG'!$D21))*12+MONTH($A99)-MONTH('Assump - LNG'!$D21))/MAX('Assump - LNG'!$E21,1)))*INDEX('Assump - LNG'!$J$38:$J$49,MONTH($A99))))</f>
        <v/>
      </c>
      <c r="L99" s="14">
        <f>IF('Assump - LNG'!$D22="",0,IF($A99&lt;'Assump - LNG'!$D22,0,'Assump - LNG'!$C22*('Assump - LNG'!$F22+('Assump - LNG'!$G22-'Assump - LNG'!$F22)*MIN(1,((YEAR($A99)-YEAR('Assump - LNG'!$D22))*12+MONTH($A99)-MONTH('Assump - LNG'!$D22))/MAX('Assump - LNG'!$E22,1)))*INDEX('Assump - LNG'!$J$38:$J$49,MONTH($A99))))</f>
        <v/>
      </c>
      <c r="M99" s="14">
        <f>IF('Assump - LNG'!$D23="",0,IF($A99&lt;'Assump - LNG'!$D23,0,'Assump - LNG'!$C23*('Assump - LNG'!$F23+('Assump - LNG'!$G23-'Assump - LNG'!$F23)*MIN(1,((YEAR($A99)-YEAR('Assump - LNG'!$D23))*12+MONTH($A99)-MONTH('Assump - LNG'!$D23))/MAX('Assump - LNG'!$E23,1)))*INDEX('Assump - LNG'!$J$38:$J$49,MONTH($A99))))</f>
        <v/>
      </c>
      <c r="N99" s="14">
        <f>IF('Assump - LNG'!$D24="",0,IF($A99&lt;'Assump - LNG'!$D24,0,'Assump - LNG'!$C24*('Assump - LNG'!$F24+('Assump - LNG'!$G24-'Assump - LNG'!$F24)*MIN(1,((YEAR($A99)-YEAR('Assump - LNG'!$D24))*12+MONTH($A99)-MONTH('Assump - LNG'!$D24))/MAX('Assump - LNG'!$E24,1)))*INDEX('Assump - LNG'!$J$38:$J$49,MONTH($A99))))</f>
        <v/>
      </c>
      <c r="O99" s="14">
        <f>IF('Assump - LNG'!$D25="",0,IF($A99&lt;'Assump - LNG'!$D25,0,'Assump - LNG'!$C25*('Assump - LNG'!$F25+('Assump - LNG'!$G25-'Assump - LNG'!$F25)*MIN(1,((YEAR($A99)-YEAR('Assump - LNG'!$D25))*12+MONTH($A99)-MONTH('Assump - LNG'!$D25))/MAX('Assump - LNG'!$E25,1)))*INDEX('Assump - LNG'!$J$38:$J$49,MONTH($A99))))</f>
        <v/>
      </c>
      <c r="P99" s="14">
        <f>IF('Assump - LNG'!$D26="",0,IF($A99&lt;'Assump - LNG'!$D26,0,'Assump - LNG'!$C26*('Assump - LNG'!$F26+('Assump - LNG'!$G26-'Assump - LNG'!$F26)*MIN(1,((YEAR($A99)-YEAR('Assump - LNG'!$D26))*12+MONTH($A99)-MONTH('Assump - LNG'!$D26))/MAX('Assump - LNG'!$E26,1)))*INDEX('Assump - LNG'!$J$38:$J$49,MONTH($A99))))</f>
        <v/>
      </c>
      <c r="Q99" s="14">
        <f>IF('Assump - LNG'!$D27="",0,IF($A99&lt;'Assump - LNG'!$D27,0,'Assump - LNG'!$C27*('Assump - LNG'!$F27+('Assump - LNG'!$G27-'Assump - LNG'!$F27)*MIN(1,((YEAR($A99)-YEAR('Assump - LNG'!$D27))*12+MONTH($A99)-MONTH('Assump - LNG'!$D27))/MAX('Assump - LNG'!$E27,1)))*INDEX('Assump - LNG'!$J$38:$J$49,MONTH($A99))))</f>
        <v/>
      </c>
      <c r="R99" s="14">
        <f>IF('Assump - LNG'!$D28="",0,IF($A99&lt;'Assump - LNG'!$D28,0,'Assump - LNG'!$C28*('Assump - LNG'!$F28+('Assump - LNG'!$G28-'Assump - LNG'!$F28)*MIN(1,((YEAR($A99)-YEAR('Assump - LNG'!$D28))*12+MONTH($A99)-MONTH('Assump - LNG'!$D28))/MAX('Assump - LNG'!$E28,1)))*INDEX('Assump - LNG'!$J$38:$J$49,MONTH($A99))))</f>
        <v/>
      </c>
      <c r="S99" s="14">
        <f>IF('Assump - LNG'!$D29="",0,IF($A99&lt;'Assump - LNG'!$D29,0,'Assump - LNG'!$C29*('Assump - LNG'!$F29+('Assump - LNG'!$G29-'Assump - LNG'!$F29)*MIN(1,((YEAR($A99)-YEAR('Assump - LNG'!$D29))*12+MONTH($A99)-MONTH('Assump - LNG'!$D29))/MAX('Assump - LNG'!$E29,1)))*INDEX('Assump - LNG'!$J$38:$J$49,MONTH($A99))))</f>
        <v/>
      </c>
      <c r="T99" s="14">
        <f>IF('Assump - LNG'!$D30="",0,IF($A99&lt;'Assump - LNG'!$D30,0,'Assump - LNG'!$C30*('Assump - LNG'!$F30+('Assump - LNG'!$G30-'Assump - LNG'!$F30)*MIN(1,((YEAR($A99)-YEAR('Assump - LNG'!$D30))*12+MONTH($A99)-MONTH('Assump - LNG'!$D30))/MAX('Assump - LNG'!$E30,1)))*INDEX('Assump - LNG'!$J$38:$J$49,MONTH($A99))))</f>
        <v/>
      </c>
      <c r="U99" s="14">
        <f>IF('Assump - LNG'!$D31="",0,IF($A99&lt;'Assump - LNG'!$D31,0,'Assump - LNG'!$C31*('Assump - LNG'!$F31+('Assump - LNG'!$G31-'Assump - LNG'!$F31)*MIN(1,((YEAR($A99)-YEAR('Assump - LNG'!$D31))*12+MONTH($A99)-MONTH('Assump - LNG'!$D31))/MAX('Assump - LNG'!$E31,1)))*INDEX('Assump - LNG'!$J$38:$J$49,MONTH($A99))))</f>
        <v/>
      </c>
      <c r="V99" s="14">
        <f>IF('Assump - LNG'!$D12="",0,IF($A99&lt;IF('Assump - LNG'!$D12&gt;='Assump - LNG'!$B$6,EDATE('Assump - LNG'!$D12,'Assump - LNG'!$B$4),'Assump - LNG'!$D12),0,'Assump - LNG'!$C12*('Assump - LNG'!$F12+('Assump - LNG'!$G12-'Assump - LNG'!$F12)*MIN(1,((YEAR($A99)-YEAR(IF('Assump - LNG'!$D12&gt;='Assump - LNG'!$B$6,EDATE('Assump - LNG'!$D12,'Assump - LNG'!$B$4),'Assump - LNG'!$D12)))*12+MONTH($A99)-MONTH(IF('Assump - LNG'!$D12&gt;='Assump - LNG'!$B$6,EDATE('Assump - LNG'!$D12,'Assump - LNG'!$B$4),'Assump - LNG'!$D12)))/MAX('Assump - LNG'!$E12,1)))*INDEX('Assump - LNG'!$J$38:$J$49,MONTH($A99))))</f>
        <v/>
      </c>
      <c r="W99" s="14">
        <f>IF('Assump - LNG'!$D13="",0,IF($A99&lt;IF('Assump - LNG'!$D13&gt;='Assump - LNG'!$B$6,EDATE('Assump - LNG'!$D13,'Assump - LNG'!$B$4),'Assump - LNG'!$D13),0,'Assump - LNG'!$C13*('Assump - LNG'!$F13+('Assump - LNG'!$G13-'Assump - LNG'!$F13)*MIN(1,((YEAR($A99)-YEAR(IF('Assump - LNG'!$D13&gt;='Assump - LNG'!$B$6,EDATE('Assump - LNG'!$D13,'Assump - LNG'!$B$4),'Assump - LNG'!$D13)))*12+MONTH($A99)-MONTH(IF('Assump - LNG'!$D13&gt;='Assump - LNG'!$B$6,EDATE('Assump - LNG'!$D13,'Assump - LNG'!$B$4),'Assump - LNG'!$D13)))/MAX('Assump - LNG'!$E13,1)))*INDEX('Assump - LNG'!$J$38:$J$49,MONTH($A99))))</f>
        <v/>
      </c>
      <c r="X99" s="14">
        <f>IF('Assump - LNG'!$D14="",0,IF($A99&lt;IF('Assump - LNG'!$D14&gt;='Assump - LNG'!$B$6,EDATE('Assump - LNG'!$D14,'Assump - LNG'!$B$4),'Assump - LNG'!$D14),0,'Assump - LNG'!$C14*('Assump - LNG'!$F14+('Assump - LNG'!$G14-'Assump - LNG'!$F14)*MIN(1,((YEAR($A99)-YEAR(IF('Assump - LNG'!$D14&gt;='Assump - LNG'!$B$6,EDATE('Assump - LNG'!$D14,'Assump - LNG'!$B$4),'Assump - LNG'!$D14)))*12+MONTH($A99)-MONTH(IF('Assump - LNG'!$D14&gt;='Assump - LNG'!$B$6,EDATE('Assump - LNG'!$D14,'Assump - LNG'!$B$4),'Assump - LNG'!$D14)))/MAX('Assump - LNG'!$E14,1)))*INDEX('Assump - LNG'!$J$38:$J$49,MONTH($A99))))</f>
        <v/>
      </c>
      <c r="Y99" s="14">
        <f>IF('Assump - LNG'!$D15="",0,IF($A99&lt;IF('Assump - LNG'!$D15&gt;='Assump - LNG'!$B$6,EDATE('Assump - LNG'!$D15,'Assump - LNG'!$B$4),'Assump - LNG'!$D15),0,'Assump - LNG'!$C15*('Assump - LNG'!$F15+('Assump - LNG'!$G15-'Assump - LNG'!$F15)*MIN(1,((YEAR($A99)-YEAR(IF('Assump - LNG'!$D15&gt;='Assump - LNG'!$B$6,EDATE('Assump - LNG'!$D15,'Assump - LNG'!$B$4),'Assump - LNG'!$D15)))*12+MONTH($A99)-MONTH(IF('Assump - LNG'!$D15&gt;='Assump - LNG'!$B$6,EDATE('Assump - LNG'!$D15,'Assump - LNG'!$B$4),'Assump - LNG'!$D15)))/MAX('Assump - LNG'!$E15,1)))*INDEX('Assump - LNG'!$J$38:$J$49,MONTH($A99))))</f>
        <v/>
      </c>
      <c r="Z99" s="14">
        <f>IF('Assump - LNG'!$D16="",0,IF($A99&lt;IF('Assump - LNG'!$D16&gt;='Assump - LNG'!$B$6,EDATE('Assump - LNG'!$D16,'Assump - LNG'!$B$4),'Assump - LNG'!$D16),0,'Assump - LNG'!$C16*('Assump - LNG'!$F16+('Assump - LNG'!$G16-'Assump - LNG'!$F16)*MIN(1,((YEAR($A99)-YEAR(IF('Assump - LNG'!$D16&gt;='Assump - LNG'!$B$6,EDATE('Assump - LNG'!$D16,'Assump - LNG'!$B$4),'Assump - LNG'!$D16)))*12+MONTH($A99)-MONTH(IF('Assump - LNG'!$D16&gt;='Assump - LNG'!$B$6,EDATE('Assump - LNG'!$D16,'Assump - LNG'!$B$4),'Assump - LNG'!$D16)))/MAX('Assump - LNG'!$E16,1)))*INDEX('Assump - LNG'!$J$38:$J$49,MONTH($A99))))</f>
        <v/>
      </c>
      <c r="AA99" s="14">
        <f>IF('Assump - LNG'!$D17="",0,IF($A99&lt;IF('Assump - LNG'!$D17&gt;='Assump - LNG'!$B$6,EDATE('Assump - LNG'!$D17,'Assump - LNG'!$B$4),'Assump - LNG'!$D17),0,'Assump - LNG'!$C17*('Assump - LNG'!$F17+('Assump - LNG'!$G17-'Assump - LNG'!$F17)*MIN(1,((YEAR($A99)-YEAR(IF('Assump - LNG'!$D17&gt;='Assump - LNG'!$B$6,EDATE('Assump - LNG'!$D17,'Assump - LNG'!$B$4),'Assump - LNG'!$D17)))*12+MONTH($A99)-MONTH(IF('Assump - LNG'!$D17&gt;='Assump - LNG'!$B$6,EDATE('Assump - LNG'!$D17,'Assump - LNG'!$B$4),'Assump - LNG'!$D17)))/MAX('Assump - LNG'!$E17,1)))*INDEX('Assump - LNG'!$J$38:$J$49,MONTH($A99))))</f>
        <v/>
      </c>
      <c r="AB99" s="14">
        <f>IF('Assump - LNG'!$D18="",0,IF($A99&lt;IF('Assump - LNG'!$D18&gt;='Assump - LNG'!$B$6,EDATE('Assump - LNG'!$D18,'Assump - LNG'!$B$4),'Assump - LNG'!$D18),0,'Assump - LNG'!$C18*('Assump - LNG'!$F18+('Assump - LNG'!$G18-'Assump - LNG'!$F18)*MIN(1,((YEAR($A99)-YEAR(IF('Assump - LNG'!$D18&gt;='Assump - LNG'!$B$6,EDATE('Assump - LNG'!$D18,'Assump - LNG'!$B$4),'Assump - LNG'!$D18)))*12+MONTH($A99)-MONTH(IF('Assump - LNG'!$D18&gt;='Assump - LNG'!$B$6,EDATE('Assump - LNG'!$D18,'Assump - LNG'!$B$4),'Assump - LNG'!$D18)))/MAX('Assump - LNG'!$E18,1)))*INDEX('Assump - LNG'!$J$38:$J$49,MONTH($A99))))</f>
        <v/>
      </c>
      <c r="AC99" s="14">
        <f>IF('Assump - LNG'!$D19="",0,IF($A99&lt;IF('Assump - LNG'!$D19&gt;='Assump - LNG'!$B$6,EDATE('Assump - LNG'!$D19,'Assump - LNG'!$B$4),'Assump - LNG'!$D19),0,'Assump - LNG'!$C19*('Assump - LNG'!$F19+('Assump - LNG'!$G19-'Assump - LNG'!$F19)*MIN(1,((YEAR($A99)-YEAR(IF('Assump - LNG'!$D19&gt;='Assump - LNG'!$B$6,EDATE('Assump - LNG'!$D19,'Assump - LNG'!$B$4),'Assump - LNG'!$D19)))*12+MONTH($A99)-MONTH(IF('Assump - LNG'!$D19&gt;='Assump - LNG'!$B$6,EDATE('Assump - LNG'!$D19,'Assump - LNG'!$B$4),'Assump - LNG'!$D19)))/MAX('Assump - LNG'!$E19,1)))*INDEX('Assump - LNG'!$J$38:$J$49,MONTH($A99))))</f>
        <v/>
      </c>
      <c r="AD99" s="14">
        <f>IF('Assump - LNG'!$D20="",0,IF($A99&lt;IF('Assump - LNG'!$D20&gt;='Assump - LNG'!$B$6,EDATE('Assump - LNG'!$D20,'Assump - LNG'!$B$4),'Assump - LNG'!$D20),0,'Assump - LNG'!$C20*('Assump - LNG'!$F20+('Assump - LNG'!$G20-'Assump - LNG'!$F20)*MIN(1,((YEAR($A99)-YEAR(IF('Assump - LNG'!$D20&gt;='Assump - LNG'!$B$6,EDATE('Assump - LNG'!$D20,'Assump - LNG'!$B$4),'Assump - LNG'!$D20)))*12+MONTH($A99)-MONTH(IF('Assump - LNG'!$D20&gt;='Assump - LNG'!$B$6,EDATE('Assump - LNG'!$D20,'Assump - LNG'!$B$4),'Assump - LNG'!$D20)))/MAX('Assump - LNG'!$E20,1)))*INDEX('Assump - LNG'!$J$38:$J$49,MONTH($A99))))</f>
        <v/>
      </c>
      <c r="AE99" s="14">
        <f>IF('Assump - LNG'!$D21="",0,IF($A99&lt;IF('Assump - LNG'!$D21&gt;='Assump - LNG'!$B$6,EDATE('Assump - LNG'!$D21,'Assump - LNG'!$B$4),'Assump - LNG'!$D21),0,'Assump - LNG'!$C21*('Assump - LNG'!$F21+('Assump - LNG'!$G21-'Assump - LNG'!$F21)*MIN(1,((YEAR($A99)-YEAR(IF('Assump - LNG'!$D21&gt;='Assump - LNG'!$B$6,EDATE('Assump - LNG'!$D21,'Assump - LNG'!$B$4),'Assump - LNG'!$D21)))*12+MONTH($A99)-MONTH(IF('Assump - LNG'!$D21&gt;='Assump - LNG'!$B$6,EDATE('Assump - LNG'!$D21,'Assump - LNG'!$B$4),'Assump - LNG'!$D21)))/MAX('Assump - LNG'!$E21,1)))*INDEX('Assump - LNG'!$J$38:$J$49,MONTH($A99))))</f>
        <v/>
      </c>
      <c r="AF99" s="14">
        <f>IF('Assump - LNG'!$D22="",0,IF($A99&lt;IF('Assump - LNG'!$D22&gt;='Assump - LNG'!$B$6,EDATE('Assump - LNG'!$D22,'Assump - LNG'!$B$4),'Assump - LNG'!$D22),0,'Assump - LNG'!$C22*('Assump - LNG'!$F22+('Assump - LNG'!$G22-'Assump - LNG'!$F22)*MIN(1,((YEAR($A99)-YEAR(IF('Assump - LNG'!$D22&gt;='Assump - LNG'!$B$6,EDATE('Assump - LNG'!$D22,'Assump - LNG'!$B$4),'Assump - LNG'!$D22)))*12+MONTH($A99)-MONTH(IF('Assump - LNG'!$D22&gt;='Assump - LNG'!$B$6,EDATE('Assump - LNG'!$D22,'Assump - LNG'!$B$4),'Assump - LNG'!$D22)))/MAX('Assump - LNG'!$E22,1)))*INDEX('Assump - LNG'!$J$38:$J$49,MONTH($A99))))</f>
        <v/>
      </c>
      <c r="AG99" s="14">
        <f>IF('Assump - LNG'!$D23="",0,IF($A99&lt;IF('Assump - LNG'!$D23&gt;='Assump - LNG'!$B$6,EDATE('Assump - LNG'!$D23,'Assump - LNG'!$B$4),'Assump - LNG'!$D23),0,'Assump - LNG'!$C23*('Assump - LNG'!$F23+('Assump - LNG'!$G23-'Assump - LNG'!$F23)*MIN(1,((YEAR($A99)-YEAR(IF('Assump - LNG'!$D23&gt;='Assump - LNG'!$B$6,EDATE('Assump - LNG'!$D23,'Assump - LNG'!$B$4),'Assump - LNG'!$D23)))*12+MONTH($A99)-MONTH(IF('Assump - LNG'!$D23&gt;='Assump - LNG'!$B$6,EDATE('Assump - LNG'!$D23,'Assump - LNG'!$B$4),'Assump - LNG'!$D23)))/MAX('Assump - LNG'!$E23,1)))*INDEX('Assump - LNG'!$J$38:$J$49,MONTH($A99))))</f>
        <v/>
      </c>
      <c r="AH99" s="14">
        <f>IF('Assump - LNG'!$D24="",0,IF($A99&lt;IF('Assump - LNG'!$D24&gt;='Assump - LNG'!$B$6,EDATE('Assump - LNG'!$D24,'Assump - LNG'!$B$4),'Assump - LNG'!$D24),0,'Assump - LNG'!$C24*('Assump - LNG'!$F24+('Assump - LNG'!$G24-'Assump - LNG'!$F24)*MIN(1,((YEAR($A99)-YEAR(IF('Assump - LNG'!$D24&gt;='Assump - LNG'!$B$6,EDATE('Assump - LNG'!$D24,'Assump - LNG'!$B$4),'Assump - LNG'!$D24)))*12+MONTH($A99)-MONTH(IF('Assump - LNG'!$D24&gt;='Assump - LNG'!$B$6,EDATE('Assump - LNG'!$D24,'Assump - LNG'!$B$4),'Assump - LNG'!$D24)))/MAX('Assump - LNG'!$E24,1)))*INDEX('Assump - LNG'!$J$38:$J$49,MONTH($A99))))</f>
        <v/>
      </c>
      <c r="AI99" s="14">
        <f>IF('Assump - LNG'!$D25="",0,IF($A99&lt;IF('Assump - LNG'!$D25&gt;='Assump - LNG'!$B$6,EDATE('Assump - LNG'!$D25,'Assump - LNG'!$B$4),'Assump - LNG'!$D25),0,'Assump - LNG'!$C25*('Assump - LNG'!$F25+('Assump - LNG'!$G25-'Assump - LNG'!$F25)*MIN(1,((YEAR($A99)-YEAR(IF('Assump - LNG'!$D25&gt;='Assump - LNG'!$B$6,EDATE('Assump - LNG'!$D25,'Assump - LNG'!$B$4),'Assump - LNG'!$D25)))*12+MONTH($A99)-MONTH(IF('Assump - LNG'!$D25&gt;='Assump - LNG'!$B$6,EDATE('Assump - LNG'!$D25,'Assump - LNG'!$B$4),'Assump - LNG'!$D25)))/MAX('Assump - LNG'!$E25,1)))*INDEX('Assump - LNG'!$J$38:$J$49,MONTH($A99))))</f>
        <v/>
      </c>
      <c r="AJ99" s="14">
        <f>IF('Assump - LNG'!$D26="",0,IF($A99&lt;IF('Assump - LNG'!$D26&gt;='Assump - LNG'!$B$6,EDATE('Assump - LNG'!$D26,'Assump - LNG'!$B$4),'Assump - LNG'!$D26),0,'Assump - LNG'!$C26*('Assump - LNG'!$F26+('Assump - LNG'!$G26-'Assump - LNG'!$F26)*MIN(1,((YEAR($A99)-YEAR(IF('Assump - LNG'!$D26&gt;='Assump - LNG'!$B$6,EDATE('Assump - LNG'!$D26,'Assump - LNG'!$B$4),'Assump - LNG'!$D26)))*12+MONTH($A99)-MONTH(IF('Assump - LNG'!$D26&gt;='Assump - LNG'!$B$6,EDATE('Assump - LNG'!$D26,'Assump - LNG'!$B$4),'Assump - LNG'!$D26)))/MAX('Assump - LNG'!$E26,1)))*INDEX('Assump - LNG'!$J$38:$J$49,MONTH($A99))))</f>
        <v/>
      </c>
      <c r="AK99" s="14">
        <f>IF('Assump - LNG'!$D27="",0,IF($A99&lt;IF('Assump - LNG'!$D27&gt;='Assump - LNG'!$B$6,EDATE('Assump - LNG'!$D27,'Assump - LNG'!$B$4),'Assump - LNG'!$D27),0,'Assump - LNG'!$C27*('Assump - LNG'!$F27+('Assump - LNG'!$G27-'Assump - LNG'!$F27)*MIN(1,((YEAR($A99)-YEAR(IF('Assump - LNG'!$D27&gt;='Assump - LNG'!$B$6,EDATE('Assump - LNG'!$D27,'Assump - LNG'!$B$4),'Assump - LNG'!$D27)))*12+MONTH($A99)-MONTH(IF('Assump - LNG'!$D27&gt;='Assump - LNG'!$B$6,EDATE('Assump - LNG'!$D27,'Assump - LNG'!$B$4),'Assump - LNG'!$D27)))/MAX('Assump - LNG'!$E27,1)))*INDEX('Assump - LNG'!$J$38:$J$49,MONTH($A99))))</f>
        <v/>
      </c>
      <c r="AL99" s="14">
        <f>IF('Assump - LNG'!$D28="",0,IF($A99&lt;IF('Assump - LNG'!$D28&gt;='Assump - LNG'!$B$6,EDATE('Assump - LNG'!$D28,'Assump - LNG'!$B$4),'Assump - LNG'!$D28),0,'Assump - LNG'!$C28*('Assump - LNG'!$F28+('Assump - LNG'!$G28-'Assump - LNG'!$F28)*MIN(1,((YEAR($A99)-YEAR(IF('Assump - LNG'!$D28&gt;='Assump - LNG'!$B$6,EDATE('Assump - LNG'!$D28,'Assump - LNG'!$B$4),'Assump - LNG'!$D28)))*12+MONTH($A99)-MONTH(IF('Assump - LNG'!$D28&gt;='Assump - LNG'!$B$6,EDATE('Assump - LNG'!$D28,'Assump - LNG'!$B$4),'Assump - LNG'!$D28)))/MAX('Assump - LNG'!$E28,1)))*INDEX('Assump - LNG'!$J$38:$J$49,MONTH($A99))))</f>
        <v/>
      </c>
      <c r="AM99" s="14">
        <f>IF('Assump - LNG'!$D29="",0,IF($A99&lt;IF('Assump - LNG'!$D29&gt;='Assump - LNG'!$B$6,EDATE('Assump - LNG'!$D29,'Assump - LNG'!$B$4),'Assump - LNG'!$D29),0,'Assump - LNG'!$C29*('Assump - LNG'!$F29+('Assump - LNG'!$G29-'Assump - LNG'!$F29)*MIN(1,((YEAR($A99)-YEAR(IF('Assump - LNG'!$D29&gt;='Assump - LNG'!$B$6,EDATE('Assump - LNG'!$D29,'Assump - LNG'!$B$4),'Assump - LNG'!$D29)))*12+MONTH($A99)-MONTH(IF('Assump - LNG'!$D29&gt;='Assump - LNG'!$B$6,EDATE('Assump - LNG'!$D29,'Assump - LNG'!$B$4),'Assump - LNG'!$D29)))/MAX('Assump - LNG'!$E29,1)))*INDEX('Assump - LNG'!$J$38:$J$49,MONTH($A99))))</f>
        <v/>
      </c>
      <c r="AN99" s="14">
        <f>IF('Assump - LNG'!$D30="",0,IF($A99&lt;IF('Assump - LNG'!$D30&gt;='Assump - LNG'!$B$6,EDATE('Assump - LNG'!$D30,'Assump - LNG'!$B$4),'Assump - LNG'!$D30),0,'Assump - LNG'!$C30*('Assump - LNG'!$F30+('Assump - LNG'!$G30-'Assump - LNG'!$F30)*MIN(1,((YEAR($A99)-YEAR(IF('Assump - LNG'!$D30&gt;='Assump - LNG'!$B$6,EDATE('Assump - LNG'!$D30,'Assump - LNG'!$B$4),'Assump - LNG'!$D30)))*12+MONTH($A99)-MONTH(IF('Assump - LNG'!$D30&gt;='Assump - LNG'!$B$6,EDATE('Assump - LNG'!$D30,'Assump - LNG'!$B$4),'Assump - LNG'!$D30)))/MAX('Assump - LNG'!$E30,1)))*INDEX('Assump - LNG'!$J$38:$J$49,MONTH($A99))))</f>
        <v/>
      </c>
      <c r="AO99" s="14">
        <f>IF('Assump - LNG'!$D31="",0,IF($A99&lt;IF('Assump - LNG'!$D31&gt;='Assump - LNG'!$B$6,EDATE('Assump - LNG'!$D31,'Assump - LNG'!$B$4),'Assump - LNG'!$D31),0,'Assump - LNG'!$C31*('Assump - LNG'!$F31+('Assump - LNG'!$G31-'Assump - LNG'!$F31)*MIN(1,((YEAR($A99)-YEAR(IF('Assump - LNG'!$D31&gt;='Assump - LNG'!$B$6,EDATE('Assump - LNG'!$D31,'Assump - LNG'!$B$4),'Assump - LNG'!$D31)))*12+MONTH($A99)-MONTH(IF('Assump - LNG'!$D31&gt;='Assump - LNG'!$B$6,EDATE('Assump - LNG'!$D31,'Assump - LNG'!$B$4),'Assump - LNG'!$D31)))/MAX('Assump - LNG'!$E31,1)))*INDEX('Assump - LNG'!$J$38:$J$49,MONTH($A99))))</f>
        <v/>
      </c>
    </row>
    <row r="100">
      <c r="A100" s="12" t="n">
        <v>47058</v>
      </c>
      <c r="B100" s="14">
        <f>IF('Assump - LNG'!$D12="",0,IF($A100&lt;'Assump - LNG'!$D12,0,'Assump - LNG'!$C12*('Assump - LNG'!$F12+('Assump - LNG'!$G12-'Assump - LNG'!$F12)*MIN(1,((YEAR($A100)-YEAR('Assump - LNG'!$D12))*12+MONTH($A100)-MONTH('Assump - LNG'!$D12))/MAX('Assump - LNG'!$E12,1)))*INDEX('Assump - LNG'!$J$38:$J$49,MONTH($A100))))</f>
        <v/>
      </c>
      <c r="C100" s="14">
        <f>IF('Assump - LNG'!$D13="",0,IF($A100&lt;'Assump - LNG'!$D13,0,'Assump - LNG'!$C13*('Assump - LNG'!$F13+('Assump - LNG'!$G13-'Assump - LNG'!$F13)*MIN(1,((YEAR($A100)-YEAR('Assump - LNG'!$D13))*12+MONTH($A100)-MONTH('Assump - LNG'!$D13))/MAX('Assump - LNG'!$E13,1)))*INDEX('Assump - LNG'!$J$38:$J$49,MONTH($A100))))</f>
        <v/>
      </c>
      <c r="D100" s="14">
        <f>IF('Assump - LNG'!$D14="",0,IF($A100&lt;'Assump - LNG'!$D14,0,'Assump - LNG'!$C14*('Assump - LNG'!$F14+('Assump - LNG'!$G14-'Assump - LNG'!$F14)*MIN(1,((YEAR($A100)-YEAR('Assump - LNG'!$D14))*12+MONTH($A100)-MONTH('Assump - LNG'!$D14))/MAX('Assump - LNG'!$E14,1)))*INDEX('Assump - LNG'!$J$38:$J$49,MONTH($A100))))</f>
        <v/>
      </c>
      <c r="E100" s="14">
        <f>IF('Assump - LNG'!$D15="",0,IF($A100&lt;'Assump - LNG'!$D15,0,'Assump - LNG'!$C15*('Assump - LNG'!$F15+('Assump - LNG'!$G15-'Assump - LNG'!$F15)*MIN(1,((YEAR($A100)-YEAR('Assump - LNG'!$D15))*12+MONTH($A100)-MONTH('Assump - LNG'!$D15))/MAX('Assump - LNG'!$E15,1)))*INDEX('Assump - LNG'!$J$38:$J$49,MONTH($A100))))</f>
        <v/>
      </c>
      <c r="F100" s="14">
        <f>IF('Assump - LNG'!$D16="",0,IF($A100&lt;'Assump - LNG'!$D16,0,'Assump - LNG'!$C16*('Assump - LNG'!$F16+('Assump - LNG'!$G16-'Assump - LNG'!$F16)*MIN(1,((YEAR($A100)-YEAR('Assump - LNG'!$D16))*12+MONTH($A100)-MONTH('Assump - LNG'!$D16))/MAX('Assump - LNG'!$E16,1)))*INDEX('Assump - LNG'!$J$38:$J$49,MONTH($A100))))</f>
        <v/>
      </c>
      <c r="G100" s="14">
        <f>IF('Assump - LNG'!$D17="",0,IF($A100&lt;'Assump - LNG'!$D17,0,'Assump - LNG'!$C17*('Assump - LNG'!$F17+('Assump - LNG'!$G17-'Assump - LNG'!$F17)*MIN(1,((YEAR($A100)-YEAR('Assump - LNG'!$D17))*12+MONTH($A100)-MONTH('Assump - LNG'!$D17))/MAX('Assump - LNG'!$E17,1)))*INDEX('Assump - LNG'!$J$38:$J$49,MONTH($A100))))</f>
        <v/>
      </c>
      <c r="H100" s="14">
        <f>IF('Assump - LNG'!$D18="",0,IF($A100&lt;'Assump - LNG'!$D18,0,'Assump - LNG'!$C18*('Assump - LNG'!$F18+('Assump - LNG'!$G18-'Assump - LNG'!$F18)*MIN(1,((YEAR($A100)-YEAR('Assump - LNG'!$D18))*12+MONTH($A100)-MONTH('Assump - LNG'!$D18))/MAX('Assump - LNG'!$E18,1)))*INDEX('Assump - LNG'!$J$38:$J$49,MONTH($A100))))</f>
        <v/>
      </c>
      <c r="I100" s="14">
        <f>IF('Assump - LNG'!$D19="",0,IF($A100&lt;'Assump - LNG'!$D19,0,'Assump - LNG'!$C19*('Assump - LNG'!$F19+('Assump - LNG'!$G19-'Assump - LNG'!$F19)*MIN(1,((YEAR($A100)-YEAR('Assump - LNG'!$D19))*12+MONTH($A100)-MONTH('Assump - LNG'!$D19))/MAX('Assump - LNG'!$E19,1)))*INDEX('Assump - LNG'!$J$38:$J$49,MONTH($A100))))</f>
        <v/>
      </c>
      <c r="J100" s="14">
        <f>IF('Assump - LNG'!$D20="",0,IF($A100&lt;'Assump - LNG'!$D20,0,'Assump - LNG'!$C20*('Assump - LNG'!$F20+('Assump - LNG'!$G20-'Assump - LNG'!$F20)*MIN(1,((YEAR($A100)-YEAR('Assump - LNG'!$D20))*12+MONTH($A100)-MONTH('Assump - LNG'!$D20))/MAX('Assump - LNG'!$E20,1)))*INDEX('Assump - LNG'!$J$38:$J$49,MONTH($A100))))</f>
        <v/>
      </c>
      <c r="K100" s="14">
        <f>IF('Assump - LNG'!$D21="",0,IF($A100&lt;'Assump - LNG'!$D21,0,'Assump - LNG'!$C21*('Assump - LNG'!$F21+('Assump - LNG'!$G21-'Assump - LNG'!$F21)*MIN(1,((YEAR($A100)-YEAR('Assump - LNG'!$D21))*12+MONTH($A100)-MONTH('Assump - LNG'!$D21))/MAX('Assump - LNG'!$E21,1)))*INDEX('Assump - LNG'!$J$38:$J$49,MONTH($A100))))</f>
        <v/>
      </c>
      <c r="L100" s="14">
        <f>IF('Assump - LNG'!$D22="",0,IF($A100&lt;'Assump - LNG'!$D22,0,'Assump - LNG'!$C22*('Assump - LNG'!$F22+('Assump - LNG'!$G22-'Assump - LNG'!$F22)*MIN(1,((YEAR($A100)-YEAR('Assump - LNG'!$D22))*12+MONTH($A100)-MONTH('Assump - LNG'!$D22))/MAX('Assump - LNG'!$E22,1)))*INDEX('Assump - LNG'!$J$38:$J$49,MONTH($A100))))</f>
        <v/>
      </c>
      <c r="M100" s="14">
        <f>IF('Assump - LNG'!$D23="",0,IF($A100&lt;'Assump - LNG'!$D23,0,'Assump - LNG'!$C23*('Assump - LNG'!$F23+('Assump - LNG'!$G23-'Assump - LNG'!$F23)*MIN(1,((YEAR($A100)-YEAR('Assump - LNG'!$D23))*12+MONTH($A100)-MONTH('Assump - LNG'!$D23))/MAX('Assump - LNG'!$E23,1)))*INDEX('Assump - LNG'!$J$38:$J$49,MONTH($A100))))</f>
        <v/>
      </c>
      <c r="N100" s="14">
        <f>IF('Assump - LNG'!$D24="",0,IF($A100&lt;'Assump - LNG'!$D24,0,'Assump - LNG'!$C24*('Assump - LNG'!$F24+('Assump - LNG'!$G24-'Assump - LNG'!$F24)*MIN(1,((YEAR($A100)-YEAR('Assump - LNG'!$D24))*12+MONTH($A100)-MONTH('Assump - LNG'!$D24))/MAX('Assump - LNG'!$E24,1)))*INDEX('Assump - LNG'!$J$38:$J$49,MONTH($A100))))</f>
        <v/>
      </c>
      <c r="O100" s="14">
        <f>IF('Assump - LNG'!$D25="",0,IF($A100&lt;'Assump - LNG'!$D25,0,'Assump - LNG'!$C25*('Assump - LNG'!$F25+('Assump - LNG'!$G25-'Assump - LNG'!$F25)*MIN(1,((YEAR($A100)-YEAR('Assump - LNG'!$D25))*12+MONTH($A100)-MONTH('Assump - LNG'!$D25))/MAX('Assump - LNG'!$E25,1)))*INDEX('Assump - LNG'!$J$38:$J$49,MONTH($A100))))</f>
        <v/>
      </c>
      <c r="P100" s="14">
        <f>IF('Assump - LNG'!$D26="",0,IF($A100&lt;'Assump - LNG'!$D26,0,'Assump - LNG'!$C26*('Assump - LNG'!$F26+('Assump - LNG'!$G26-'Assump - LNG'!$F26)*MIN(1,((YEAR($A100)-YEAR('Assump - LNG'!$D26))*12+MONTH($A100)-MONTH('Assump - LNG'!$D26))/MAX('Assump - LNG'!$E26,1)))*INDEX('Assump - LNG'!$J$38:$J$49,MONTH($A100))))</f>
        <v/>
      </c>
      <c r="Q100" s="14">
        <f>IF('Assump - LNG'!$D27="",0,IF($A100&lt;'Assump - LNG'!$D27,0,'Assump - LNG'!$C27*('Assump - LNG'!$F27+('Assump - LNG'!$G27-'Assump - LNG'!$F27)*MIN(1,((YEAR($A100)-YEAR('Assump - LNG'!$D27))*12+MONTH($A100)-MONTH('Assump - LNG'!$D27))/MAX('Assump - LNG'!$E27,1)))*INDEX('Assump - LNG'!$J$38:$J$49,MONTH($A100))))</f>
        <v/>
      </c>
      <c r="R100" s="14">
        <f>IF('Assump - LNG'!$D28="",0,IF($A100&lt;'Assump - LNG'!$D28,0,'Assump - LNG'!$C28*('Assump - LNG'!$F28+('Assump - LNG'!$G28-'Assump - LNG'!$F28)*MIN(1,((YEAR($A100)-YEAR('Assump - LNG'!$D28))*12+MONTH($A100)-MONTH('Assump - LNG'!$D28))/MAX('Assump - LNG'!$E28,1)))*INDEX('Assump - LNG'!$J$38:$J$49,MONTH($A100))))</f>
        <v/>
      </c>
      <c r="S100" s="14">
        <f>IF('Assump - LNG'!$D29="",0,IF($A100&lt;'Assump - LNG'!$D29,0,'Assump - LNG'!$C29*('Assump - LNG'!$F29+('Assump - LNG'!$G29-'Assump - LNG'!$F29)*MIN(1,((YEAR($A100)-YEAR('Assump - LNG'!$D29))*12+MONTH($A100)-MONTH('Assump - LNG'!$D29))/MAX('Assump - LNG'!$E29,1)))*INDEX('Assump - LNG'!$J$38:$J$49,MONTH($A100))))</f>
        <v/>
      </c>
      <c r="T100" s="14">
        <f>IF('Assump - LNG'!$D30="",0,IF($A100&lt;'Assump - LNG'!$D30,0,'Assump - LNG'!$C30*('Assump - LNG'!$F30+('Assump - LNG'!$G30-'Assump - LNG'!$F30)*MIN(1,((YEAR($A100)-YEAR('Assump - LNG'!$D30))*12+MONTH($A100)-MONTH('Assump - LNG'!$D30))/MAX('Assump - LNG'!$E30,1)))*INDEX('Assump - LNG'!$J$38:$J$49,MONTH($A100))))</f>
        <v/>
      </c>
      <c r="U100" s="14">
        <f>IF('Assump - LNG'!$D31="",0,IF($A100&lt;'Assump - LNG'!$D31,0,'Assump - LNG'!$C31*('Assump - LNG'!$F31+('Assump - LNG'!$G31-'Assump - LNG'!$F31)*MIN(1,((YEAR($A100)-YEAR('Assump - LNG'!$D31))*12+MONTH($A100)-MONTH('Assump - LNG'!$D31))/MAX('Assump - LNG'!$E31,1)))*INDEX('Assump - LNG'!$J$38:$J$49,MONTH($A100))))</f>
        <v/>
      </c>
      <c r="V100" s="14">
        <f>IF('Assump - LNG'!$D12="",0,IF($A100&lt;IF('Assump - LNG'!$D12&gt;='Assump - LNG'!$B$6,EDATE('Assump - LNG'!$D12,'Assump - LNG'!$B$4),'Assump - LNG'!$D12),0,'Assump - LNG'!$C12*('Assump - LNG'!$F12+('Assump - LNG'!$G12-'Assump - LNG'!$F12)*MIN(1,((YEAR($A100)-YEAR(IF('Assump - LNG'!$D12&gt;='Assump - LNG'!$B$6,EDATE('Assump - LNG'!$D12,'Assump - LNG'!$B$4),'Assump - LNG'!$D12)))*12+MONTH($A100)-MONTH(IF('Assump - LNG'!$D12&gt;='Assump - LNG'!$B$6,EDATE('Assump - LNG'!$D12,'Assump - LNG'!$B$4),'Assump - LNG'!$D12)))/MAX('Assump - LNG'!$E12,1)))*INDEX('Assump - LNG'!$J$38:$J$49,MONTH($A100))))</f>
        <v/>
      </c>
      <c r="W100" s="14">
        <f>IF('Assump - LNG'!$D13="",0,IF($A100&lt;IF('Assump - LNG'!$D13&gt;='Assump - LNG'!$B$6,EDATE('Assump - LNG'!$D13,'Assump - LNG'!$B$4),'Assump - LNG'!$D13),0,'Assump - LNG'!$C13*('Assump - LNG'!$F13+('Assump - LNG'!$G13-'Assump - LNG'!$F13)*MIN(1,((YEAR($A100)-YEAR(IF('Assump - LNG'!$D13&gt;='Assump - LNG'!$B$6,EDATE('Assump - LNG'!$D13,'Assump - LNG'!$B$4),'Assump - LNG'!$D13)))*12+MONTH($A100)-MONTH(IF('Assump - LNG'!$D13&gt;='Assump - LNG'!$B$6,EDATE('Assump - LNG'!$D13,'Assump - LNG'!$B$4),'Assump - LNG'!$D13)))/MAX('Assump - LNG'!$E13,1)))*INDEX('Assump - LNG'!$J$38:$J$49,MONTH($A100))))</f>
        <v/>
      </c>
      <c r="X100" s="14">
        <f>IF('Assump - LNG'!$D14="",0,IF($A100&lt;IF('Assump - LNG'!$D14&gt;='Assump - LNG'!$B$6,EDATE('Assump - LNG'!$D14,'Assump - LNG'!$B$4),'Assump - LNG'!$D14),0,'Assump - LNG'!$C14*('Assump - LNG'!$F14+('Assump - LNG'!$G14-'Assump - LNG'!$F14)*MIN(1,((YEAR($A100)-YEAR(IF('Assump - LNG'!$D14&gt;='Assump - LNG'!$B$6,EDATE('Assump - LNG'!$D14,'Assump - LNG'!$B$4),'Assump - LNG'!$D14)))*12+MONTH($A100)-MONTH(IF('Assump - LNG'!$D14&gt;='Assump - LNG'!$B$6,EDATE('Assump - LNG'!$D14,'Assump - LNG'!$B$4),'Assump - LNG'!$D14)))/MAX('Assump - LNG'!$E14,1)))*INDEX('Assump - LNG'!$J$38:$J$49,MONTH($A100))))</f>
        <v/>
      </c>
      <c r="Y100" s="14">
        <f>IF('Assump - LNG'!$D15="",0,IF($A100&lt;IF('Assump - LNG'!$D15&gt;='Assump - LNG'!$B$6,EDATE('Assump - LNG'!$D15,'Assump - LNG'!$B$4),'Assump - LNG'!$D15),0,'Assump - LNG'!$C15*('Assump - LNG'!$F15+('Assump - LNG'!$G15-'Assump - LNG'!$F15)*MIN(1,((YEAR($A100)-YEAR(IF('Assump - LNG'!$D15&gt;='Assump - LNG'!$B$6,EDATE('Assump - LNG'!$D15,'Assump - LNG'!$B$4),'Assump - LNG'!$D15)))*12+MONTH($A100)-MONTH(IF('Assump - LNG'!$D15&gt;='Assump - LNG'!$B$6,EDATE('Assump - LNG'!$D15,'Assump - LNG'!$B$4),'Assump - LNG'!$D15)))/MAX('Assump - LNG'!$E15,1)))*INDEX('Assump - LNG'!$J$38:$J$49,MONTH($A100))))</f>
        <v/>
      </c>
      <c r="Z100" s="14">
        <f>IF('Assump - LNG'!$D16="",0,IF($A100&lt;IF('Assump - LNG'!$D16&gt;='Assump - LNG'!$B$6,EDATE('Assump - LNG'!$D16,'Assump - LNG'!$B$4),'Assump - LNG'!$D16),0,'Assump - LNG'!$C16*('Assump - LNG'!$F16+('Assump - LNG'!$G16-'Assump - LNG'!$F16)*MIN(1,((YEAR($A100)-YEAR(IF('Assump - LNG'!$D16&gt;='Assump - LNG'!$B$6,EDATE('Assump - LNG'!$D16,'Assump - LNG'!$B$4),'Assump - LNG'!$D16)))*12+MONTH($A100)-MONTH(IF('Assump - LNG'!$D16&gt;='Assump - LNG'!$B$6,EDATE('Assump - LNG'!$D16,'Assump - LNG'!$B$4),'Assump - LNG'!$D16)))/MAX('Assump - LNG'!$E16,1)))*INDEX('Assump - LNG'!$J$38:$J$49,MONTH($A100))))</f>
        <v/>
      </c>
      <c r="AA100" s="14">
        <f>IF('Assump - LNG'!$D17="",0,IF($A100&lt;IF('Assump - LNG'!$D17&gt;='Assump - LNG'!$B$6,EDATE('Assump - LNG'!$D17,'Assump - LNG'!$B$4),'Assump - LNG'!$D17),0,'Assump - LNG'!$C17*('Assump - LNG'!$F17+('Assump - LNG'!$G17-'Assump - LNG'!$F17)*MIN(1,((YEAR($A100)-YEAR(IF('Assump - LNG'!$D17&gt;='Assump - LNG'!$B$6,EDATE('Assump - LNG'!$D17,'Assump - LNG'!$B$4),'Assump - LNG'!$D17)))*12+MONTH($A100)-MONTH(IF('Assump - LNG'!$D17&gt;='Assump - LNG'!$B$6,EDATE('Assump - LNG'!$D17,'Assump - LNG'!$B$4),'Assump - LNG'!$D17)))/MAX('Assump - LNG'!$E17,1)))*INDEX('Assump - LNG'!$J$38:$J$49,MONTH($A100))))</f>
        <v/>
      </c>
      <c r="AB100" s="14">
        <f>IF('Assump - LNG'!$D18="",0,IF($A100&lt;IF('Assump - LNG'!$D18&gt;='Assump - LNG'!$B$6,EDATE('Assump - LNG'!$D18,'Assump - LNG'!$B$4),'Assump - LNG'!$D18),0,'Assump - LNG'!$C18*('Assump - LNG'!$F18+('Assump - LNG'!$G18-'Assump - LNG'!$F18)*MIN(1,((YEAR($A100)-YEAR(IF('Assump - LNG'!$D18&gt;='Assump - LNG'!$B$6,EDATE('Assump - LNG'!$D18,'Assump - LNG'!$B$4),'Assump - LNG'!$D18)))*12+MONTH($A100)-MONTH(IF('Assump - LNG'!$D18&gt;='Assump - LNG'!$B$6,EDATE('Assump - LNG'!$D18,'Assump - LNG'!$B$4),'Assump - LNG'!$D18)))/MAX('Assump - LNG'!$E18,1)))*INDEX('Assump - LNG'!$J$38:$J$49,MONTH($A100))))</f>
        <v/>
      </c>
      <c r="AC100" s="14">
        <f>IF('Assump - LNG'!$D19="",0,IF($A100&lt;IF('Assump - LNG'!$D19&gt;='Assump - LNG'!$B$6,EDATE('Assump - LNG'!$D19,'Assump - LNG'!$B$4),'Assump - LNG'!$D19),0,'Assump - LNG'!$C19*('Assump - LNG'!$F19+('Assump - LNG'!$G19-'Assump - LNG'!$F19)*MIN(1,((YEAR($A100)-YEAR(IF('Assump - LNG'!$D19&gt;='Assump - LNG'!$B$6,EDATE('Assump - LNG'!$D19,'Assump - LNG'!$B$4),'Assump - LNG'!$D19)))*12+MONTH($A100)-MONTH(IF('Assump - LNG'!$D19&gt;='Assump - LNG'!$B$6,EDATE('Assump - LNG'!$D19,'Assump - LNG'!$B$4),'Assump - LNG'!$D19)))/MAX('Assump - LNG'!$E19,1)))*INDEX('Assump - LNG'!$J$38:$J$49,MONTH($A100))))</f>
        <v/>
      </c>
      <c r="AD100" s="14">
        <f>IF('Assump - LNG'!$D20="",0,IF($A100&lt;IF('Assump - LNG'!$D20&gt;='Assump - LNG'!$B$6,EDATE('Assump - LNG'!$D20,'Assump - LNG'!$B$4),'Assump - LNG'!$D20),0,'Assump - LNG'!$C20*('Assump - LNG'!$F20+('Assump - LNG'!$G20-'Assump - LNG'!$F20)*MIN(1,((YEAR($A100)-YEAR(IF('Assump - LNG'!$D20&gt;='Assump - LNG'!$B$6,EDATE('Assump - LNG'!$D20,'Assump - LNG'!$B$4),'Assump - LNG'!$D20)))*12+MONTH($A100)-MONTH(IF('Assump - LNG'!$D20&gt;='Assump - LNG'!$B$6,EDATE('Assump - LNG'!$D20,'Assump - LNG'!$B$4),'Assump - LNG'!$D20)))/MAX('Assump - LNG'!$E20,1)))*INDEX('Assump - LNG'!$J$38:$J$49,MONTH($A100))))</f>
        <v/>
      </c>
      <c r="AE100" s="14">
        <f>IF('Assump - LNG'!$D21="",0,IF($A100&lt;IF('Assump - LNG'!$D21&gt;='Assump - LNG'!$B$6,EDATE('Assump - LNG'!$D21,'Assump - LNG'!$B$4),'Assump - LNG'!$D21),0,'Assump - LNG'!$C21*('Assump - LNG'!$F21+('Assump - LNG'!$G21-'Assump - LNG'!$F21)*MIN(1,((YEAR($A100)-YEAR(IF('Assump - LNG'!$D21&gt;='Assump - LNG'!$B$6,EDATE('Assump - LNG'!$D21,'Assump - LNG'!$B$4),'Assump - LNG'!$D21)))*12+MONTH($A100)-MONTH(IF('Assump - LNG'!$D21&gt;='Assump - LNG'!$B$6,EDATE('Assump - LNG'!$D21,'Assump - LNG'!$B$4),'Assump - LNG'!$D21)))/MAX('Assump - LNG'!$E21,1)))*INDEX('Assump - LNG'!$J$38:$J$49,MONTH($A100))))</f>
        <v/>
      </c>
      <c r="AF100" s="14">
        <f>IF('Assump - LNG'!$D22="",0,IF($A100&lt;IF('Assump - LNG'!$D22&gt;='Assump - LNG'!$B$6,EDATE('Assump - LNG'!$D22,'Assump - LNG'!$B$4),'Assump - LNG'!$D22),0,'Assump - LNG'!$C22*('Assump - LNG'!$F22+('Assump - LNG'!$G22-'Assump - LNG'!$F22)*MIN(1,((YEAR($A100)-YEAR(IF('Assump - LNG'!$D22&gt;='Assump - LNG'!$B$6,EDATE('Assump - LNG'!$D22,'Assump - LNG'!$B$4),'Assump - LNG'!$D22)))*12+MONTH($A100)-MONTH(IF('Assump - LNG'!$D22&gt;='Assump - LNG'!$B$6,EDATE('Assump - LNG'!$D22,'Assump - LNG'!$B$4),'Assump - LNG'!$D22)))/MAX('Assump - LNG'!$E22,1)))*INDEX('Assump - LNG'!$J$38:$J$49,MONTH($A100))))</f>
        <v/>
      </c>
      <c r="AG100" s="14">
        <f>IF('Assump - LNG'!$D23="",0,IF($A100&lt;IF('Assump - LNG'!$D23&gt;='Assump - LNG'!$B$6,EDATE('Assump - LNG'!$D23,'Assump - LNG'!$B$4),'Assump - LNG'!$D23),0,'Assump - LNG'!$C23*('Assump - LNG'!$F23+('Assump - LNG'!$G23-'Assump - LNG'!$F23)*MIN(1,((YEAR($A100)-YEAR(IF('Assump - LNG'!$D23&gt;='Assump - LNG'!$B$6,EDATE('Assump - LNG'!$D23,'Assump - LNG'!$B$4),'Assump - LNG'!$D23)))*12+MONTH($A100)-MONTH(IF('Assump - LNG'!$D23&gt;='Assump - LNG'!$B$6,EDATE('Assump - LNG'!$D23,'Assump - LNG'!$B$4),'Assump - LNG'!$D23)))/MAX('Assump - LNG'!$E23,1)))*INDEX('Assump - LNG'!$J$38:$J$49,MONTH($A100))))</f>
        <v/>
      </c>
      <c r="AH100" s="14">
        <f>IF('Assump - LNG'!$D24="",0,IF($A100&lt;IF('Assump - LNG'!$D24&gt;='Assump - LNG'!$B$6,EDATE('Assump - LNG'!$D24,'Assump - LNG'!$B$4),'Assump - LNG'!$D24),0,'Assump - LNG'!$C24*('Assump - LNG'!$F24+('Assump - LNG'!$G24-'Assump - LNG'!$F24)*MIN(1,((YEAR($A100)-YEAR(IF('Assump - LNG'!$D24&gt;='Assump - LNG'!$B$6,EDATE('Assump - LNG'!$D24,'Assump - LNG'!$B$4),'Assump - LNG'!$D24)))*12+MONTH($A100)-MONTH(IF('Assump - LNG'!$D24&gt;='Assump - LNG'!$B$6,EDATE('Assump - LNG'!$D24,'Assump - LNG'!$B$4),'Assump - LNG'!$D24)))/MAX('Assump - LNG'!$E24,1)))*INDEX('Assump - LNG'!$J$38:$J$49,MONTH($A100))))</f>
        <v/>
      </c>
      <c r="AI100" s="14">
        <f>IF('Assump - LNG'!$D25="",0,IF($A100&lt;IF('Assump - LNG'!$D25&gt;='Assump - LNG'!$B$6,EDATE('Assump - LNG'!$D25,'Assump - LNG'!$B$4),'Assump - LNG'!$D25),0,'Assump - LNG'!$C25*('Assump - LNG'!$F25+('Assump - LNG'!$G25-'Assump - LNG'!$F25)*MIN(1,((YEAR($A100)-YEAR(IF('Assump - LNG'!$D25&gt;='Assump - LNG'!$B$6,EDATE('Assump - LNG'!$D25,'Assump - LNG'!$B$4),'Assump - LNG'!$D25)))*12+MONTH($A100)-MONTH(IF('Assump - LNG'!$D25&gt;='Assump - LNG'!$B$6,EDATE('Assump - LNG'!$D25,'Assump - LNG'!$B$4),'Assump - LNG'!$D25)))/MAX('Assump - LNG'!$E25,1)))*INDEX('Assump - LNG'!$J$38:$J$49,MONTH($A100))))</f>
        <v/>
      </c>
      <c r="AJ100" s="14">
        <f>IF('Assump - LNG'!$D26="",0,IF($A100&lt;IF('Assump - LNG'!$D26&gt;='Assump - LNG'!$B$6,EDATE('Assump - LNG'!$D26,'Assump - LNG'!$B$4),'Assump - LNG'!$D26),0,'Assump - LNG'!$C26*('Assump - LNG'!$F26+('Assump - LNG'!$G26-'Assump - LNG'!$F26)*MIN(1,((YEAR($A100)-YEAR(IF('Assump - LNG'!$D26&gt;='Assump - LNG'!$B$6,EDATE('Assump - LNG'!$D26,'Assump - LNG'!$B$4),'Assump - LNG'!$D26)))*12+MONTH($A100)-MONTH(IF('Assump - LNG'!$D26&gt;='Assump - LNG'!$B$6,EDATE('Assump - LNG'!$D26,'Assump - LNG'!$B$4),'Assump - LNG'!$D26)))/MAX('Assump - LNG'!$E26,1)))*INDEX('Assump - LNG'!$J$38:$J$49,MONTH($A100))))</f>
        <v/>
      </c>
      <c r="AK100" s="14">
        <f>IF('Assump - LNG'!$D27="",0,IF($A100&lt;IF('Assump - LNG'!$D27&gt;='Assump - LNG'!$B$6,EDATE('Assump - LNG'!$D27,'Assump - LNG'!$B$4),'Assump - LNG'!$D27),0,'Assump - LNG'!$C27*('Assump - LNG'!$F27+('Assump - LNG'!$G27-'Assump - LNG'!$F27)*MIN(1,((YEAR($A100)-YEAR(IF('Assump - LNG'!$D27&gt;='Assump - LNG'!$B$6,EDATE('Assump - LNG'!$D27,'Assump - LNG'!$B$4),'Assump - LNG'!$D27)))*12+MONTH($A100)-MONTH(IF('Assump - LNG'!$D27&gt;='Assump - LNG'!$B$6,EDATE('Assump - LNG'!$D27,'Assump - LNG'!$B$4),'Assump - LNG'!$D27)))/MAX('Assump - LNG'!$E27,1)))*INDEX('Assump - LNG'!$J$38:$J$49,MONTH($A100))))</f>
        <v/>
      </c>
      <c r="AL100" s="14">
        <f>IF('Assump - LNG'!$D28="",0,IF($A100&lt;IF('Assump - LNG'!$D28&gt;='Assump - LNG'!$B$6,EDATE('Assump - LNG'!$D28,'Assump - LNG'!$B$4),'Assump - LNG'!$D28),0,'Assump - LNG'!$C28*('Assump - LNG'!$F28+('Assump - LNG'!$G28-'Assump - LNG'!$F28)*MIN(1,((YEAR($A100)-YEAR(IF('Assump - LNG'!$D28&gt;='Assump - LNG'!$B$6,EDATE('Assump - LNG'!$D28,'Assump - LNG'!$B$4),'Assump - LNG'!$D28)))*12+MONTH($A100)-MONTH(IF('Assump - LNG'!$D28&gt;='Assump - LNG'!$B$6,EDATE('Assump - LNG'!$D28,'Assump - LNG'!$B$4),'Assump - LNG'!$D28)))/MAX('Assump - LNG'!$E28,1)))*INDEX('Assump - LNG'!$J$38:$J$49,MONTH($A100))))</f>
        <v/>
      </c>
      <c r="AM100" s="14">
        <f>IF('Assump - LNG'!$D29="",0,IF($A100&lt;IF('Assump - LNG'!$D29&gt;='Assump - LNG'!$B$6,EDATE('Assump - LNG'!$D29,'Assump - LNG'!$B$4),'Assump - LNG'!$D29),0,'Assump - LNG'!$C29*('Assump - LNG'!$F29+('Assump - LNG'!$G29-'Assump - LNG'!$F29)*MIN(1,((YEAR($A100)-YEAR(IF('Assump - LNG'!$D29&gt;='Assump - LNG'!$B$6,EDATE('Assump - LNG'!$D29,'Assump - LNG'!$B$4),'Assump - LNG'!$D29)))*12+MONTH($A100)-MONTH(IF('Assump - LNG'!$D29&gt;='Assump - LNG'!$B$6,EDATE('Assump - LNG'!$D29,'Assump - LNG'!$B$4),'Assump - LNG'!$D29)))/MAX('Assump - LNG'!$E29,1)))*INDEX('Assump - LNG'!$J$38:$J$49,MONTH($A100))))</f>
        <v/>
      </c>
      <c r="AN100" s="14">
        <f>IF('Assump - LNG'!$D30="",0,IF($A100&lt;IF('Assump - LNG'!$D30&gt;='Assump - LNG'!$B$6,EDATE('Assump - LNG'!$D30,'Assump - LNG'!$B$4),'Assump - LNG'!$D30),0,'Assump - LNG'!$C30*('Assump - LNG'!$F30+('Assump - LNG'!$G30-'Assump - LNG'!$F30)*MIN(1,((YEAR($A100)-YEAR(IF('Assump - LNG'!$D30&gt;='Assump - LNG'!$B$6,EDATE('Assump - LNG'!$D30,'Assump - LNG'!$B$4),'Assump - LNG'!$D30)))*12+MONTH($A100)-MONTH(IF('Assump - LNG'!$D30&gt;='Assump - LNG'!$B$6,EDATE('Assump - LNG'!$D30,'Assump - LNG'!$B$4),'Assump - LNG'!$D30)))/MAX('Assump - LNG'!$E30,1)))*INDEX('Assump - LNG'!$J$38:$J$49,MONTH($A100))))</f>
        <v/>
      </c>
      <c r="AO100" s="14">
        <f>IF('Assump - LNG'!$D31="",0,IF($A100&lt;IF('Assump - LNG'!$D31&gt;='Assump - LNG'!$B$6,EDATE('Assump - LNG'!$D31,'Assump - LNG'!$B$4),'Assump - LNG'!$D31),0,'Assump - LNG'!$C31*('Assump - LNG'!$F31+('Assump - LNG'!$G31-'Assump - LNG'!$F31)*MIN(1,((YEAR($A100)-YEAR(IF('Assump - LNG'!$D31&gt;='Assump - LNG'!$B$6,EDATE('Assump - LNG'!$D31,'Assump - LNG'!$B$4),'Assump - LNG'!$D31)))*12+MONTH($A100)-MONTH(IF('Assump - LNG'!$D31&gt;='Assump - LNG'!$B$6,EDATE('Assump - LNG'!$D31,'Assump - LNG'!$B$4),'Assump - LNG'!$D31)))/MAX('Assump - LNG'!$E31,1)))*INDEX('Assump - LNG'!$J$38:$J$49,MONTH($A100))))</f>
        <v/>
      </c>
    </row>
    <row r="101">
      <c r="A101" s="12" t="n">
        <v>47088</v>
      </c>
      <c r="B101" s="14">
        <f>IF('Assump - LNG'!$D12="",0,IF($A101&lt;'Assump - LNG'!$D12,0,'Assump - LNG'!$C12*('Assump - LNG'!$F12+('Assump - LNG'!$G12-'Assump - LNG'!$F12)*MIN(1,((YEAR($A101)-YEAR('Assump - LNG'!$D12))*12+MONTH($A101)-MONTH('Assump - LNG'!$D12))/MAX('Assump - LNG'!$E12,1)))*INDEX('Assump - LNG'!$J$38:$J$49,MONTH($A101))))</f>
        <v/>
      </c>
      <c r="C101" s="14">
        <f>IF('Assump - LNG'!$D13="",0,IF($A101&lt;'Assump - LNG'!$D13,0,'Assump - LNG'!$C13*('Assump - LNG'!$F13+('Assump - LNG'!$G13-'Assump - LNG'!$F13)*MIN(1,((YEAR($A101)-YEAR('Assump - LNG'!$D13))*12+MONTH($A101)-MONTH('Assump - LNG'!$D13))/MAX('Assump - LNG'!$E13,1)))*INDEX('Assump - LNG'!$J$38:$J$49,MONTH($A101))))</f>
        <v/>
      </c>
      <c r="D101" s="14">
        <f>IF('Assump - LNG'!$D14="",0,IF($A101&lt;'Assump - LNG'!$D14,0,'Assump - LNG'!$C14*('Assump - LNG'!$F14+('Assump - LNG'!$G14-'Assump - LNG'!$F14)*MIN(1,((YEAR($A101)-YEAR('Assump - LNG'!$D14))*12+MONTH($A101)-MONTH('Assump - LNG'!$D14))/MAX('Assump - LNG'!$E14,1)))*INDEX('Assump - LNG'!$J$38:$J$49,MONTH($A101))))</f>
        <v/>
      </c>
      <c r="E101" s="14">
        <f>IF('Assump - LNG'!$D15="",0,IF($A101&lt;'Assump - LNG'!$D15,0,'Assump - LNG'!$C15*('Assump - LNG'!$F15+('Assump - LNG'!$G15-'Assump - LNG'!$F15)*MIN(1,((YEAR($A101)-YEAR('Assump - LNG'!$D15))*12+MONTH($A101)-MONTH('Assump - LNG'!$D15))/MAX('Assump - LNG'!$E15,1)))*INDEX('Assump - LNG'!$J$38:$J$49,MONTH($A101))))</f>
        <v/>
      </c>
      <c r="F101" s="14">
        <f>IF('Assump - LNG'!$D16="",0,IF($A101&lt;'Assump - LNG'!$D16,0,'Assump - LNG'!$C16*('Assump - LNG'!$F16+('Assump - LNG'!$G16-'Assump - LNG'!$F16)*MIN(1,((YEAR($A101)-YEAR('Assump - LNG'!$D16))*12+MONTH($A101)-MONTH('Assump - LNG'!$D16))/MAX('Assump - LNG'!$E16,1)))*INDEX('Assump - LNG'!$J$38:$J$49,MONTH($A101))))</f>
        <v/>
      </c>
      <c r="G101" s="14">
        <f>IF('Assump - LNG'!$D17="",0,IF($A101&lt;'Assump - LNG'!$D17,0,'Assump - LNG'!$C17*('Assump - LNG'!$F17+('Assump - LNG'!$G17-'Assump - LNG'!$F17)*MIN(1,((YEAR($A101)-YEAR('Assump - LNG'!$D17))*12+MONTH($A101)-MONTH('Assump - LNG'!$D17))/MAX('Assump - LNG'!$E17,1)))*INDEX('Assump - LNG'!$J$38:$J$49,MONTH($A101))))</f>
        <v/>
      </c>
      <c r="H101" s="14">
        <f>IF('Assump - LNG'!$D18="",0,IF($A101&lt;'Assump - LNG'!$D18,0,'Assump - LNG'!$C18*('Assump - LNG'!$F18+('Assump - LNG'!$G18-'Assump - LNG'!$F18)*MIN(1,((YEAR($A101)-YEAR('Assump - LNG'!$D18))*12+MONTH($A101)-MONTH('Assump - LNG'!$D18))/MAX('Assump - LNG'!$E18,1)))*INDEX('Assump - LNG'!$J$38:$J$49,MONTH($A101))))</f>
        <v/>
      </c>
      <c r="I101" s="14">
        <f>IF('Assump - LNG'!$D19="",0,IF($A101&lt;'Assump - LNG'!$D19,0,'Assump - LNG'!$C19*('Assump - LNG'!$F19+('Assump - LNG'!$G19-'Assump - LNG'!$F19)*MIN(1,((YEAR($A101)-YEAR('Assump - LNG'!$D19))*12+MONTH($A101)-MONTH('Assump - LNG'!$D19))/MAX('Assump - LNG'!$E19,1)))*INDEX('Assump - LNG'!$J$38:$J$49,MONTH($A101))))</f>
        <v/>
      </c>
      <c r="J101" s="14">
        <f>IF('Assump - LNG'!$D20="",0,IF($A101&lt;'Assump - LNG'!$D20,0,'Assump - LNG'!$C20*('Assump - LNG'!$F20+('Assump - LNG'!$G20-'Assump - LNG'!$F20)*MIN(1,((YEAR($A101)-YEAR('Assump - LNG'!$D20))*12+MONTH($A101)-MONTH('Assump - LNG'!$D20))/MAX('Assump - LNG'!$E20,1)))*INDEX('Assump - LNG'!$J$38:$J$49,MONTH($A101))))</f>
        <v/>
      </c>
      <c r="K101" s="14">
        <f>IF('Assump - LNG'!$D21="",0,IF($A101&lt;'Assump - LNG'!$D21,0,'Assump - LNG'!$C21*('Assump - LNG'!$F21+('Assump - LNG'!$G21-'Assump - LNG'!$F21)*MIN(1,((YEAR($A101)-YEAR('Assump - LNG'!$D21))*12+MONTH($A101)-MONTH('Assump - LNG'!$D21))/MAX('Assump - LNG'!$E21,1)))*INDEX('Assump - LNG'!$J$38:$J$49,MONTH($A101))))</f>
        <v/>
      </c>
      <c r="L101" s="14">
        <f>IF('Assump - LNG'!$D22="",0,IF($A101&lt;'Assump - LNG'!$D22,0,'Assump - LNG'!$C22*('Assump - LNG'!$F22+('Assump - LNG'!$G22-'Assump - LNG'!$F22)*MIN(1,((YEAR($A101)-YEAR('Assump - LNG'!$D22))*12+MONTH($A101)-MONTH('Assump - LNG'!$D22))/MAX('Assump - LNG'!$E22,1)))*INDEX('Assump - LNG'!$J$38:$J$49,MONTH($A101))))</f>
        <v/>
      </c>
      <c r="M101" s="14">
        <f>IF('Assump - LNG'!$D23="",0,IF($A101&lt;'Assump - LNG'!$D23,0,'Assump - LNG'!$C23*('Assump - LNG'!$F23+('Assump - LNG'!$G23-'Assump - LNG'!$F23)*MIN(1,((YEAR($A101)-YEAR('Assump - LNG'!$D23))*12+MONTH($A101)-MONTH('Assump - LNG'!$D23))/MAX('Assump - LNG'!$E23,1)))*INDEX('Assump - LNG'!$J$38:$J$49,MONTH($A101))))</f>
        <v/>
      </c>
      <c r="N101" s="14">
        <f>IF('Assump - LNG'!$D24="",0,IF($A101&lt;'Assump - LNG'!$D24,0,'Assump - LNG'!$C24*('Assump - LNG'!$F24+('Assump - LNG'!$G24-'Assump - LNG'!$F24)*MIN(1,((YEAR($A101)-YEAR('Assump - LNG'!$D24))*12+MONTH($A101)-MONTH('Assump - LNG'!$D24))/MAX('Assump - LNG'!$E24,1)))*INDEX('Assump - LNG'!$J$38:$J$49,MONTH($A101))))</f>
        <v/>
      </c>
      <c r="O101" s="14">
        <f>IF('Assump - LNG'!$D25="",0,IF($A101&lt;'Assump - LNG'!$D25,0,'Assump - LNG'!$C25*('Assump - LNG'!$F25+('Assump - LNG'!$G25-'Assump - LNG'!$F25)*MIN(1,((YEAR($A101)-YEAR('Assump - LNG'!$D25))*12+MONTH($A101)-MONTH('Assump - LNG'!$D25))/MAX('Assump - LNG'!$E25,1)))*INDEX('Assump - LNG'!$J$38:$J$49,MONTH($A101))))</f>
        <v/>
      </c>
      <c r="P101" s="14">
        <f>IF('Assump - LNG'!$D26="",0,IF($A101&lt;'Assump - LNG'!$D26,0,'Assump - LNG'!$C26*('Assump - LNG'!$F26+('Assump - LNG'!$G26-'Assump - LNG'!$F26)*MIN(1,((YEAR($A101)-YEAR('Assump - LNG'!$D26))*12+MONTH($A101)-MONTH('Assump - LNG'!$D26))/MAX('Assump - LNG'!$E26,1)))*INDEX('Assump - LNG'!$J$38:$J$49,MONTH($A101))))</f>
        <v/>
      </c>
      <c r="Q101" s="14">
        <f>IF('Assump - LNG'!$D27="",0,IF($A101&lt;'Assump - LNG'!$D27,0,'Assump - LNG'!$C27*('Assump - LNG'!$F27+('Assump - LNG'!$G27-'Assump - LNG'!$F27)*MIN(1,((YEAR($A101)-YEAR('Assump - LNG'!$D27))*12+MONTH($A101)-MONTH('Assump - LNG'!$D27))/MAX('Assump - LNG'!$E27,1)))*INDEX('Assump - LNG'!$J$38:$J$49,MONTH($A101))))</f>
        <v/>
      </c>
      <c r="R101" s="14">
        <f>IF('Assump - LNG'!$D28="",0,IF($A101&lt;'Assump - LNG'!$D28,0,'Assump - LNG'!$C28*('Assump - LNG'!$F28+('Assump - LNG'!$G28-'Assump - LNG'!$F28)*MIN(1,((YEAR($A101)-YEAR('Assump - LNG'!$D28))*12+MONTH($A101)-MONTH('Assump - LNG'!$D28))/MAX('Assump - LNG'!$E28,1)))*INDEX('Assump - LNG'!$J$38:$J$49,MONTH($A101))))</f>
        <v/>
      </c>
      <c r="S101" s="14">
        <f>IF('Assump - LNG'!$D29="",0,IF($A101&lt;'Assump - LNG'!$D29,0,'Assump - LNG'!$C29*('Assump - LNG'!$F29+('Assump - LNG'!$G29-'Assump - LNG'!$F29)*MIN(1,((YEAR($A101)-YEAR('Assump - LNG'!$D29))*12+MONTH($A101)-MONTH('Assump - LNG'!$D29))/MAX('Assump - LNG'!$E29,1)))*INDEX('Assump - LNG'!$J$38:$J$49,MONTH($A101))))</f>
        <v/>
      </c>
      <c r="T101" s="14">
        <f>IF('Assump - LNG'!$D30="",0,IF($A101&lt;'Assump - LNG'!$D30,0,'Assump - LNG'!$C30*('Assump - LNG'!$F30+('Assump - LNG'!$G30-'Assump - LNG'!$F30)*MIN(1,((YEAR($A101)-YEAR('Assump - LNG'!$D30))*12+MONTH($A101)-MONTH('Assump - LNG'!$D30))/MAX('Assump - LNG'!$E30,1)))*INDEX('Assump - LNG'!$J$38:$J$49,MONTH($A101))))</f>
        <v/>
      </c>
      <c r="U101" s="14">
        <f>IF('Assump - LNG'!$D31="",0,IF($A101&lt;'Assump - LNG'!$D31,0,'Assump - LNG'!$C31*('Assump - LNG'!$F31+('Assump - LNG'!$G31-'Assump - LNG'!$F31)*MIN(1,((YEAR($A101)-YEAR('Assump - LNG'!$D31))*12+MONTH($A101)-MONTH('Assump - LNG'!$D31))/MAX('Assump - LNG'!$E31,1)))*INDEX('Assump - LNG'!$J$38:$J$49,MONTH($A101))))</f>
        <v/>
      </c>
      <c r="V101" s="14">
        <f>IF('Assump - LNG'!$D12="",0,IF($A101&lt;IF('Assump - LNG'!$D12&gt;='Assump - LNG'!$B$6,EDATE('Assump - LNG'!$D12,'Assump - LNG'!$B$4),'Assump - LNG'!$D12),0,'Assump - LNG'!$C12*('Assump - LNG'!$F12+('Assump - LNG'!$G12-'Assump - LNG'!$F12)*MIN(1,((YEAR($A101)-YEAR(IF('Assump - LNG'!$D12&gt;='Assump - LNG'!$B$6,EDATE('Assump - LNG'!$D12,'Assump - LNG'!$B$4),'Assump - LNG'!$D12)))*12+MONTH($A101)-MONTH(IF('Assump - LNG'!$D12&gt;='Assump - LNG'!$B$6,EDATE('Assump - LNG'!$D12,'Assump - LNG'!$B$4),'Assump - LNG'!$D12)))/MAX('Assump - LNG'!$E12,1)))*INDEX('Assump - LNG'!$J$38:$J$49,MONTH($A101))))</f>
        <v/>
      </c>
      <c r="W101" s="14">
        <f>IF('Assump - LNG'!$D13="",0,IF($A101&lt;IF('Assump - LNG'!$D13&gt;='Assump - LNG'!$B$6,EDATE('Assump - LNG'!$D13,'Assump - LNG'!$B$4),'Assump - LNG'!$D13),0,'Assump - LNG'!$C13*('Assump - LNG'!$F13+('Assump - LNG'!$G13-'Assump - LNG'!$F13)*MIN(1,((YEAR($A101)-YEAR(IF('Assump - LNG'!$D13&gt;='Assump - LNG'!$B$6,EDATE('Assump - LNG'!$D13,'Assump - LNG'!$B$4),'Assump - LNG'!$D13)))*12+MONTH($A101)-MONTH(IF('Assump - LNG'!$D13&gt;='Assump - LNG'!$B$6,EDATE('Assump - LNG'!$D13,'Assump - LNG'!$B$4),'Assump - LNG'!$D13)))/MAX('Assump - LNG'!$E13,1)))*INDEX('Assump - LNG'!$J$38:$J$49,MONTH($A101))))</f>
        <v/>
      </c>
      <c r="X101" s="14">
        <f>IF('Assump - LNG'!$D14="",0,IF($A101&lt;IF('Assump - LNG'!$D14&gt;='Assump - LNG'!$B$6,EDATE('Assump - LNG'!$D14,'Assump - LNG'!$B$4),'Assump - LNG'!$D14),0,'Assump - LNG'!$C14*('Assump - LNG'!$F14+('Assump - LNG'!$G14-'Assump - LNG'!$F14)*MIN(1,((YEAR($A101)-YEAR(IF('Assump - LNG'!$D14&gt;='Assump - LNG'!$B$6,EDATE('Assump - LNG'!$D14,'Assump - LNG'!$B$4),'Assump - LNG'!$D14)))*12+MONTH($A101)-MONTH(IF('Assump - LNG'!$D14&gt;='Assump - LNG'!$B$6,EDATE('Assump - LNG'!$D14,'Assump - LNG'!$B$4),'Assump - LNG'!$D14)))/MAX('Assump - LNG'!$E14,1)))*INDEX('Assump - LNG'!$J$38:$J$49,MONTH($A101))))</f>
        <v/>
      </c>
      <c r="Y101" s="14">
        <f>IF('Assump - LNG'!$D15="",0,IF($A101&lt;IF('Assump - LNG'!$D15&gt;='Assump - LNG'!$B$6,EDATE('Assump - LNG'!$D15,'Assump - LNG'!$B$4),'Assump - LNG'!$D15),0,'Assump - LNG'!$C15*('Assump - LNG'!$F15+('Assump - LNG'!$G15-'Assump - LNG'!$F15)*MIN(1,((YEAR($A101)-YEAR(IF('Assump - LNG'!$D15&gt;='Assump - LNG'!$B$6,EDATE('Assump - LNG'!$D15,'Assump - LNG'!$B$4),'Assump - LNG'!$D15)))*12+MONTH($A101)-MONTH(IF('Assump - LNG'!$D15&gt;='Assump - LNG'!$B$6,EDATE('Assump - LNG'!$D15,'Assump - LNG'!$B$4),'Assump - LNG'!$D15)))/MAX('Assump - LNG'!$E15,1)))*INDEX('Assump - LNG'!$J$38:$J$49,MONTH($A101))))</f>
        <v/>
      </c>
      <c r="Z101" s="14">
        <f>IF('Assump - LNG'!$D16="",0,IF($A101&lt;IF('Assump - LNG'!$D16&gt;='Assump - LNG'!$B$6,EDATE('Assump - LNG'!$D16,'Assump - LNG'!$B$4),'Assump - LNG'!$D16),0,'Assump - LNG'!$C16*('Assump - LNG'!$F16+('Assump - LNG'!$G16-'Assump - LNG'!$F16)*MIN(1,((YEAR($A101)-YEAR(IF('Assump - LNG'!$D16&gt;='Assump - LNG'!$B$6,EDATE('Assump - LNG'!$D16,'Assump - LNG'!$B$4),'Assump - LNG'!$D16)))*12+MONTH($A101)-MONTH(IF('Assump - LNG'!$D16&gt;='Assump - LNG'!$B$6,EDATE('Assump - LNG'!$D16,'Assump - LNG'!$B$4),'Assump - LNG'!$D16)))/MAX('Assump - LNG'!$E16,1)))*INDEX('Assump - LNG'!$J$38:$J$49,MONTH($A101))))</f>
        <v/>
      </c>
      <c r="AA101" s="14">
        <f>IF('Assump - LNG'!$D17="",0,IF($A101&lt;IF('Assump - LNG'!$D17&gt;='Assump - LNG'!$B$6,EDATE('Assump - LNG'!$D17,'Assump - LNG'!$B$4),'Assump - LNG'!$D17),0,'Assump - LNG'!$C17*('Assump - LNG'!$F17+('Assump - LNG'!$G17-'Assump - LNG'!$F17)*MIN(1,((YEAR($A101)-YEAR(IF('Assump - LNG'!$D17&gt;='Assump - LNG'!$B$6,EDATE('Assump - LNG'!$D17,'Assump - LNG'!$B$4),'Assump - LNG'!$D17)))*12+MONTH($A101)-MONTH(IF('Assump - LNG'!$D17&gt;='Assump - LNG'!$B$6,EDATE('Assump - LNG'!$D17,'Assump - LNG'!$B$4),'Assump - LNG'!$D17)))/MAX('Assump - LNG'!$E17,1)))*INDEX('Assump - LNG'!$J$38:$J$49,MONTH($A101))))</f>
        <v/>
      </c>
      <c r="AB101" s="14">
        <f>IF('Assump - LNG'!$D18="",0,IF($A101&lt;IF('Assump - LNG'!$D18&gt;='Assump - LNG'!$B$6,EDATE('Assump - LNG'!$D18,'Assump - LNG'!$B$4),'Assump - LNG'!$D18),0,'Assump - LNG'!$C18*('Assump - LNG'!$F18+('Assump - LNG'!$G18-'Assump - LNG'!$F18)*MIN(1,((YEAR($A101)-YEAR(IF('Assump - LNG'!$D18&gt;='Assump - LNG'!$B$6,EDATE('Assump - LNG'!$D18,'Assump - LNG'!$B$4),'Assump - LNG'!$D18)))*12+MONTH($A101)-MONTH(IF('Assump - LNG'!$D18&gt;='Assump - LNG'!$B$6,EDATE('Assump - LNG'!$D18,'Assump - LNG'!$B$4),'Assump - LNG'!$D18)))/MAX('Assump - LNG'!$E18,1)))*INDEX('Assump - LNG'!$J$38:$J$49,MONTH($A101))))</f>
        <v/>
      </c>
      <c r="AC101" s="14">
        <f>IF('Assump - LNG'!$D19="",0,IF($A101&lt;IF('Assump - LNG'!$D19&gt;='Assump - LNG'!$B$6,EDATE('Assump - LNG'!$D19,'Assump - LNG'!$B$4),'Assump - LNG'!$D19),0,'Assump - LNG'!$C19*('Assump - LNG'!$F19+('Assump - LNG'!$G19-'Assump - LNG'!$F19)*MIN(1,((YEAR($A101)-YEAR(IF('Assump - LNG'!$D19&gt;='Assump - LNG'!$B$6,EDATE('Assump - LNG'!$D19,'Assump - LNG'!$B$4),'Assump - LNG'!$D19)))*12+MONTH($A101)-MONTH(IF('Assump - LNG'!$D19&gt;='Assump - LNG'!$B$6,EDATE('Assump - LNG'!$D19,'Assump - LNG'!$B$4),'Assump - LNG'!$D19)))/MAX('Assump - LNG'!$E19,1)))*INDEX('Assump - LNG'!$J$38:$J$49,MONTH($A101))))</f>
        <v/>
      </c>
      <c r="AD101" s="14">
        <f>IF('Assump - LNG'!$D20="",0,IF($A101&lt;IF('Assump - LNG'!$D20&gt;='Assump - LNG'!$B$6,EDATE('Assump - LNG'!$D20,'Assump - LNG'!$B$4),'Assump - LNG'!$D20),0,'Assump - LNG'!$C20*('Assump - LNG'!$F20+('Assump - LNG'!$G20-'Assump - LNG'!$F20)*MIN(1,((YEAR($A101)-YEAR(IF('Assump - LNG'!$D20&gt;='Assump - LNG'!$B$6,EDATE('Assump - LNG'!$D20,'Assump - LNG'!$B$4),'Assump - LNG'!$D20)))*12+MONTH($A101)-MONTH(IF('Assump - LNG'!$D20&gt;='Assump - LNG'!$B$6,EDATE('Assump - LNG'!$D20,'Assump - LNG'!$B$4),'Assump - LNG'!$D20)))/MAX('Assump - LNG'!$E20,1)))*INDEX('Assump - LNG'!$J$38:$J$49,MONTH($A101))))</f>
        <v/>
      </c>
      <c r="AE101" s="14">
        <f>IF('Assump - LNG'!$D21="",0,IF($A101&lt;IF('Assump - LNG'!$D21&gt;='Assump - LNG'!$B$6,EDATE('Assump - LNG'!$D21,'Assump - LNG'!$B$4),'Assump - LNG'!$D21),0,'Assump - LNG'!$C21*('Assump - LNG'!$F21+('Assump - LNG'!$G21-'Assump - LNG'!$F21)*MIN(1,((YEAR($A101)-YEAR(IF('Assump - LNG'!$D21&gt;='Assump - LNG'!$B$6,EDATE('Assump - LNG'!$D21,'Assump - LNG'!$B$4),'Assump - LNG'!$D21)))*12+MONTH($A101)-MONTH(IF('Assump - LNG'!$D21&gt;='Assump - LNG'!$B$6,EDATE('Assump - LNG'!$D21,'Assump - LNG'!$B$4),'Assump - LNG'!$D21)))/MAX('Assump - LNG'!$E21,1)))*INDEX('Assump - LNG'!$J$38:$J$49,MONTH($A101))))</f>
        <v/>
      </c>
      <c r="AF101" s="14">
        <f>IF('Assump - LNG'!$D22="",0,IF($A101&lt;IF('Assump - LNG'!$D22&gt;='Assump - LNG'!$B$6,EDATE('Assump - LNG'!$D22,'Assump - LNG'!$B$4),'Assump - LNG'!$D22),0,'Assump - LNG'!$C22*('Assump - LNG'!$F22+('Assump - LNG'!$G22-'Assump - LNG'!$F22)*MIN(1,((YEAR($A101)-YEAR(IF('Assump - LNG'!$D22&gt;='Assump - LNG'!$B$6,EDATE('Assump - LNG'!$D22,'Assump - LNG'!$B$4),'Assump - LNG'!$D22)))*12+MONTH($A101)-MONTH(IF('Assump - LNG'!$D22&gt;='Assump - LNG'!$B$6,EDATE('Assump - LNG'!$D22,'Assump - LNG'!$B$4),'Assump - LNG'!$D22)))/MAX('Assump - LNG'!$E22,1)))*INDEX('Assump - LNG'!$J$38:$J$49,MONTH($A101))))</f>
        <v/>
      </c>
      <c r="AG101" s="14">
        <f>IF('Assump - LNG'!$D23="",0,IF($A101&lt;IF('Assump - LNG'!$D23&gt;='Assump - LNG'!$B$6,EDATE('Assump - LNG'!$D23,'Assump - LNG'!$B$4),'Assump - LNG'!$D23),0,'Assump - LNG'!$C23*('Assump - LNG'!$F23+('Assump - LNG'!$G23-'Assump - LNG'!$F23)*MIN(1,((YEAR($A101)-YEAR(IF('Assump - LNG'!$D23&gt;='Assump - LNG'!$B$6,EDATE('Assump - LNG'!$D23,'Assump - LNG'!$B$4),'Assump - LNG'!$D23)))*12+MONTH($A101)-MONTH(IF('Assump - LNG'!$D23&gt;='Assump - LNG'!$B$6,EDATE('Assump - LNG'!$D23,'Assump - LNG'!$B$4),'Assump - LNG'!$D23)))/MAX('Assump - LNG'!$E23,1)))*INDEX('Assump - LNG'!$J$38:$J$49,MONTH($A101))))</f>
        <v/>
      </c>
      <c r="AH101" s="14">
        <f>IF('Assump - LNG'!$D24="",0,IF($A101&lt;IF('Assump - LNG'!$D24&gt;='Assump - LNG'!$B$6,EDATE('Assump - LNG'!$D24,'Assump - LNG'!$B$4),'Assump - LNG'!$D24),0,'Assump - LNG'!$C24*('Assump - LNG'!$F24+('Assump - LNG'!$G24-'Assump - LNG'!$F24)*MIN(1,((YEAR($A101)-YEAR(IF('Assump - LNG'!$D24&gt;='Assump - LNG'!$B$6,EDATE('Assump - LNG'!$D24,'Assump - LNG'!$B$4),'Assump - LNG'!$D24)))*12+MONTH($A101)-MONTH(IF('Assump - LNG'!$D24&gt;='Assump - LNG'!$B$6,EDATE('Assump - LNG'!$D24,'Assump - LNG'!$B$4),'Assump - LNG'!$D24)))/MAX('Assump - LNG'!$E24,1)))*INDEX('Assump - LNG'!$J$38:$J$49,MONTH($A101))))</f>
        <v/>
      </c>
      <c r="AI101" s="14">
        <f>IF('Assump - LNG'!$D25="",0,IF($A101&lt;IF('Assump - LNG'!$D25&gt;='Assump - LNG'!$B$6,EDATE('Assump - LNG'!$D25,'Assump - LNG'!$B$4),'Assump - LNG'!$D25),0,'Assump - LNG'!$C25*('Assump - LNG'!$F25+('Assump - LNG'!$G25-'Assump - LNG'!$F25)*MIN(1,((YEAR($A101)-YEAR(IF('Assump - LNG'!$D25&gt;='Assump - LNG'!$B$6,EDATE('Assump - LNG'!$D25,'Assump - LNG'!$B$4),'Assump - LNG'!$D25)))*12+MONTH($A101)-MONTH(IF('Assump - LNG'!$D25&gt;='Assump - LNG'!$B$6,EDATE('Assump - LNG'!$D25,'Assump - LNG'!$B$4),'Assump - LNG'!$D25)))/MAX('Assump - LNG'!$E25,1)))*INDEX('Assump - LNG'!$J$38:$J$49,MONTH($A101))))</f>
        <v/>
      </c>
      <c r="AJ101" s="14">
        <f>IF('Assump - LNG'!$D26="",0,IF($A101&lt;IF('Assump - LNG'!$D26&gt;='Assump - LNG'!$B$6,EDATE('Assump - LNG'!$D26,'Assump - LNG'!$B$4),'Assump - LNG'!$D26),0,'Assump - LNG'!$C26*('Assump - LNG'!$F26+('Assump - LNG'!$G26-'Assump - LNG'!$F26)*MIN(1,((YEAR($A101)-YEAR(IF('Assump - LNG'!$D26&gt;='Assump - LNG'!$B$6,EDATE('Assump - LNG'!$D26,'Assump - LNG'!$B$4),'Assump - LNG'!$D26)))*12+MONTH($A101)-MONTH(IF('Assump - LNG'!$D26&gt;='Assump - LNG'!$B$6,EDATE('Assump - LNG'!$D26,'Assump - LNG'!$B$4),'Assump - LNG'!$D26)))/MAX('Assump - LNG'!$E26,1)))*INDEX('Assump - LNG'!$J$38:$J$49,MONTH($A101))))</f>
        <v/>
      </c>
      <c r="AK101" s="14">
        <f>IF('Assump - LNG'!$D27="",0,IF($A101&lt;IF('Assump - LNG'!$D27&gt;='Assump - LNG'!$B$6,EDATE('Assump - LNG'!$D27,'Assump - LNG'!$B$4),'Assump - LNG'!$D27),0,'Assump - LNG'!$C27*('Assump - LNG'!$F27+('Assump - LNG'!$G27-'Assump - LNG'!$F27)*MIN(1,((YEAR($A101)-YEAR(IF('Assump - LNG'!$D27&gt;='Assump - LNG'!$B$6,EDATE('Assump - LNG'!$D27,'Assump - LNG'!$B$4),'Assump - LNG'!$D27)))*12+MONTH($A101)-MONTH(IF('Assump - LNG'!$D27&gt;='Assump - LNG'!$B$6,EDATE('Assump - LNG'!$D27,'Assump - LNG'!$B$4),'Assump - LNG'!$D27)))/MAX('Assump - LNG'!$E27,1)))*INDEX('Assump - LNG'!$J$38:$J$49,MONTH($A101))))</f>
        <v/>
      </c>
      <c r="AL101" s="14">
        <f>IF('Assump - LNG'!$D28="",0,IF($A101&lt;IF('Assump - LNG'!$D28&gt;='Assump - LNG'!$B$6,EDATE('Assump - LNG'!$D28,'Assump - LNG'!$B$4),'Assump - LNG'!$D28),0,'Assump - LNG'!$C28*('Assump - LNG'!$F28+('Assump - LNG'!$G28-'Assump - LNG'!$F28)*MIN(1,((YEAR($A101)-YEAR(IF('Assump - LNG'!$D28&gt;='Assump - LNG'!$B$6,EDATE('Assump - LNG'!$D28,'Assump - LNG'!$B$4),'Assump - LNG'!$D28)))*12+MONTH($A101)-MONTH(IF('Assump - LNG'!$D28&gt;='Assump - LNG'!$B$6,EDATE('Assump - LNG'!$D28,'Assump - LNG'!$B$4),'Assump - LNG'!$D28)))/MAX('Assump - LNG'!$E28,1)))*INDEX('Assump - LNG'!$J$38:$J$49,MONTH($A101))))</f>
        <v/>
      </c>
      <c r="AM101" s="14">
        <f>IF('Assump - LNG'!$D29="",0,IF($A101&lt;IF('Assump - LNG'!$D29&gt;='Assump - LNG'!$B$6,EDATE('Assump - LNG'!$D29,'Assump - LNG'!$B$4),'Assump - LNG'!$D29),0,'Assump - LNG'!$C29*('Assump - LNG'!$F29+('Assump - LNG'!$G29-'Assump - LNG'!$F29)*MIN(1,((YEAR($A101)-YEAR(IF('Assump - LNG'!$D29&gt;='Assump - LNG'!$B$6,EDATE('Assump - LNG'!$D29,'Assump - LNG'!$B$4),'Assump - LNG'!$D29)))*12+MONTH($A101)-MONTH(IF('Assump - LNG'!$D29&gt;='Assump - LNG'!$B$6,EDATE('Assump - LNG'!$D29,'Assump - LNG'!$B$4),'Assump - LNG'!$D29)))/MAX('Assump - LNG'!$E29,1)))*INDEX('Assump - LNG'!$J$38:$J$49,MONTH($A101))))</f>
        <v/>
      </c>
      <c r="AN101" s="14">
        <f>IF('Assump - LNG'!$D30="",0,IF($A101&lt;IF('Assump - LNG'!$D30&gt;='Assump - LNG'!$B$6,EDATE('Assump - LNG'!$D30,'Assump - LNG'!$B$4),'Assump - LNG'!$D30),0,'Assump - LNG'!$C30*('Assump - LNG'!$F30+('Assump - LNG'!$G30-'Assump - LNG'!$F30)*MIN(1,((YEAR($A101)-YEAR(IF('Assump - LNG'!$D30&gt;='Assump - LNG'!$B$6,EDATE('Assump - LNG'!$D30,'Assump - LNG'!$B$4),'Assump - LNG'!$D30)))*12+MONTH($A101)-MONTH(IF('Assump - LNG'!$D30&gt;='Assump - LNG'!$B$6,EDATE('Assump - LNG'!$D30,'Assump - LNG'!$B$4),'Assump - LNG'!$D30)))/MAX('Assump - LNG'!$E30,1)))*INDEX('Assump - LNG'!$J$38:$J$49,MONTH($A101))))</f>
        <v/>
      </c>
      <c r="AO101" s="14">
        <f>IF('Assump - LNG'!$D31="",0,IF($A101&lt;IF('Assump - LNG'!$D31&gt;='Assump - LNG'!$B$6,EDATE('Assump - LNG'!$D31,'Assump - LNG'!$B$4),'Assump - LNG'!$D31),0,'Assump - LNG'!$C31*('Assump - LNG'!$F31+('Assump - LNG'!$G31-'Assump - LNG'!$F31)*MIN(1,((YEAR($A101)-YEAR(IF('Assump - LNG'!$D31&gt;='Assump - LNG'!$B$6,EDATE('Assump - LNG'!$D31,'Assump - LNG'!$B$4),'Assump - LNG'!$D31)))*12+MONTH($A101)-MONTH(IF('Assump - LNG'!$D31&gt;='Assump - LNG'!$B$6,EDATE('Assump - LNG'!$D31,'Assump - LNG'!$B$4),'Assump - LNG'!$D31)))/MAX('Assump - LNG'!$E31,1)))*INDEX('Assump - LNG'!$J$38:$J$49,MONTH($A101))))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Electric power</t>
        </is>
      </c>
      <c r="C1" t="inlineStr">
        <is>
          <t>Industrial</t>
        </is>
      </c>
      <c r="D1" t="inlineStr">
        <is>
          <t>Residential</t>
        </is>
      </c>
      <c r="E1" t="inlineStr">
        <is>
          <t>Commercial</t>
        </is>
      </c>
      <c r="F1" t="inlineStr">
        <is>
          <t>Vehicle fuel</t>
        </is>
      </c>
      <c r="G1" t="inlineStr">
        <is>
          <t>Lease and plant fuel</t>
        </is>
      </c>
      <c r="H1" t="inlineStr">
        <is>
          <t>Pipeline and distribution use</t>
        </is>
      </c>
      <c r="I1" t="inlineStr">
        <is>
          <t>Reported total (delivered to consumers)</t>
        </is>
      </c>
      <c r="J1" t="inlineStr">
        <is>
          <t>Sum of published sectors</t>
        </is>
      </c>
    </row>
    <row r="2">
      <c r="A2" s="11" t="n">
        <v>42005</v>
      </c>
      <c r="B2" t="n">
        <v>4.080290322580646</v>
      </c>
      <c r="C2" t="n">
        <v>4.524096774193548</v>
      </c>
      <c r="D2" t="n">
        <v>1.729741935483871</v>
      </c>
      <c r="E2" t="n">
        <v>0.8834838709677419</v>
      </c>
      <c r="F2" t="n">
        <v>0.01203225806451613</v>
      </c>
      <c r="I2" t="n">
        <v>11.22964516129032</v>
      </c>
      <c r="J2" t="n">
        <v>11.22964516129032</v>
      </c>
    </row>
    <row r="3">
      <c r="A3" s="11" t="n">
        <v>42036</v>
      </c>
      <c r="B3" t="n">
        <v>4.054357142857143</v>
      </c>
      <c r="C3" t="n">
        <v>4.476285714285715</v>
      </c>
      <c r="D3" t="n">
        <v>1.317535714285714</v>
      </c>
      <c r="E3" t="n">
        <v>0.7768214285714286</v>
      </c>
      <c r="F3" t="n">
        <v>0.01203571428571429</v>
      </c>
      <c r="I3" t="n">
        <v>10.63703571428571</v>
      </c>
      <c r="J3" t="n">
        <v>10.63703571428572</v>
      </c>
    </row>
    <row r="4">
      <c r="A4" s="11" t="n">
        <v>42064</v>
      </c>
      <c r="B4" t="n">
        <v>4.104870967741935</v>
      </c>
      <c r="C4" t="n">
        <v>4.292290322580645</v>
      </c>
      <c r="D4" t="n">
        <v>1.113354838709677</v>
      </c>
      <c r="E4" t="n">
        <v>0.6586774193548387</v>
      </c>
      <c r="F4" t="n">
        <v>0.01203225806451613</v>
      </c>
      <c r="I4" t="n">
        <v>10.1811935483871</v>
      </c>
      <c r="J4" t="n">
        <v>10.18122580645161</v>
      </c>
    </row>
    <row r="5">
      <c r="A5" s="11" t="n">
        <v>42095</v>
      </c>
      <c r="B5" t="n">
        <v>3.909433333333333</v>
      </c>
      <c r="C5" t="n">
        <v>4.325466666666666</v>
      </c>
      <c r="D5" t="n">
        <v>0.3662</v>
      </c>
      <c r="E5" t="n">
        <v>0.4209666666666667</v>
      </c>
      <c r="F5" t="n">
        <v>0.01203333333333333</v>
      </c>
      <c r="I5" t="n">
        <v>9.0341</v>
      </c>
      <c r="J5" t="n">
        <v>9.034099999999999</v>
      </c>
    </row>
    <row r="6">
      <c r="A6" s="11" t="n">
        <v>42125</v>
      </c>
      <c r="B6" t="n">
        <v>3.94683870967742</v>
      </c>
      <c r="C6" t="n">
        <v>4.350967741935484</v>
      </c>
      <c r="D6" t="n">
        <v>0.2211935483870968</v>
      </c>
      <c r="E6" t="n">
        <v>0.329483870967742</v>
      </c>
      <c r="F6" t="n">
        <v>0.01203225806451613</v>
      </c>
      <c r="I6" t="n">
        <v>8.860548387096774</v>
      </c>
      <c r="J6" t="n">
        <v>8.860516129032259</v>
      </c>
    </row>
    <row r="7">
      <c r="A7" s="11" t="n">
        <v>42156</v>
      </c>
      <c r="B7" t="n">
        <v>4.839399999999999</v>
      </c>
      <c r="C7" t="n">
        <v>4.334066666666667</v>
      </c>
      <c r="D7" t="n">
        <v>0.212</v>
      </c>
      <c r="E7" t="n">
        <v>0.354</v>
      </c>
      <c r="F7" t="n">
        <v>0.01203333333333333</v>
      </c>
      <c r="I7" t="n">
        <v>9.751466666666667</v>
      </c>
      <c r="J7" t="n">
        <v>9.751499999999998</v>
      </c>
    </row>
    <row r="8">
      <c r="A8" s="11" t="n">
        <v>42186</v>
      </c>
      <c r="B8" t="n">
        <v>5.786193548387097</v>
      </c>
      <c r="C8" t="n">
        <v>4.312903225806452</v>
      </c>
      <c r="D8" t="n">
        <v>0.209</v>
      </c>
      <c r="E8" t="n">
        <v>0.343516129032258</v>
      </c>
      <c r="F8" t="n">
        <v>0.01203225806451613</v>
      </c>
      <c r="I8" t="n">
        <v>10.66364516129032</v>
      </c>
      <c r="J8" t="n">
        <v>10.66364516129032</v>
      </c>
    </row>
    <row r="9">
      <c r="A9" s="11" t="n">
        <v>42217</v>
      </c>
      <c r="B9" t="n">
        <v>5.926129032258064</v>
      </c>
      <c r="C9" t="n">
        <v>4.386290322580645</v>
      </c>
      <c r="D9" t="n">
        <v>0.157258064516129</v>
      </c>
      <c r="E9" t="n">
        <v>0.3038709677419355</v>
      </c>
      <c r="F9" t="n">
        <v>0.01203225806451613</v>
      </c>
      <c r="I9" t="n">
        <v>10.78558064516129</v>
      </c>
      <c r="J9" t="n">
        <v>10.78558064516129</v>
      </c>
    </row>
    <row r="10">
      <c r="A10" s="11" t="n">
        <v>42248</v>
      </c>
      <c r="B10" t="n">
        <v>4.980666666666667</v>
      </c>
      <c r="C10" t="n">
        <v>4.269133333333333</v>
      </c>
      <c r="D10" t="n">
        <v>0.1800333333333333</v>
      </c>
      <c r="E10" t="n">
        <v>0.3211</v>
      </c>
      <c r="F10" t="n">
        <v>0.01203333333333333</v>
      </c>
      <c r="I10" t="n">
        <v>9.762966666666667</v>
      </c>
      <c r="J10" t="n">
        <v>9.762966666666667</v>
      </c>
    </row>
    <row r="11">
      <c r="A11" s="11" t="n">
        <v>42278</v>
      </c>
      <c r="B11" t="n">
        <v>4.178967741935484</v>
      </c>
      <c r="C11" t="n">
        <v>4.259516129032258</v>
      </c>
      <c r="D11" t="n">
        <v>0.2043225806451613</v>
      </c>
      <c r="E11" t="n">
        <v>0.339741935483871</v>
      </c>
      <c r="F11" t="n">
        <v>0.01203225806451613</v>
      </c>
      <c r="I11" t="n">
        <v>8.994548387096774</v>
      </c>
      <c r="J11" t="n">
        <v>8.994580645161292</v>
      </c>
    </row>
    <row r="12">
      <c r="A12" s="11" t="n">
        <v>42309</v>
      </c>
      <c r="B12" t="n">
        <v>3.616966666666667</v>
      </c>
      <c r="C12" t="n">
        <v>4.586066666666667</v>
      </c>
      <c r="D12" t="n">
        <v>0.3675666666666667</v>
      </c>
      <c r="E12" t="n">
        <v>0.4571333333333333</v>
      </c>
      <c r="F12" t="n">
        <v>0.01203333333333333</v>
      </c>
      <c r="I12" t="n">
        <v>9.039766666666667</v>
      </c>
      <c r="J12" t="n">
        <v>9.039766666666667</v>
      </c>
    </row>
    <row r="13">
      <c r="A13" s="11" t="n">
        <v>42339</v>
      </c>
      <c r="B13" t="n">
        <v>3.909645161290322</v>
      </c>
      <c r="C13" t="n">
        <v>4.687516129032258</v>
      </c>
      <c r="D13" t="n">
        <v>0.9042903225806451</v>
      </c>
      <c r="E13" t="n">
        <v>0.6101290322580645</v>
      </c>
      <c r="F13" t="n">
        <v>0.01203225806451613</v>
      </c>
      <c r="I13" t="n">
        <v>10.12364516129032</v>
      </c>
      <c r="J13" t="n">
        <v>10.12361290322581</v>
      </c>
    </row>
    <row r="14">
      <c r="A14" s="11" t="n">
        <v>42370</v>
      </c>
      <c r="B14" t="n">
        <v>3.959774193548387</v>
      </c>
      <c r="C14" t="n">
        <v>4.588387096774193</v>
      </c>
      <c r="D14" t="n">
        <v>1.336225806451613</v>
      </c>
      <c r="E14" t="n">
        <v>0.7592903225806451</v>
      </c>
      <c r="F14" t="n">
        <v>0.01058064516129032</v>
      </c>
      <c r="I14" t="n">
        <v>10.65429032258065</v>
      </c>
      <c r="J14" t="n">
        <v>10.65425806451613</v>
      </c>
    </row>
    <row r="15">
      <c r="A15" s="11" t="n">
        <v>42401</v>
      </c>
      <c r="B15" t="n">
        <v>3.62851724137931</v>
      </c>
      <c r="C15" t="n">
        <v>4.535172413793103</v>
      </c>
      <c r="D15" t="n">
        <v>1.036793103448276</v>
      </c>
      <c r="E15" t="n">
        <v>0.6470344827586207</v>
      </c>
      <c r="F15" t="n">
        <v>0.01058620689655172</v>
      </c>
      <c r="I15" t="n">
        <v>9.858103448275862</v>
      </c>
      <c r="J15" t="n">
        <v>9.858103448275861</v>
      </c>
    </row>
    <row r="16">
      <c r="A16" s="11" t="n">
        <v>42430</v>
      </c>
      <c r="B16" t="n">
        <v>3.864935483870968</v>
      </c>
      <c r="C16" t="n">
        <v>4.444645161290323</v>
      </c>
      <c r="D16" t="n">
        <v>0.5365161290322581</v>
      </c>
      <c r="E16" t="n">
        <v>0.467741935483871</v>
      </c>
      <c r="F16" t="n">
        <v>0.01058064516129032</v>
      </c>
      <c r="I16" t="n">
        <v>9.32441935483871</v>
      </c>
      <c r="J16" t="n">
        <v>9.32441935483871</v>
      </c>
    </row>
    <row r="17">
      <c r="A17" s="11" t="n">
        <v>42461</v>
      </c>
      <c r="B17" t="n">
        <v>3.9188</v>
      </c>
      <c r="C17" t="n">
        <v>4.229033333333334</v>
      </c>
      <c r="D17" t="n">
        <v>0.3861333333333333</v>
      </c>
      <c r="E17" t="n">
        <v>0.4318333333333333</v>
      </c>
      <c r="F17" t="n">
        <v>0.0106</v>
      </c>
      <c r="I17" t="n">
        <v>8.976366666666667</v>
      </c>
      <c r="J17" t="n">
        <v>8.976400000000002</v>
      </c>
    </row>
    <row r="18">
      <c r="A18" s="11" t="n">
        <v>42491</v>
      </c>
      <c r="B18" t="n">
        <v>4.272387096774193</v>
      </c>
      <c r="C18" t="n">
        <v>4.149354838709677</v>
      </c>
      <c r="D18" t="n">
        <v>0.2378387096774194</v>
      </c>
      <c r="E18" t="n">
        <v>0.3356129032258064</v>
      </c>
      <c r="F18" t="n">
        <v>0.01058064516129032</v>
      </c>
      <c r="I18" t="n">
        <v>9.005806451612903</v>
      </c>
      <c r="J18" t="n">
        <v>9.005774193548387</v>
      </c>
    </row>
    <row r="19">
      <c r="A19" s="11" t="n">
        <v>42522</v>
      </c>
      <c r="B19" t="n">
        <v>5.048866666666667</v>
      </c>
      <c r="C19" t="n">
        <v>4.278366666666667</v>
      </c>
      <c r="D19" t="n">
        <v>0.2359333333333333</v>
      </c>
      <c r="E19" t="n">
        <v>0.3731333333333333</v>
      </c>
      <c r="F19" t="n">
        <v>0.0106</v>
      </c>
      <c r="I19" t="n">
        <v>9.946899999999999</v>
      </c>
      <c r="J19" t="n">
        <v>9.946900000000001</v>
      </c>
    </row>
    <row r="20">
      <c r="A20" s="11" t="n">
        <v>42552</v>
      </c>
      <c r="B20" t="n">
        <v>5.499516129032259</v>
      </c>
      <c r="C20" t="n">
        <v>4.595548387096775</v>
      </c>
      <c r="D20" t="n">
        <v>0.1856774193548387</v>
      </c>
      <c r="E20" t="n">
        <v>0.3206451612903226</v>
      </c>
      <c r="F20" t="n">
        <v>0.01058064516129032</v>
      </c>
      <c r="I20" t="n">
        <v>10.612</v>
      </c>
      <c r="J20" t="n">
        <v>10.61196774193549</v>
      </c>
    </row>
    <row r="21">
      <c r="A21" s="11" t="n">
        <v>42583</v>
      </c>
      <c r="B21" t="n">
        <v>5.634774193548387</v>
      </c>
      <c r="C21" t="n">
        <v>4.618774193548387</v>
      </c>
      <c r="D21" t="n">
        <v>0.1735483870967742</v>
      </c>
      <c r="E21" t="n">
        <v>0.3190322580645162</v>
      </c>
      <c r="F21" t="n">
        <v>0.01058064516129032</v>
      </c>
      <c r="I21" t="n">
        <v>10.75674193548387</v>
      </c>
      <c r="J21" t="n">
        <v>10.75670967741936</v>
      </c>
    </row>
    <row r="22">
      <c r="A22" s="11" t="n">
        <v>42614</v>
      </c>
      <c r="B22" t="n">
        <v>4.813666666666667</v>
      </c>
      <c r="C22" t="n">
        <v>4.563266666666666</v>
      </c>
      <c r="D22" t="n">
        <v>0.1784333333333333</v>
      </c>
      <c r="E22" t="n">
        <v>0.3297333333333333</v>
      </c>
      <c r="F22" t="n">
        <v>0.0106</v>
      </c>
      <c r="I22" t="n">
        <v>9.895666666666665</v>
      </c>
      <c r="J22" t="n">
        <v>9.8957</v>
      </c>
    </row>
    <row r="23">
      <c r="A23" s="11" t="n">
        <v>42644</v>
      </c>
      <c r="B23" t="n">
        <v>3.595612903225806</v>
      </c>
      <c r="C23" t="n">
        <v>4.426741935483872</v>
      </c>
      <c r="D23" t="n">
        <v>0.2099354838709677</v>
      </c>
      <c r="E23" t="n">
        <v>0.3402258064516129</v>
      </c>
      <c r="F23" t="n">
        <v>0.01058064516129032</v>
      </c>
      <c r="I23" t="n">
        <v>8.58309677419355</v>
      </c>
      <c r="J23" t="n">
        <v>8.58309677419355</v>
      </c>
    </row>
    <row r="24">
      <c r="A24" s="11" t="n">
        <v>42675</v>
      </c>
      <c r="B24" t="n">
        <v>3.1582</v>
      </c>
      <c r="C24" t="n">
        <v>4.671600000000001</v>
      </c>
      <c r="D24" t="n">
        <v>0.3037333333333334</v>
      </c>
      <c r="E24" t="n">
        <v>0.4278</v>
      </c>
      <c r="F24" t="n">
        <v>0.0106</v>
      </c>
      <c r="I24" t="n">
        <v>8.571933333333332</v>
      </c>
      <c r="J24" t="n">
        <v>8.571933333333334</v>
      </c>
    </row>
    <row r="25">
      <c r="A25" s="11" t="n">
        <v>42705</v>
      </c>
      <c r="B25" t="n">
        <v>2.871322580645161</v>
      </c>
      <c r="C25" t="n">
        <v>4.982064516129032</v>
      </c>
      <c r="D25" t="n">
        <v>0.9375806451612904</v>
      </c>
      <c r="E25" t="n">
        <v>0.640258064516129</v>
      </c>
      <c r="F25" t="n">
        <v>0.01058064516129032</v>
      </c>
      <c r="I25" t="n">
        <v>9.441806451612903</v>
      </c>
      <c r="J25" t="n">
        <v>9.441806451612903</v>
      </c>
    </row>
    <row r="26">
      <c r="A26" s="11" t="n">
        <v>42736</v>
      </c>
      <c r="B26" t="n">
        <v>2.769709677419355</v>
      </c>
      <c r="C26" t="n">
        <v>4.685322580645161</v>
      </c>
      <c r="D26" t="n">
        <v>1.259225806451613</v>
      </c>
      <c r="E26" t="n">
        <v>0.7700645161290323</v>
      </c>
      <c r="F26" t="n">
        <v>0.005032258064516129</v>
      </c>
      <c r="I26" t="n">
        <v>9.489354838709678</v>
      </c>
      <c r="J26" t="n">
        <v>9.489354838709675</v>
      </c>
    </row>
    <row r="27">
      <c r="A27" s="11" t="n">
        <v>42767</v>
      </c>
      <c r="B27" t="n">
        <v>2.655785714285714</v>
      </c>
      <c r="C27" t="n">
        <v>4.717785714285714</v>
      </c>
      <c r="D27" t="n">
        <v>0.79025</v>
      </c>
      <c r="E27" t="n">
        <v>0.5872142857142857</v>
      </c>
      <c r="F27" t="n">
        <v>0.005035714285714286</v>
      </c>
      <c r="I27" t="n">
        <v>8.756071428571429</v>
      </c>
      <c r="J27" t="n">
        <v>8.756071428571429</v>
      </c>
    </row>
    <row r="28">
      <c r="A28" s="11" t="n">
        <v>42795</v>
      </c>
      <c r="B28" t="n">
        <v>2.940193548387096</v>
      </c>
      <c r="C28" t="n">
        <v>4.521580645161291</v>
      </c>
      <c r="D28" t="n">
        <v>0.5168709677419355</v>
      </c>
      <c r="E28" t="n">
        <v>0.4706774193548387</v>
      </c>
      <c r="F28" t="n">
        <v>0.005032258064516129</v>
      </c>
      <c r="I28" t="n">
        <v>8.454354838709678</v>
      </c>
      <c r="J28" t="n">
        <v>8.454354838709676</v>
      </c>
    </row>
    <row r="29">
      <c r="A29" s="11" t="n">
        <v>42826</v>
      </c>
      <c r="B29" t="n">
        <v>3.118433333333333</v>
      </c>
      <c r="C29" t="n">
        <v>4.389533333333334</v>
      </c>
      <c r="D29" t="n">
        <v>0.3137666666666666</v>
      </c>
      <c r="E29" t="n">
        <v>0.4039333333333333</v>
      </c>
      <c r="F29" t="n">
        <v>0.005033333333333333</v>
      </c>
      <c r="I29" t="n">
        <v>8.230666666666666</v>
      </c>
      <c r="J29" t="n">
        <v>8.230700000000001</v>
      </c>
    </row>
    <row r="30">
      <c r="A30" s="11" t="n">
        <v>42856</v>
      </c>
      <c r="B30" t="n">
        <v>3.539806451612904</v>
      </c>
      <c r="C30" t="n">
        <v>4.286032258064516</v>
      </c>
      <c r="D30" t="n">
        <v>0.2499032258064516</v>
      </c>
      <c r="E30" t="n">
        <v>0.3611612903225807</v>
      </c>
      <c r="F30" t="n">
        <v>0.005032258064516129</v>
      </c>
      <c r="I30" t="n">
        <v>8.441935483870967</v>
      </c>
      <c r="J30" t="n">
        <v>8.441935483870969</v>
      </c>
    </row>
    <row r="31">
      <c r="A31" s="11" t="n">
        <v>42887</v>
      </c>
      <c r="B31" t="n">
        <v>4.862133333333333</v>
      </c>
      <c r="C31" t="n">
        <v>4.657266666666667</v>
      </c>
      <c r="D31" t="n">
        <v>0.1940333333333333</v>
      </c>
      <c r="E31" t="n">
        <v>0.3388</v>
      </c>
      <c r="F31" t="n">
        <v>0.005033333333333333</v>
      </c>
      <c r="I31" t="n">
        <v>10.05726666666667</v>
      </c>
      <c r="J31" t="n">
        <v>10.05726666666667</v>
      </c>
    </row>
    <row r="32">
      <c r="A32" s="11" t="n">
        <v>42917</v>
      </c>
      <c r="B32" t="n">
        <v>5.895096774193548</v>
      </c>
      <c r="C32" t="n">
        <v>4.603322580645161</v>
      </c>
      <c r="D32" t="n">
        <v>0.1935483870967742</v>
      </c>
      <c r="E32" t="n">
        <v>0.336</v>
      </c>
      <c r="F32" t="n">
        <v>0.005032258064516129</v>
      </c>
      <c r="I32" t="n">
        <v>11.033</v>
      </c>
      <c r="J32" t="n">
        <v>11.033</v>
      </c>
    </row>
    <row r="33">
      <c r="A33" s="11" t="n">
        <v>42948</v>
      </c>
      <c r="B33" t="n">
        <v>5.382903225806452</v>
      </c>
      <c r="C33" t="n">
        <v>4.517709677419355</v>
      </c>
      <c r="D33" t="n">
        <v>0.1753548387096774</v>
      </c>
      <c r="E33" t="n">
        <v>0.3347741935483871</v>
      </c>
      <c r="F33" t="n">
        <v>0.005032258064516129</v>
      </c>
      <c r="I33" t="n">
        <v>10.41574193548387</v>
      </c>
      <c r="J33" t="n">
        <v>10.41577419354839</v>
      </c>
    </row>
    <row r="34">
      <c r="A34" s="11" t="n">
        <v>42979</v>
      </c>
      <c r="B34" t="n">
        <v>4.0456</v>
      </c>
      <c r="C34" t="n">
        <v>4.3505</v>
      </c>
      <c r="D34" t="n">
        <v>0.1961666666666667</v>
      </c>
      <c r="E34" t="n">
        <v>0.3420333333333334</v>
      </c>
      <c r="F34" t="n">
        <v>0.005033333333333333</v>
      </c>
      <c r="I34" t="n">
        <v>8.939333333333334</v>
      </c>
      <c r="J34" t="n">
        <v>8.939333333333334</v>
      </c>
    </row>
    <row r="35">
      <c r="A35" s="11" t="n">
        <v>43009</v>
      </c>
      <c r="B35" t="n">
        <v>3.341870967741936</v>
      </c>
      <c r="C35" t="n">
        <v>4.582903225806452</v>
      </c>
      <c r="D35" t="n">
        <v>0.2506129032258065</v>
      </c>
      <c r="E35" t="n">
        <v>0.3910645161290323</v>
      </c>
      <c r="F35" t="n">
        <v>0.005032258064516129</v>
      </c>
      <c r="I35" t="n">
        <v>8.571483870967743</v>
      </c>
      <c r="J35" t="n">
        <v>8.571483870967743</v>
      </c>
    </row>
    <row r="36">
      <c r="A36" s="11" t="n">
        <v>43040</v>
      </c>
      <c r="B36" t="n">
        <v>2.831033333333334</v>
      </c>
      <c r="C36" t="n">
        <v>4.866866666666667</v>
      </c>
      <c r="D36" t="n">
        <v>0.4410333333333333</v>
      </c>
      <c r="E36" t="n">
        <v>0.4638</v>
      </c>
      <c r="F36" t="n">
        <v>0.005033333333333333</v>
      </c>
      <c r="I36" t="n">
        <v>8.607766666666667</v>
      </c>
      <c r="J36" t="n">
        <v>8.607766666666667</v>
      </c>
    </row>
    <row r="37">
      <c r="A37" s="11" t="n">
        <v>43070</v>
      </c>
      <c r="B37" t="n">
        <v>3.56258064516129</v>
      </c>
      <c r="C37" t="n">
        <v>5.012258064516129</v>
      </c>
      <c r="D37" t="n">
        <v>0.8277096774193549</v>
      </c>
      <c r="E37" t="n">
        <v>0.6228709677419355</v>
      </c>
      <c r="F37" t="n">
        <v>0.005032258064516129</v>
      </c>
      <c r="I37" t="n">
        <v>10.03045161290323</v>
      </c>
      <c r="J37" t="n">
        <v>10.03045161290322</v>
      </c>
    </row>
    <row r="38">
      <c r="A38" s="11" t="n">
        <v>43101</v>
      </c>
      <c r="B38" t="n">
        <v>3.978161290322581</v>
      </c>
      <c r="C38" t="n">
        <v>5.195322580645161</v>
      </c>
      <c r="D38" t="n">
        <v>1.869451612903226</v>
      </c>
      <c r="E38" t="n">
        <v>1.062129032258065</v>
      </c>
      <c r="F38" t="n">
        <v>0.004903225806451613</v>
      </c>
      <c r="I38" t="n">
        <v>12.10996774193548</v>
      </c>
      <c r="J38" t="n">
        <v>12.10996774193548</v>
      </c>
    </row>
    <row r="39">
      <c r="A39" s="11" t="n">
        <v>43132</v>
      </c>
      <c r="B39" t="n">
        <v>3.782107142857142</v>
      </c>
      <c r="C39" t="n">
        <v>4.936392857142857</v>
      </c>
      <c r="D39" t="n">
        <v>1.241</v>
      </c>
      <c r="E39" t="n">
        <v>0.8660357142857144</v>
      </c>
      <c r="F39" t="n">
        <v>0.004892857142857143</v>
      </c>
      <c r="I39" t="n">
        <v>10.83039285714286</v>
      </c>
      <c r="J39" t="n">
        <v>10.83042857142857</v>
      </c>
    </row>
    <row r="40">
      <c r="A40" s="11" t="n">
        <v>43160</v>
      </c>
      <c r="B40" t="n">
        <v>3.493129032258064</v>
      </c>
      <c r="C40" t="n">
        <v>4.955161290322581</v>
      </c>
      <c r="D40" t="n">
        <v>0.7930645161290323</v>
      </c>
      <c r="E40" t="n">
        <v>0.7176451612903225</v>
      </c>
      <c r="F40" t="n">
        <v>0.004903225806451613</v>
      </c>
      <c r="I40" t="n">
        <v>9.963870967741936</v>
      </c>
      <c r="J40" t="n">
        <v>9.963903225806451</v>
      </c>
    </row>
    <row r="41">
      <c r="A41" s="11" t="n">
        <v>43191</v>
      </c>
      <c r="B41" t="n">
        <v>3.3679</v>
      </c>
      <c r="C41" t="n">
        <v>5.035766666666667</v>
      </c>
      <c r="D41" t="n">
        <v>0.4494666666666666</v>
      </c>
      <c r="E41" t="n">
        <v>0.5257666666666666</v>
      </c>
      <c r="F41" t="n">
        <v>0.004900000000000001</v>
      </c>
      <c r="I41" t="n">
        <v>9.383799999999999</v>
      </c>
      <c r="J41" t="n">
        <v>9.383799999999997</v>
      </c>
    </row>
    <row r="42">
      <c r="A42" s="11" t="n">
        <v>43221</v>
      </c>
      <c r="B42" t="n">
        <v>4.839096774193548</v>
      </c>
      <c r="C42" t="n">
        <v>4.981354838709677</v>
      </c>
      <c r="D42" t="n">
        <v>0.2649677419354838</v>
      </c>
      <c r="E42" t="n">
        <v>0.4343225806451613</v>
      </c>
      <c r="F42" t="n">
        <v>0.004903225806451613</v>
      </c>
      <c r="I42" t="n">
        <v>10.52464516129032</v>
      </c>
      <c r="J42" t="n">
        <v>10.52464516129032</v>
      </c>
    </row>
    <row r="43">
      <c r="A43" s="11" t="n">
        <v>43252</v>
      </c>
      <c r="B43" t="n">
        <v>5.365066666666666</v>
      </c>
      <c r="C43" t="n">
        <v>4.967866666666667</v>
      </c>
      <c r="D43" t="n">
        <v>0.1816</v>
      </c>
      <c r="E43" t="n">
        <v>0.3653333333333333</v>
      </c>
      <c r="F43" t="n">
        <v>0.004900000000000001</v>
      </c>
      <c r="I43" t="n">
        <v>10.88476666666667</v>
      </c>
      <c r="J43" t="n">
        <v>10.88476666666667</v>
      </c>
    </row>
    <row r="44">
      <c r="A44" s="11" t="n">
        <v>43282</v>
      </c>
      <c r="B44" t="n">
        <v>6.715064516129032</v>
      </c>
      <c r="C44" t="n">
        <v>5.073870967741936</v>
      </c>
      <c r="D44" t="n">
        <v>0.1583870967741935</v>
      </c>
      <c r="E44" t="n">
        <v>0.3354516129032258</v>
      </c>
      <c r="F44" t="n">
        <v>0.004903225806451613</v>
      </c>
      <c r="I44" t="n">
        <v>12.28764516129032</v>
      </c>
      <c r="J44" t="n">
        <v>12.28767741935484</v>
      </c>
    </row>
    <row r="45">
      <c r="A45" s="11" t="n">
        <v>43313</v>
      </c>
      <c r="B45" t="n">
        <v>6.104483870967742</v>
      </c>
      <c r="C45" t="n">
        <v>4.988967741935484</v>
      </c>
      <c r="D45" t="n">
        <v>0.1609354838709677</v>
      </c>
      <c r="E45" t="n">
        <v>0.371258064516129</v>
      </c>
      <c r="F45" t="n">
        <v>0.004903225806451613</v>
      </c>
      <c r="I45" t="n">
        <v>11.63051612903226</v>
      </c>
      <c r="J45" t="n">
        <v>11.63054838709678</v>
      </c>
    </row>
    <row r="46">
      <c r="A46" s="11" t="n">
        <v>43344</v>
      </c>
      <c r="B46" t="n">
        <v>5.033666666666667</v>
      </c>
      <c r="C46" t="n">
        <v>5.012533333333334</v>
      </c>
      <c r="D46" t="n">
        <v>0.1710666666666667</v>
      </c>
      <c r="E46" t="n">
        <v>0.3837666666666666</v>
      </c>
      <c r="F46" t="n">
        <v>0.004900000000000001</v>
      </c>
      <c r="I46" t="n">
        <v>10.60593333333333</v>
      </c>
      <c r="J46" t="n">
        <v>10.60593333333333</v>
      </c>
    </row>
    <row r="47">
      <c r="A47" s="11" t="n">
        <v>43374</v>
      </c>
      <c r="B47" t="n">
        <v>4.091258064516129</v>
      </c>
      <c r="C47" t="n">
        <v>4.777612903225807</v>
      </c>
      <c r="D47" t="n">
        <v>0.260258064516129</v>
      </c>
      <c r="E47" t="n">
        <v>0.447258064516129</v>
      </c>
      <c r="F47" t="n">
        <v>0.004903225806451613</v>
      </c>
      <c r="I47" t="n">
        <v>9.581290322580646</v>
      </c>
      <c r="J47" t="n">
        <v>9.581290322580646</v>
      </c>
    </row>
    <row r="48">
      <c r="A48" s="11" t="n">
        <v>43405</v>
      </c>
      <c r="B48" t="n">
        <v>3.528333333333333</v>
      </c>
      <c r="C48" t="n">
        <v>5.214166666666667</v>
      </c>
      <c r="D48" t="n">
        <v>0.7711666666666667</v>
      </c>
      <c r="E48" t="n">
        <v>0.7365666666666667</v>
      </c>
      <c r="F48" t="n">
        <v>0.004900000000000001</v>
      </c>
      <c r="I48" t="n">
        <v>10.25513333333333</v>
      </c>
      <c r="J48" t="n">
        <v>10.25513333333333</v>
      </c>
    </row>
    <row r="49">
      <c r="A49" s="11" t="n">
        <v>43435</v>
      </c>
      <c r="B49" t="n">
        <v>3.653193548387097</v>
      </c>
      <c r="C49" t="n">
        <v>5.294645161290322</v>
      </c>
      <c r="D49" t="n">
        <v>1.172935483870968</v>
      </c>
      <c r="E49" t="n">
        <v>0.8119677419354839</v>
      </c>
      <c r="F49" t="n">
        <v>0.004903225806451613</v>
      </c>
      <c r="I49" t="n">
        <v>10.93761290322581</v>
      </c>
      <c r="J49" t="n">
        <v>10.93764516129032</v>
      </c>
    </row>
    <row r="50">
      <c r="A50" s="11" t="n">
        <v>43466</v>
      </c>
      <c r="B50" t="n">
        <v>4.160032258064516</v>
      </c>
      <c r="C50" t="n">
        <v>5.307903225806451</v>
      </c>
      <c r="D50" t="n">
        <v>1.458290322580645</v>
      </c>
      <c r="E50" t="n">
        <v>0.8651290322580645</v>
      </c>
      <c r="F50" t="n">
        <v>0.004354838709677419</v>
      </c>
      <c r="I50" t="n">
        <v>11.79570967741935</v>
      </c>
      <c r="J50" t="n">
        <v>11.79570967741935</v>
      </c>
    </row>
    <row r="51">
      <c r="A51" s="11" t="n">
        <v>43497</v>
      </c>
      <c r="B51" t="n">
        <v>3.730785714285714</v>
      </c>
      <c r="C51" t="n">
        <v>5.229464285714285</v>
      </c>
      <c r="D51" t="n">
        <v>1.363178571428571</v>
      </c>
      <c r="E51" t="n">
        <v>0.85875</v>
      </c>
      <c r="F51" t="n">
        <v>0.004357142857142857</v>
      </c>
      <c r="I51" t="n">
        <v>11.18653571428571</v>
      </c>
      <c r="J51" t="n">
        <v>11.18653571428571</v>
      </c>
    </row>
    <row r="52">
      <c r="A52" s="11" t="n">
        <v>43525</v>
      </c>
      <c r="B52" t="n">
        <v>3.759225806451613</v>
      </c>
      <c r="C52" t="n">
        <v>4.969225806451613</v>
      </c>
      <c r="D52" t="n">
        <v>1.075096774193548</v>
      </c>
      <c r="E52" t="n">
        <v>0.7236774193548386</v>
      </c>
      <c r="F52" t="n">
        <v>0.004354838709677419</v>
      </c>
      <c r="I52" t="n">
        <v>10.53161290322581</v>
      </c>
      <c r="J52" t="n">
        <v>10.53158064516129</v>
      </c>
    </row>
    <row r="53">
      <c r="A53" s="11" t="n">
        <v>43556</v>
      </c>
      <c r="B53" t="n">
        <v>3.502166666666667</v>
      </c>
      <c r="C53" t="n">
        <v>4.794833333333333</v>
      </c>
      <c r="D53" t="n">
        <v>0.5663666666666667</v>
      </c>
      <c r="E53" t="n">
        <v>0.5478</v>
      </c>
      <c r="F53" t="n">
        <v>0.004333333333333333</v>
      </c>
      <c r="I53" t="n">
        <v>9.415533333333332</v>
      </c>
      <c r="J53" t="n">
        <v>9.415500000000002</v>
      </c>
    </row>
    <row r="54">
      <c r="A54" s="11" t="n">
        <v>43586</v>
      </c>
      <c r="B54" t="n">
        <v>4.704516129032259</v>
      </c>
      <c r="C54" t="n">
        <v>4.679064516129032</v>
      </c>
      <c r="D54" t="n">
        <v>0.255258064516129</v>
      </c>
      <c r="E54" t="n">
        <v>0.3915483870967742</v>
      </c>
      <c r="F54" t="n">
        <v>0.004354838709677419</v>
      </c>
      <c r="I54" t="n">
        <v>10.03474193548387</v>
      </c>
      <c r="J54" t="n">
        <v>10.03474193548387</v>
      </c>
    </row>
    <row r="55">
      <c r="A55" s="11" t="n">
        <v>43617</v>
      </c>
      <c r="B55" t="n">
        <v>5.733</v>
      </c>
      <c r="C55" t="n">
        <v>4.761</v>
      </c>
      <c r="D55" t="n">
        <v>0.2204666666666667</v>
      </c>
      <c r="E55" t="n">
        <v>0.4051333333333333</v>
      </c>
      <c r="F55" t="n">
        <v>0.004333333333333333</v>
      </c>
      <c r="I55" t="n">
        <v>11.12396666666667</v>
      </c>
      <c r="J55" t="n">
        <v>11.12393333333333</v>
      </c>
    </row>
    <row r="56">
      <c r="A56" s="11" t="n">
        <v>43647</v>
      </c>
      <c r="B56" t="n">
        <v>6.499645161290323</v>
      </c>
      <c r="C56" t="n">
        <v>4.776419354838709</v>
      </c>
      <c r="D56" t="n">
        <v>0.2002903225806452</v>
      </c>
      <c r="E56" t="n">
        <v>0.3536774193548387</v>
      </c>
      <c r="F56" t="n">
        <v>0.004354838709677419</v>
      </c>
      <c r="I56" t="n">
        <v>11.83435483870968</v>
      </c>
      <c r="J56" t="n">
        <v>11.83438709677419</v>
      </c>
    </row>
    <row r="57">
      <c r="A57" s="11" t="n">
        <v>43678</v>
      </c>
      <c r="B57" t="n">
        <v>7.421193548387096</v>
      </c>
      <c r="C57" t="n">
        <v>4.813129032258065</v>
      </c>
      <c r="D57" t="n">
        <v>0.1681935483870968</v>
      </c>
      <c r="E57" t="n">
        <v>0.34</v>
      </c>
      <c r="F57" t="n">
        <v>0.004354838709677419</v>
      </c>
      <c r="I57" t="n">
        <v>12.74687096774194</v>
      </c>
      <c r="J57" t="n">
        <v>12.74687096774193</v>
      </c>
    </row>
    <row r="58">
      <c r="A58" s="11" t="n">
        <v>43709</v>
      </c>
      <c r="B58" t="n">
        <v>6.318433333333333</v>
      </c>
      <c r="C58" t="n">
        <v>4.671166666666667</v>
      </c>
      <c r="D58" t="n">
        <v>0.1681666666666667</v>
      </c>
      <c r="E58" t="n">
        <v>0.3416333333333333</v>
      </c>
      <c r="F58" t="n">
        <v>0.004333333333333333</v>
      </c>
      <c r="I58" t="n">
        <v>11.50376666666667</v>
      </c>
      <c r="J58" t="n">
        <v>11.50373333333333</v>
      </c>
    </row>
    <row r="59">
      <c r="A59" s="11" t="n">
        <v>43739</v>
      </c>
      <c r="B59" t="n">
        <v>4.561870967741935</v>
      </c>
      <c r="C59" t="n">
        <v>4.683741935483871</v>
      </c>
      <c r="D59" t="n">
        <v>0.2363870967741935</v>
      </c>
      <c r="E59" t="n">
        <v>0.3866129032258064</v>
      </c>
      <c r="F59" t="n">
        <v>0.004354838709677419</v>
      </c>
      <c r="I59" t="n">
        <v>9.872967741935483</v>
      </c>
      <c r="J59" t="n">
        <v>9.872967741935483</v>
      </c>
    </row>
    <row r="60">
      <c r="A60" s="11" t="n">
        <v>43770</v>
      </c>
      <c r="B60" t="n">
        <v>4.015266666666667</v>
      </c>
      <c r="C60" t="n">
        <v>5.088166666666667</v>
      </c>
      <c r="D60" t="n">
        <v>0.8098333333333334</v>
      </c>
      <c r="E60" t="n">
        <v>0.6266333333333334</v>
      </c>
      <c r="F60" t="n">
        <v>0.004333333333333333</v>
      </c>
      <c r="I60" t="n">
        <v>10.54426666666667</v>
      </c>
      <c r="J60" t="n">
        <v>10.54423333333334</v>
      </c>
    </row>
    <row r="61">
      <c r="A61" s="11" t="n">
        <v>43800</v>
      </c>
      <c r="B61" t="n">
        <v>4.237741935483871</v>
      </c>
      <c r="C61" t="n">
        <v>5.397483870967742</v>
      </c>
      <c r="D61" t="n">
        <v>1.026774193548387</v>
      </c>
      <c r="E61" t="n">
        <v>0.693483870967742</v>
      </c>
      <c r="F61" t="n">
        <v>0.004354838709677419</v>
      </c>
      <c r="I61" t="n">
        <v>11.35983870967742</v>
      </c>
      <c r="J61" t="n">
        <v>11.35983870967742</v>
      </c>
    </row>
    <row r="62">
      <c r="A62" s="11" t="n">
        <v>43831</v>
      </c>
      <c r="B62" t="n">
        <v>4.186548387096774</v>
      </c>
      <c r="C62" t="n">
        <v>5.276677419354839</v>
      </c>
      <c r="D62" t="n">
        <v>1.246483870967742</v>
      </c>
      <c r="E62" t="n">
        <v>0.7547096774193549</v>
      </c>
      <c r="F62" t="n">
        <v>0.003032258064516129</v>
      </c>
      <c r="I62" t="n">
        <v>11.46745161290323</v>
      </c>
      <c r="J62" t="n">
        <v>11.46745161290323</v>
      </c>
    </row>
    <row r="63">
      <c r="A63" s="11" t="n">
        <v>43862</v>
      </c>
      <c r="B63" t="n">
        <v>4.334655172413793</v>
      </c>
      <c r="C63" t="n">
        <v>5.290965517241379</v>
      </c>
      <c r="D63" t="n">
        <v>1.19851724137931</v>
      </c>
      <c r="E63" t="n">
        <v>0.7870344827586206</v>
      </c>
      <c r="F63" t="n">
        <v>0.00303448275862069</v>
      </c>
      <c r="I63" t="n">
        <v>11.61420689655172</v>
      </c>
      <c r="J63" t="n">
        <v>11.61420689655172</v>
      </c>
    </row>
    <row r="64">
      <c r="A64" s="11" t="n">
        <v>43891</v>
      </c>
      <c r="B64" t="n">
        <v>4.024064516129032</v>
      </c>
      <c r="C64" t="n">
        <v>5.125290322580645</v>
      </c>
      <c r="D64" t="n">
        <v>0.6114516129032258</v>
      </c>
      <c r="E64" t="n">
        <v>0.5181935483870969</v>
      </c>
      <c r="F64" t="n">
        <v>0.003032258064516129</v>
      </c>
      <c r="I64" t="n">
        <v>10.28203225806452</v>
      </c>
      <c r="J64" t="n">
        <v>10.28203225806452</v>
      </c>
    </row>
    <row r="65">
      <c r="A65" s="11" t="n">
        <v>43922</v>
      </c>
      <c r="B65" t="n">
        <v>3.817066666666666</v>
      </c>
      <c r="C65" t="n">
        <v>4.854133333333333</v>
      </c>
      <c r="D65" t="n">
        <v>0.3556666666666667</v>
      </c>
      <c r="E65" t="n">
        <v>0.4129333333333333</v>
      </c>
      <c r="F65" t="n">
        <v>0.003033333333333333</v>
      </c>
      <c r="I65" t="n">
        <v>9.442833333333335</v>
      </c>
      <c r="J65" t="n">
        <v>9.442833333333331</v>
      </c>
    </row>
    <row r="66">
      <c r="A66" s="11" t="n">
        <v>43952</v>
      </c>
      <c r="B66" t="n">
        <v>4.47758064516129</v>
      </c>
      <c r="C66" t="n">
        <v>4.755741935483871</v>
      </c>
      <c r="D66" t="n">
        <v>0.2718709677419355</v>
      </c>
      <c r="E66" t="n">
        <v>0.3124193548387097</v>
      </c>
      <c r="F66" t="n">
        <v>0.003032258064516129</v>
      </c>
      <c r="I66" t="n">
        <v>9.820677419354839</v>
      </c>
      <c r="J66" t="n">
        <v>9.820645161290324</v>
      </c>
    </row>
    <row r="67">
      <c r="A67" s="11" t="n">
        <v>43983</v>
      </c>
      <c r="B67" t="n">
        <v>5.581399999999999</v>
      </c>
      <c r="C67" t="n">
        <v>4.701466666666667</v>
      </c>
      <c r="D67" t="n">
        <v>0.2365333333333333</v>
      </c>
      <c r="E67" t="n">
        <v>0.2656333333333333</v>
      </c>
      <c r="F67" t="n">
        <v>0.003033333333333333</v>
      </c>
      <c r="I67" t="n">
        <v>10.78806666666667</v>
      </c>
      <c r="J67" t="n">
        <v>10.78806666666667</v>
      </c>
    </row>
    <row r="68">
      <c r="A68" s="11" t="n">
        <v>44013</v>
      </c>
      <c r="B68" t="n">
        <v>6.84216129032258</v>
      </c>
      <c r="C68" t="n">
        <v>4.937258064516128</v>
      </c>
      <c r="D68" t="n">
        <v>0.2287741935483871</v>
      </c>
      <c r="E68" t="n">
        <v>0.3393548387096774</v>
      </c>
      <c r="F68" t="n">
        <v>0.003032258064516129</v>
      </c>
      <c r="I68" t="n">
        <v>12.35058064516129</v>
      </c>
      <c r="J68" t="n">
        <v>12.35058064516129</v>
      </c>
    </row>
    <row r="69">
      <c r="A69" s="11" t="n">
        <v>44044</v>
      </c>
      <c r="B69" t="n">
        <v>6.720129032258065</v>
      </c>
      <c r="C69" t="n">
        <v>4.95483870967742</v>
      </c>
      <c r="D69" t="n">
        <v>0.2047741935483871</v>
      </c>
      <c r="E69" t="n">
        <v>0.3225806451612903</v>
      </c>
      <c r="F69" t="n">
        <v>0.003032258064516129</v>
      </c>
      <c r="I69" t="n">
        <v>12.20538709677419</v>
      </c>
      <c r="J69" t="n">
        <v>12.20535483870968</v>
      </c>
    </row>
    <row r="70">
      <c r="A70" s="11" t="n">
        <v>44075</v>
      </c>
      <c r="B70" t="n">
        <v>5.317266666666667</v>
      </c>
      <c r="C70" t="n">
        <v>4.9909</v>
      </c>
      <c r="D70" t="n">
        <v>0.2179666666666667</v>
      </c>
      <c r="E70" t="n">
        <v>0.3506</v>
      </c>
      <c r="F70" t="n">
        <v>0.003033333333333333</v>
      </c>
      <c r="I70" t="n">
        <v>10.87976666666667</v>
      </c>
      <c r="J70" t="n">
        <v>10.87976666666667</v>
      </c>
    </row>
    <row r="71">
      <c r="A71" s="11" t="n">
        <v>44105</v>
      </c>
      <c r="B71" t="n">
        <v>4.560612903225807</v>
      </c>
      <c r="C71" t="n">
        <v>5.160516129032258</v>
      </c>
      <c r="D71" t="n">
        <v>0.2992903225806452</v>
      </c>
      <c r="E71" t="n">
        <v>0.4186774193548387</v>
      </c>
      <c r="F71" t="n">
        <v>0.003032258064516129</v>
      </c>
      <c r="I71" t="n">
        <v>10.44212903225806</v>
      </c>
      <c r="J71" t="n">
        <v>10.44212903225807</v>
      </c>
    </row>
    <row r="72">
      <c r="A72" s="11" t="n">
        <v>44136</v>
      </c>
      <c r="B72" t="n">
        <v>3.540133333333333</v>
      </c>
      <c r="C72" t="n">
        <v>5.4393</v>
      </c>
      <c r="D72" t="n">
        <v>0.5468999999999999</v>
      </c>
      <c r="E72" t="n">
        <v>0.4638666666666666</v>
      </c>
      <c r="F72" t="n">
        <v>0.003033333333333333</v>
      </c>
      <c r="I72" t="n">
        <v>9.993233333333334</v>
      </c>
      <c r="J72" t="n">
        <v>9.993233333333333</v>
      </c>
    </row>
    <row r="73">
      <c r="A73" s="11" t="n">
        <v>44166</v>
      </c>
      <c r="B73" t="n">
        <v>3.556</v>
      </c>
      <c r="C73" t="n">
        <v>5.684258064516129</v>
      </c>
      <c r="D73" t="n">
        <v>1.298322580645161</v>
      </c>
      <c r="E73" t="n">
        <v>0.721516129032258</v>
      </c>
      <c r="F73" t="n">
        <v>0.003032258064516129</v>
      </c>
      <c r="I73" t="n">
        <v>11.26316129032258</v>
      </c>
      <c r="J73" t="n">
        <v>11.26312903225807</v>
      </c>
    </row>
    <row r="74">
      <c r="A74" s="11" t="n">
        <v>44197</v>
      </c>
      <c r="B74" t="n">
        <v>3.671612903225806</v>
      </c>
      <c r="C74" t="n">
        <v>5.748096774193549</v>
      </c>
      <c r="D74" t="n">
        <v>1.457193548387097</v>
      </c>
      <c r="E74" t="n">
        <v>0.7947741935483871</v>
      </c>
      <c r="F74" t="n">
        <v>0.002580645161290323</v>
      </c>
      <c r="I74" t="n">
        <v>11.67429032258065</v>
      </c>
      <c r="J74" t="n">
        <v>11.67425806451613</v>
      </c>
    </row>
    <row r="75">
      <c r="A75" s="11" t="n">
        <v>44228</v>
      </c>
      <c r="B75" t="n">
        <v>4.4955</v>
      </c>
      <c r="C75" t="n">
        <v>4.749571428571429</v>
      </c>
      <c r="D75" t="n">
        <v>1.7995</v>
      </c>
      <c r="E75" t="n">
        <v>0.9247857142857143</v>
      </c>
      <c r="F75" t="n">
        <v>0.002571428571428572</v>
      </c>
      <c r="I75" t="n">
        <v>11.97196428571429</v>
      </c>
      <c r="J75" t="n">
        <v>11.97192857142857</v>
      </c>
    </row>
    <row r="76">
      <c r="A76" s="11" t="n">
        <v>44256</v>
      </c>
      <c r="B76" t="n">
        <v>2.87358064516129</v>
      </c>
      <c r="C76" t="n">
        <v>4.849387096774193</v>
      </c>
      <c r="D76" t="n">
        <v>0.8512580645161291</v>
      </c>
      <c r="E76" t="n">
        <v>0.547741935483871</v>
      </c>
      <c r="F76" t="n">
        <v>0.002580645161290323</v>
      </c>
      <c r="I76" t="n">
        <v>9.124516129032257</v>
      </c>
      <c r="J76" t="n">
        <v>9.124548387096773</v>
      </c>
    </row>
    <row r="77">
      <c r="A77" s="11" t="n">
        <v>44287</v>
      </c>
      <c r="B77" t="n">
        <v>3.746233333333333</v>
      </c>
      <c r="C77" t="n">
        <v>5.287166666666667</v>
      </c>
      <c r="D77" t="n">
        <v>0.4110333333333334</v>
      </c>
      <c r="E77" t="n">
        <v>0.4744333333333333</v>
      </c>
      <c r="F77" t="n">
        <v>0.002566666666666667</v>
      </c>
      <c r="I77" t="n">
        <v>9.921433333333333</v>
      </c>
      <c r="J77" t="n">
        <v>9.921433333333335</v>
      </c>
    </row>
    <row r="78">
      <c r="A78" s="11" t="n">
        <v>44317</v>
      </c>
      <c r="B78" t="n">
        <v>3.843774193548387</v>
      </c>
      <c r="C78" t="n">
        <v>5.234774193548387</v>
      </c>
      <c r="D78" t="n">
        <v>0.2831612903225807</v>
      </c>
      <c r="E78" t="n">
        <v>0.3512903225806452</v>
      </c>
      <c r="F78" t="n">
        <v>0.002580645161290323</v>
      </c>
      <c r="I78" t="n">
        <v>9.715548387096774</v>
      </c>
      <c r="J78" t="n">
        <v>9.715580645161289</v>
      </c>
    </row>
    <row r="79">
      <c r="A79" s="11" t="n">
        <v>44348</v>
      </c>
      <c r="B79" t="n">
        <v>5.751166666666667</v>
      </c>
      <c r="C79" t="n">
        <v>5.296266666666666</v>
      </c>
      <c r="D79" t="n">
        <v>0.2299</v>
      </c>
      <c r="E79" t="n">
        <v>0.3627</v>
      </c>
      <c r="F79" t="n">
        <v>0.002566666666666667</v>
      </c>
      <c r="I79" t="n">
        <v>11.6426</v>
      </c>
      <c r="J79" t="n">
        <v>11.6426</v>
      </c>
    </row>
    <row r="80">
      <c r="A80" s="11" t="n">
        <v>44378</v>
      </c>
      <c r="B80" t="n">
        <v>6.234870967741935</v>
      </c>
      <c r="C80" t="n">
        <v>5.42283870967742</v>
      </c>
      <c r="D80" t="n">
        <v>0.215258064516129</v>
      </c>
      <c r="E80" t="n">
        <v>0.3711612903225807</v>
      </c>
      <c r="F80" t="n">
        <v>0.002580645161290323</v>
      </c>
      <c r="I80" t="n">
        <v>12.24674193548387</v>
      </c>
      <c r="J80" t="n">
        <v>12.24670967741936</v>
      </c>
    </row>
    <row r="81">
      <c r="A81" s="11" t="n">
        <v>44409</v>
      </c>
      <c r="B81" t="n">
        <v>6.327096774193548</v>
      </c>
      <c r="C81" t="n">
        <v>5.458516129032258</v>
      </c>
      <c r="D81" t="n">
        <v>0.1994193548387097</v>
      </c>
      <c r="E81" t="n">
        <v>0.3660322580645162</v>
      </c>
      <c r="F81" t="n">
        <v>0.002580645161290323</v>
      </c>
      <c r="I81" t="n">
        <v>12.35361290322581</v>
      </c>
      <c r="J81" t="n">
        <v>12.35364516129032</v>
      </c>
    </row>
    <row r="82">
      <c r="A82" s="11" t="n">
        <v>44440</v>
      </c>
      <c r="B82" t="n">
        <v>5.298666666666667</v>
      </c>
      <c r="C82" t="n">
        <v>5.518066666666667</v>
      </c>
      <c r="D82" t="n">
        <v>0.2002666666666667</v>
      </c>
      <c r="E82" t="n">
        <v>0.3705666666666667</v>
      </c>
      <c r="F82" t="n">
        <v>0.002566666666666667</v>
      </c>
      <c r="I82" t="n">
        <v>11.39013333333333</v>
      </c>
      <c r="J82" t="n">
        <v>11.39013333333333</v>
      </c>
    </row>
    <row r="83">
      <c r="A83" s="11" t="n">
        <v>44470</v>
      </c>
      <c r="B83" t="n">
        <v>4.412612903225807</v>
      </c>
      <c r="C83" t="n">
        <v>5.262677419354839</v>
      </c>
      <c r="D83" t="n">
        <v>0.2569354838709678</v>
      </c>
      <c r="E83" t="n">
        <v>0.3873548387096775</v>
      </c>
      <c r="F83" t="n">
        <v>0.002580645161290323</v>
      </c>
      <c r="I83" t="n">
        <v>10.32216129032258</v>
      </c>
      <c r="J83" t="n">
        <v>10.32216129032258</v>
      </c>
    </row>
    <row r="84">
      <c r="A84" s="11" t="n">
        <v>44501</v>
      </c>
      <c r="B84" t="n">
        <v>3.4576</v>
      </c>
      <c r="C84" t="n">
        <v>5.6497</v>
      </c>
      <c r="D84" t="n">
        <v>0.5384333333333333</v>
      </c>
      <c r="E84" t="n">
        <v>0.5129333333333332</v>
      </c>
      <c r="F84" t="n">
        <v>0.002566666666666667</v>
      </c>
      <c r="I84" t="n">
        <v>10.1612</v>
      </c>
      <c r="J84" t="n">
        <v>10.16123333333333</v>
      </c>
    </row>
    <row r="85">
      <c r="A85" s="11" t="n">
        <v>44531</v>
      </c>
      <c r="B85" t="n">
        <v>3.378290322580646</v>
      </c>
      <c r="C85" t="n">
        <v>5.783322580645161</v>
      </c>
      <c r="D85" t="n">
        <v>0.5891612903225806</v>
      </c>
      <c r="E85" t="n">
        <v>0.5320967741935484</v>
      </c>
      <c r="F85" t="n">
        <v>0.002580645161290323</v>
      </c>
      <c r="I85" t="n">
        <v>10.28545161290323</v>
      </c>
      <c r="J85" t="n">
        <v>10.28545161290323</v>
      </c>
    </row>
    <row r="86">
      <c r="A86" s="11" t="n">
        <v>44562</v>
      </c>
      <c r="B86" t="n">
        <v>4.094129032258064</v>
      </c>
      <c r="C86" t="n">
        <v>5.599161290322581</v>
      </c>
      <c r="D86" t="n">
        <v>1.307903225806452</v>
      </c>
      <c r="E86" t="n">
        <v>0.7509677419354839</v>
      </c>
      <c r="F86" t="n">
        <v>0.003483870967741936</v>
      </c>
      <c r="I86" t="n">
        <v>11.75564516129032</v>
      </c>
      <c r="J86" t="n">
        <v>11.75564516129032</v>
      </c>
    </row>
    <row r="87">
      <c r="A87" s="11" t="n">
        <v>44593</v>
      </c>
      <c r="B87" t="n">
        <v>4.156392857142857</v>
      </c>
      <c r="C87" t="n">
        <v>5.527285714285715</v>
      </c>
      <c r="D87" t="n">
        <v>1.646</v>
      </c>
      <c r="E87" t="n">
        <v>0.8936785714285714</v>
      </c>
      <c r="F87" t="n">
        <v>0.0035</v>
      </c>
      <c r="I87" t="n">
        <v>12.22682142857143</v>
      </c>
      <c r="J87" t="n">
        <v>12.22685714285715</v>
      </c>
    </row>
    <row r="88">
      <c r="A88" s="11" t="n">
        <v>44621</v>
      </c>
      <c r="B88" t="n">
        <v>2.959516129032258</v>
      </c>
      <c r="C88" t="n">
        <v>5.511225806451613</v>
      </c>
      <c r="D88" t="n">
        <v>0.9952903225806451</v>
      </c>
      <c r="E88" t="n">
        <v>0.6364838709677419</v>
      </c>
      <c r="F88" t="n">
        <v>0.003483870967741936</v>
      </c>
      <c r="I88" t="n">
        <v>10.106</v>
      </c>
      <c r="J88" t="n">
        <v>10.106</v>
      </c>
    </row>
    <row r="89">
      <c r="A89" s="11" t="n">
        <v>44652</v>
      </c>
      <c r="B89" t="n">
        <v>3.282933333333333</v>
      </c>
      <c r="C89" t="n">
        <v>5.453966666666666</v>
      </c>
      <c r="D89" t="n">
        <v>0.4558</v>
      </c>
      <c r="E89" t="n">
        <v>0.4546666666666667</v>
      </c>
      <c r="F89" t="n">
        <v>0.0035</v>
      </c>
      <c r="I89" t="n">
        <v>9.650833333333335</v>
      </c>
      <c r="J89" t="n">
        <v>9.650866666666666</v>
      </c>
    </row>
    <row r="90">
      <c r="A90" s="11" t="n">
        <v>44682</v>
      </c>
      <c r="B90" t="n">
        <v>4.855322580645161</v>
      </c>
      <c r="C90" t="n">
        <v>5.277774193548387</v>
      </c>
      <c r="D90" t="n">
        <v>0.2358387096774194</v>
      </c>
      <c r="E90" t="n">
        <v>0.3918387096774194</v>
      </c>
      <c r="F90" t="n">
        <v>0.003483870967741936</v>
      </c>
      <c r="I90" t="n">
        <v>10.76425806451613</v>
      </c>
      <c r="J90" t="n">
        <v>10.76425806451613</v>
      </c>
    </row>
    <row r="91">
      <c r="A91" s="11" t="n">
        <v>44713</v>
      </c>
      <c r="B91" t="n">
        <v>6.1464</v>
      </c>
      <c r="C91" t="n">
        <v>5.399933333333333</v>
      </c>
      <c r="D91" t="n">
        <v>0.2081</v>
      </c>
      <c r="E91" t="n">
        <v>0.3769333333333333</v>
      </c>
      <c r="F91" t="n">
        <v>0.0035</v>
      </c>
      <c r="I91" t="n">
        <v>12.13486666666667</v>
      </c>
      <c r="J91" t="n">
        <v>12.13486666666667</v>
      </c>
    </row>
    <row r="92">
      <c r="A92" s="11" t="n">
        <v>44743</v>
      </c>
      <c r="B92" t="n">
        <v>7.247</v>
      </c>
      <c r="C92" t="n">
        <v>5.349774193548387</v>
      </c>
      <c r="D92" t="n">
        <v>0.198</v>
      </c>
      <c r="E92" t="n">
        <v>0.3811935483870968</v>
      </c>
      <c r="F92" t="n">
        <v>0.003483870967741936</v>
      </c>
      <c r="I92" t="n">
        <v>13.17945161290323</v>
      </c>
      <c r="J92" t="n">
        <v>13.17945161290323</v>
      </c>
    </row>
    <row r="93">
      <c r="A93" s="11" t="n">
        <v>44774</v>
      </c>
      <c r="B93" t="n">
        <v>7.078322580645161</v>
      </c>
      <c r="C93" t="n">
        <v>5.306225806451613</v>
      </c>
      <c r="D93" t="n">
        <v>0.1731290322580645</v>
      </c>
      <c r="E93" t="n">
        <v>0.3629354838709677</v>
      </c>
      <c r="F93" t="n">
        <v>0.003483870967741936</v>
      </c>
      <c r="I93" t="n">
        <v>12.92409677419355</v>
      </c>
      <c r="J93" t="n">
        <v>12.92409677419355</v>
      </c>
    </row>
    <row r="94">
      <c r="A94" s="11" t="n">
        <v>44805</v>
      </c>
      <c r="B94" t="n">
        <v>6.03</v>
      </c>
      <c r="C94" t="n">
        <v>5.1567</v>
      </c>
      <c r="D94" t="n">
        <v>0.1889666666666667</v>
      </c>
      <c r="E94" t="n">
        <v>0.3755333333333334</v>
      </c>
      <c r="F94" t="n">
        <v>0.0035</v>
      </c>
      <c r="I94" t="n">
        <v>11.7547</v>
      </c>
      <c r="J94" t="n">
        <v>11.7547</v>
      </c>
    </row>
    <row r="95">
      <c r="A95" s="11" t="n">
        <v>44835</v>
      </c>
      <c r="B95" t="n">
        <v>4.475677419354839</v>
      </c>
      <c r="C95" t="n">
        <v>5.268645161290323</v>
      </c>
      <c r="D95" t="n">
        <v>0.2959032258064516</v>
      </c>
      <c r="E95" t="n">
        <v>0.4337741935483871</v>
      </c>
      <c r="F95" t="n">
        <v>0.003483870967741936</v>
      </c>
      <c r="I95" t="n">
        <v>10.47748387096774</v>
      </c>
      <c r="J95" t="n">
        <v>10.47748387096774</v>
      </c>
    </row>
    <row r="96">
      <c r="A96" s="11" t="n">
        <v>44866</v>
      </c>
      <c r="B96" t="n">
        <v>4.325966666666666</v>
      </c>
      <c r="C96" t="n">
        <v>5.461066666666667</v>
      </c>
      <c r="D96" t="n">
        <v>0.8497333333333333</v>
      </c>
      <c r="E96" t="n">
        <v>0.7006</v>
      </c>
      <c r="F96" t="n">
        <v>0.0035</v>
      </c>
      <c r="I96" t="n">
        <v>11.34083333333333</v>
      </c>
      <c r="J96" t="n">
        <v>11.34086666666667</v>
      </c>
    </row>
    <row r="97">
      <c r="A97" s="11" t="n">
        <v>44896</v>
      </c>
      <c r="B97" t="n">
        <v>4.625387096774193</v>
      </c>
      <c r="C97" t="n">
        <v>5.226</v>
      </c>
      <c r="D97" t="n">
        <v>1.168129032258065</v>
      </c>
      <c r="E97" t="n">
        <v>0.7404838709677419</v>
      </c>
      <c r="F97" t="n">
        <v>0.003483870967741936</v>
      </c>
      <c r="I97" t="n">
        <v>11.76351612903226</v>
      </c>
      <c r="J97" t="n">
        <v>11.76348387096774</v>
      </c>
    </row>
    <row r="98">
      <c r="A98" s="11" t="n">
        <v>44927</v>
      </c>
      <c r="B98" t="n">
        <v>4.131806451612904</v>
      </c>
      <c r="C98" t="n">
        <v>5.51583870967742</v>
      </c>
      <c r="D98" t="n">
        <v>1.208774193548387</v>
      </c>
      <c r="E98" t="n">
        <v>0.7606774193548387</v>
      </c>
      <c r="F98" t="n">
        <v>0.002548387096774193</v>
      </c>
      <c r="I98" t="n">
        <v>11.61961290322581</v>
      </c>
      <c r="J98" t="n">
        <v>11.61964516129032</v>
      </c>
    </row>
    <row r="99">
      <c r="A99" s="11" t="n">
        <v>44958</v>
      </c>
      <c r="B99" t="n">
        <v>4.249357142857143</v>
      </c>
      <c r="C99" t="n">
        <v>5.526035714285714</v>
      </c>
      <c r="D99" t="n">
        <v>1.250571428571429</v>
      </c>
      <c r="E99" t="n">
        <v>0.8006071428571429</v>
      </c>
      <c r="F99" t="n">
        <v>0.002535714285714286</v>
      </c>
      <c r="I99" t="n">
        <v>11.82910714285714</v>
      </c>
      <c r="J99" t="n">
        <v>11.82910714285714</v>
      </c>
    </row>
    <row r="100">
      <c r="A100" s="11" t="n">
        <v>44986</v>
      </c>
      <c r="B100" t="n">
        <v>3.893903225806452</v>
      </c>
      <c r="C100" t="n">
        <v>5.402161290322581</v>
      </c>
      <c r="D100" t="n">
        <v>0.694516129032258</v>
      </c>
      <c r="E100" t="n">
        <v>0.615225806451613</v>
      </c>
      <c r="F100" t="n">
        <v>0.002548387096774193</v>
      </c>
      <c r="I100" t="n">
        <v>10.60835483870968</v>
      </c>
      <c r="J100" t="n">
        <v>10.60835483870968</v>
      </c>
    </row>
    <row r="101">
      <c r="A101" s="11" t="n">
        <v>45017</v>
      </c>
      <c r="B101" t="n">
        <v>3.9954</v>
      </c>
      <c r="C101" t="n">
        <v>5.470466666666666</v>
      </c>
      <c r="D101" t="n">
        <v>0.4013333333333333</v>
      </c>
      <c r="E101" t="n">
        <v>0.4463666666666667</v>
      </c>
      <c r="F101" t="n">
        <v>0.002533333333333333</v>
      </c>
      <c r="I101" t="n">
        <v>10.31606666666667</v>
      </c>
      <c r="J101" t="n">
        <v>10.3161</v>
      </c>
    </row>
    <row r="102">
      <c r="A102" s="11" t="n">
        <v>45047</v>
      </c>
      <c r="B102" t="n">
        <v>5.581419354838709</v>
      </c>
      <c r="C102" t="n">
        <v>5.328387096774193</v>
      </c>
      <c r="D102" t="n">
        <v>0.2346774193548387</v>
      </c>
      <c r="E102" t="n">
        <v>0.4124516129032258</v>
      </c>
      <c r="F102" t="n">
        <v>0.002548387096774193</v>
      </c>
      <c r="I102" t="n">
        <v>11.55945161290323</v>
      </c>
      <c r="J102" t="n">
        <v>11.55948387096774</v>
      </c>
    </row>
    <row r="103">
      <c r="A103" s="11" t="n">
        <v>45078</v>
      </c>
      <c r="B103" t="n">
        <v>7.014966666666666</v>
      </c>
      <c r="C103" t="n">
        <v>5.343</v>
      </c>
      <c r="D103" t="n">
        <v>0.2256666666666667</v>
      </c>
      <c r="E103" t="n">
        <v>0.4073333333333333</v>
      </c>
      <c r="F103" t="n">
        <v>0.002533333333333333</v>
      </c>
      <c r="I103" t="n">
        <v>12.99353333333333</v>
      </c>
      <c r="J103" t="n">
        <v>12.9935</v>
      </c>
    </row>
    <row r="104">
      <c r="A104" s="11" t="n">
        <v>45108</v>
      </c>
      <c r="B104" t="n">
        <v>7.577548387096774</v>
      </c>
      <c r="C104" t="n">
        <v>5.342064516129033</v>
      </c>
      <c r="D104" t="n">
        <v>0.2085161290322581</v>
      </c>
      <c r="E104" t="n">
        <v>0.4069354838709677</v>
      </c>
      <c r="F104" t="n">
        <v>0.002548387096774193</v>
      </c>
      <c r="I104" t="n">
        <v>13.53758064516129</v>
      </c>
      <c r="J104" t="n">
        <v>13.53761290322581</v>
      </c>
    </row>
    <row r="105">
      <c r="A105" s="11" t="n">
        <v>45139</v>
      </c>
      <c r="B105" t="n">
        <v>8.656483870967742</v>
      </c>
      <c r="C105" t="n">
        <v>5.447580645161291</v>
      </c>
      <c r="D105" t="n">
        <v>0.1878064516129032</v>
      </c>
      <c r="E105" t="n">
        <v>0.3826774193548387</v>
      </c>
      <c r="F105" t="n">
        <v>0.002548387096774193</v>
      </c>
      <c r="I105" t="n">
        <v>14.67709677419355</v>
      </c>
      <c r="J105" t="n">
        <v>14.67709677419355</v>
      </c>
    </row>
    <row r="106">
      <c r="A106" s="11" t="n">
        <v>45170</v>
      </c>
      <c r="B106" t="n">
        <v>7.155399999999999</v>
      </c>
      <c r="C106" t="n">
        <v>5.445399999999999</v>
      </c>
      <c r="D106" t="n">
        <v>0.1764</v>
      </c>
      <c r="E106" t="n">
        <v>0.3765</v>
      </c>
      <c r="F106" t="n">
        <v>0.002533333333333333</v>
      </c>
      <c r="I106" t="n">
        <v>13.15623333333333</v>
      </c>
      <c r="J106" t="n">
        <v>13.15623333333333</v>
      </c>
    </row>
    <row r="107">
      <c r="A107" s="11" t="n">
        <v>45200</v>
      </c>
      <c r="B107" t="n">
        <v>4.932032258064516</v>
      </c>
      <c r="C107" t="n">
        <v>5.434838709677419</v>
      </c>
      <c r="D107" t="n">
        <v>0.3194516129032258</v>
      </c>
      <c r="E107" t="n">
        <v>0.4662903225806452</v>
      </c>
      <c r="F107" t="n">
        <v>0.002548387096774193</v>
      </c>
      <c r="I107" t="n">
        <v>11.15516129032258</v>
      </c>
      <c r="J107" t="n">
        <v>11.15516129032258</v>
      </c>
    </row>
    <row r="108">
      <c r="A108" s="11" t="n">
        <v>45231</v>
      </c>
      <c r="B108" t="n">
        <v>4.633666666666667</v>
      </c>
      <c r="C108" t="n">
        <v>5.712766666666666</v>
      </c>
      <c r="D108" t="n">
        <v>0.6995</v>
      </c>
      <c r="E108" t="n">
        <v>0.6163</v>
      </c>
      <c r="F108" t="n">
        <v>0.002533333333333333</v>
      </c>
      <c r="I108" t="n">
        <v>11.66476666666667</v>
      </c>
      <c r="J108" t="n">
        <v>11.66476666666667</v>
      </c>
    </row>
    <row r="109">
      <c r="A109" s="11" t="n">
        <v>45261</v>
      </c>
      <c r="B109" t="n">
        <v>4.421</v>
      </c>
      <c r="C109" t="n">
        <v>5.817548387096775</v>
      </c>
      <c r="D109" t="n">
        <v>1.020774193548387</v>
      </c>
      <c r="E109" t="n">
        <v>0.7173548387096774</v>
      </c>
      <c r="F109" t="n">
        <v>0.002548387096774193</v>
      </c>
      <c r="I109" t="n">
        <v>11.97922580645161</v>
      </c>
      <c r="J109" t="n">
        <v>11.97922580645161</v>
      </c>
    </row>
    <row r="110">
      <c r="A110" s="11" t="n">
        <v>45292</v>
      </c>
      <c r="B110" t="n">
        <v>5.561419354838709</v>
      </c>
      <c r="C110" t="n">
        <v>5.737903225806452</v>
      </c>
      <c r="D110" t="n">
        <v>1.718290322580645</v>
      </c>
      <c r="E110" t="n">
        <v>0.9129677419354839</v>
      </c>
      <c r="F110" t="n">
        <v>0.007419354838709677</v>
      </c>
      <c r="I110" t="n">
        <v>13.93796774193548</v>
      </c>
      <c r="J110" t="n">
        <v>13.938</v>
      </c>
    </row>
    <row r="111">
      <c r="A111" s="11" t="n">
        <v>45323</v>
      </c>
      <c r="B111" t="n">
        <v>4.008068965517241</v>
      </c>
      <c r="C111" t="n">
        <v>5.536586206896551</v>
      </c>
      <c r="D111" t="n">
        <v>1.097586206896552</v>
      </c>
      <c r="E111" t="n">
        <v>0.764551724137931</v>
      </c>
      <c r="F111" t="n">
        <v>0.007413793103448276</v>
      </c>
      <c r="I111" t="n">
        <v>11.41420689655173</v>
      </c>
      <c r="J111" t="n">
        <v>11.41420689655172</v>
      </c>
    </row>
    <row r="112">
      <c r="A112" s="11" t="n">
        <v>45352</v>
      </c>
      <c r="B112" t="n">
        <v>4.475806451612903</v>
      </c>
      <c r="C112" t="n">
        <v>5.56</v>
      </c>
      <c r="D112" t="n">
        <v>0.5969677419354839</v>
      </c>
      <c r="E112" t="n">
        <v>0.5730645161290323</v>
      </c>
      <c r="F112" t="n">
        <v>0.007419354838709677</v>
      </c>
      <c r="I112" t="n">
        <v>11.21325806451613</v>
      </c>
      <c r="J112" t="n">
        <v>11.21325806451613</v>
      </c>
    </row>
    <row r="113">
      <c r="A113" s="11" t="n">
        <v>45383</v>
      </c>
      <c r="B113" t="n">
        <v>4.507533333333334</v>
      </c>
      <c r="C113" t="n">
        <v>5.455</v>
      </c>
      <c r="D113" t="n">
        <v>0.3352</v>
      </c>
      <c r="E113" t="n">
        <v>0.4414666666666666</v>
      </c>
      <c r="F113" t="n">
        <v>0.0074</v>
      </c>
      <c r="I113" t="n">
        <v>10.7466</v>
      </c>
      <c r="J113" t="n">
        <v>10.7466</v>
      </c>
    </row>
    <row r="114">
      <c r="A114" s="11" t="n">
        <v>45413</v>
      </c>
      <c r="B114" t="n">
        <v>6.010064516129032</v>
      </c>
      <c r="C114" t="n">
        <v>5.232161290322581</v>
      </c>
      <c r="D114" t="n">
        <v>0.2444516129032258</v>
      </c>
      <c r="E114" t="n">
        <v>0.4193225806451613</v>
      </c>
      <c r="F114" t="n">
        <v>0.007419354838709677</v>
      </c>
      <c r="I114" t="n">
        <v>11.91341935483871</v>
      </c>
      <c r="J114" t="n">
        <v>11.91341935483871</v>
      </c>
    </row>
    <row r="115">
      <c r="A115" s="11" t="n">
        <v>45444</v>
      </c>
      <c r="B115" t="n">
        <v>6.976733333333334</v>
      </c>
      <c r="C115" t="n">
        <v>5.412633333333333</v>
      </c>
      <c r="D115" t="n">
        <v>0.2411666666666667</v>
      </c>
      <c r="E115" t="n">
        <v>0.4122</v>
      </c>
      <c r="F115" t="n">
        <v>0.0074</v>
      </c>
      <c r="I115" t="n">
        <v>13.05013333333333</v>
      </c>
      <c r="J115" t="n">
        <v>13.05013333333333</v>
      </c>
    </row>
    <row r="116">
      <c r="A116" s="11" t="n">
        <v>45474</v>
      </c>
      <c r="B116" t="n">
        <v>7.261322580645161</v>
      </c>
      <c r="C116" t="n">
        <v>5.511741935483871</v>
      </c>
      <c r="D116" t="n">
        <v>0.2387096774193548</v>
      </c>
      <c r="E116" t="n">
        <v>0.4077096774193548</v>
      </c>
      <c r="F116" t="n">
        <v>0.007419354838709677</v>
      </c>
      <c r="I116" t="n">
        <v>13.42690322580645</v>
      </c>
      <c r="J116" t="n">
        <v>13.42690322580645</v>
      </c>
    </row>
    <row r="117">
      <c r="A117" s="11" t="n">
        <v>45505</v>
      </c>
      <c r="B117" t="n">
        <v>8.358483870967742</v>
      </c>
      <c r="C117" t="n">
        <v>5.637741935483871</v>
      </c>
      <c r="D117" t="n">
        <v>0.2118709677419355</v>
      </c>
      <c r="E117" t="n">
        <v>0.3919677419354838</v>
      </c>
      <c r="F117" t="n">
        <v>0.007419354838709677</v>
      </c>
      <c r="I117" t="n">
        <v>14.60748387096774</v>
      </c>
      <c r="J117" t="n">
        <v>14.60748387096774</v>
      </c>
    </row>
    <row r="118">
      <c r="A118" s="11" t="n">
        <v>45536</v>
      </c>
      <c r="B118" t="n">
        <v>6.897866666666666</v>
      </c>
      <c r="C118" t="n">
        <v>5.5316</v>
      </c>
      <c r="D118" t="n">
        <v>0.2098333333333333</v>
      </c>
      <c r="E118" t="n">
        <v>0.4142666666666667</v>
      </c>
      <c r="F118" t="n">
        <v>0.0074</v>
      </c>
      <c r="I118" t="n">
        <v>13.06096666666667</v>
      </c>
      <c r="J118" t="n">
        <v>13.06096666666667</v>
      </c>
    </row>
    <row r="119">
      <c r="A119" s="11" t="n">
        <v>45566</v>
      </c>
      <c r="B119" t="n">
        <v>5.92516129032258</v>
      </c>
      <c r="C119" t="n">
        <v>5.303709677419355</v>
      </c>
      <c r="D119" t="n">
        <v>0.2420322580645161</v>
      </c>
      <c r="E119" t="n">
        <v>0.4293548387096774</v>
      </c>
      <c r="F119" t="n">
        <v>0.007419354838709677</v>
      </c>
      <c r="I119" t="n">
        <v>11.90767741935484</v>
      </c>
      <c r="J119" t="n">
        <v>11.90767741935484</v>
      </c>
    </row>
    <row r="120">
      <c r="A120" s="11" t="n">
        <v>45597</v>
      </c>
      <c r="B120" t="n">
        <v>4.806333333333333</v>
      </c>
      <c r="C120" t="n">
        <v>5.701866666666667</v>
      </c>
      <c r="D120" t="n">
        <v>0.4328666666666667</v>
      </c>
      <c r="E120" t="n">
        <v>0.5004</v>
      </c>
      <c r="F120" t="n">
        <v>0.0074</v>
      </c>
      <c r="I120" t="n">
        <v>11.44886666666667</v>
      </c>
      <c r="J120" t="n">
        <v>11.44886666666667</v>
      </c>
    </row>
    <row r="121">
      <c r="A121" s="11" t="n">
        <v>45627</v>
      </c>
      <c r="B121" t="n">
        <v>4.653419354838709</v>
      </c>
      <c r="C121" t="n">
        <v>6.043483870967742</v>
      </c>
      <c r="D121" t="n">
        <v>0.8987419354838709</v>
      </c>
      <c r="E121" t="n">
        <v>0.681483870967742</v>
      </c>
      <c r="F121" t="n">
        <v>0.007419354838709677</v>
      </c>
      <c r="I121" t="n">
        <v>12.28451612903226</v>
      </c>
      <c r="J121" t="n">
        <v>12.28454838709678</v>
      </c>
    </row>
    <row r="122">
      <c r="A122" s="11" t="n">
        <v>45658</v>
      </c>
      <c r="B122" t="n">
        <v>5.869</v>
      </c>
      <c r="C122" t="n">
        <v>5.845741935483871</v>
      </c>
      <c r="D122" t="n">
        <v>2.010354838709677</v>
      </c>
      <c r="E122" t="n">
        <v>1.101387096774194</v>
      </c>
      <c r="F122" t="n">
        <v>0.006193548387096774</v>
      </c>
      <c r="I122" t="n">
        <v>14.83267741935484</v>
      </c>
      <c r="J122" t="n">
        <v>14.83267741935484</v>
      </c>
    </row>
    <row r="123">
      <c r="A123" s="11" t="n">
        <v>45689</v>
      </c>
      <c r="B123" t="n">
        <v>5.272785714285715</v>
      </c>
      <c r="C123" t="n">
        <v>5.759535714285715</v>
      </c>
      <c r="D123" t="n">
        <v>1.569142857142857</v>
      </c>
      <c r="E123" t="n">
        <v>0.9613214285714285</v>
      </c>
      <c r="F123" t="n">
        <v>0.006214285714285715</v>
      </c>
      <c r="I123" t="n">
        <v>13.56896428571429</v>
      </c>
      <c r="J123" t="n">
        <v>13.569</v>
      </c>
    </row>
    <row r="124">
      <c r="A124" s="11" t="n">
        <v>45717</v>
      </c>
      <c r="B124" t="n">
        <v>3.69841935483871</v>
      </c>
      <c r="C124" t="n">
        <v>5.697580645161291</v>
      </c>
      <c r="D124" t="n">
        <v>0.5337741935483871</v>
      </c>
      <c r="E124" t="n">
        <v>0.4649354838709677</v>
      </c>
      <c r="F124" t="n">
        <v>0.006193548387096774</v>
      </c>
      <c r="I124" t="n">
        <v>10.40090322580645</v>
      </c>
      <c r="J124" t="n">
        <v>10.40090322580645</v>
      </c>
    </row>
    <row r="125">
      <c r="A125" s="11" t="n">
        <v>45748</v>
      </c>
      <c r="B125" t="n">
        <v>4.2876</v>
      </c>
      <c r="C125" t="n">
        <v>5.537833333333333</v>
      </c>
      <c r="D125" t="n">
        <v>0.4167</v>
      </c>
      <c r="E125" t="n">
        <v>0.5441666666666666</v>
      </c>
      <c r="F125" t="n">
        <v>0.0062</v>
      </c>
      <c r="I125" t="n">
        <v>10.7925</v>
      </c>
      <c r="J125" t="n">
        <v>10.7925</v>
      </c>
    </row>
    <row r="126">
      <c r="A126" s="11" t="n">
        <v>45778</v>
      </c>
      <c r="B126" t="n">
        <v>5.777741935483871</v>
      </c>
      <c r="C126" t="n">
        <v>5.462096774193548</v>
      </c>
      <c r="D126" t="n">
        <v>0.2829032258064516</v>
      </c>
      <c r="E126" t="n">
        <v>0.4228387096774193</v>
      </c>
      <c r="F126" t="n">
        <v>0.006193548387096774</v>
      </c>
      <c r="I126" t="n">
        <v>11.9518064516129</v>
      </c>
      <c r="J126" t="n">
        <v>11.95177419354839</v>
      </c>
    </row>
    <row r="127">
      <c r="A127" s="11" t="n">
        <v>45809</v>
      </c>
      <c r="B127" t="n">
        <v>6.4434</v>
      </c>
      <c r="C127" t="n">
        <v>5.411233333333334</v>
      </c>
      <c r="D127" t="n">
        <v>0.2359</v>
      </c>
      <c r="E127" t="n">
        <v>0.419</v>
      </c>
      <c r="F127" t="n">
        <v>0.0062</v>
      </c>
      <c r="I127" t="n">
        <v>12.51576666666667</v>
      </c>
      <c r="J127" t="n">
        <v>12.51573333333333</v>
      </c>
    </row>
    <row r="128">
      <c r="A128" s="11" t="n">
        <v>45839</v>
      </c>
      <c r="B128" t="n">
        <v>7.139032258064516</v>
      </c>
      <c r="C128" t="n">
        <v>5.410709677419355</v>
      </c>
      <c r="D128" t="n">
        <v>0.2180645161290322</v>
      </c>
      <c r="E128" t="n">
        <v>0.4039032258064516</v>
      </c>
      <c r="F128" t="n">
        <v>0.006193548387096774</v>
      </c>
      <c r="I128" t="n">
        <v>13.17793548387097</v>
      </c>
      <c r="J128" t="n">
        <v>13.17790322580645</v>
      </c>
    </row>
    <row r="129">
      <c r="A129" s="11" t="n">
        <v>45870</v>
      </c>
      <c r="B129" t="n">
        <v>7.713354838709678</v>
      </c>
      <c r="C129" t="n">
        <v>5.538838709677419</v>
      </c>
      <c r="D129" t="n">
        <v>0.1949677419354839</v>
      </c>
      <c r="E129" t="n">
        <v>0.383</v>
      </c>
      <c r="F129" t="n">
        <v>0.006193548387096774</v>
      </c>
      <c r="I129" t="n">
        <v>13.83638709677419</v>
      </c>
      <c r="J129" t="n">
        <v>13.83635483870968</v>
      </c>
    </row>
    <row r="130">
      <c r="A130" s="11" t="n">
        <v>45901</v>
      </c>
      <c r="B130" t="n">
        <v>6.913966666666666</v>
      </c>
      <c r="C130" t="n">
        <v>5.562266666666666</v>
      </c>
      <c r="D130" t="n">
        <v>0.1994</v>
      </c>
      <c r="E130" t="n">
        <v>0.3982666666666667</v>
      </c>
      <c r="F130" t="n">
        <v>0.0062</v>
      </c>
      <c r="I130" t="n">
        <v>13.08006666666667</v>
      </c>
      <c r="J130" t="n">
        <v>13.0801</v>
      </c>
    </row>
    <row r="131">
      <c r="A131" s="11" t="n">
        <v>45931</v>
      </c>
      <c r="B131" t="n">
        <v>5.629225806451613</v>
      </c>
      <c r="C131" t="n">
        <v>5.351806451612903</v>
      </c>
      <c r="D131" t="n">
        <v>0.2535806451612903</v>
      </c>
      <c r="E131" t="n">
        <v>0.410258064516129</v>
      </c>
      <c r="F131" t="n">
        <v>0.006193548387096774</v>
      </c>
      <c r="I131" t="n">
        <v>11.65106451612903</v>
      </c>
      <c r="J131" t="n">
        <v>11.65106451612903</v>
      </c>
    </row>
    <row r="132">
      <c r="A132" s="11" t="n">
        <v>45962</v>
      </c>
      <c r="B132" t="n">
        <v>4.648733333333333</v>
      </c>
      <c r="C132" t="n">
        <v>5.8022</v>
      </c>
      <c r="D132" t="n">
        <v>0.4432</v>
      </c>
      <c r="E132" t="n">
        <v>0.5220333333333333</v>
      </c>
      <c r="F132" t="n">
        <v>0.0062</v>
      </c>
      <c r="I132" t="n">
        <v>11.42233333333333</v>
      </c>
      <c r="J132" t="n">
        <v>11.42236666666667</v>
      </c>
    </row>
    <row r="133">
      <c r="A133" s="11" t="n">
        <v>45992</v>
      </c>
      <c r="B133" t="n">
        <v>4.848451612903226</v>
      </c>
      <c r="C133" t="n">
        <v>5.93</v>
      </c>
      <c r="D133" t="n">
        <v>0.9796451612903225</v>
      </c>
      <c r="E133" t="n">
        <v>0.6952903225806452</v>
      </c>
      <c r="F133" t="n">
        <v>0.006193548387096774</v>
      </c>
      <c r="I133" t="n">
        <v>12.45961290322581</v>
      </c>
      <c r="J133" t="n">
        <v>12.45958064516129</v>
      </c>
    </row>
    <row r="134">
      <c r="A134" s="11" t="n">
        <v>46023</v>
      </c>
      <c r="B134" t="n">
        <v>5.437354838709677</v>
      </c>
      <c r="C134" t="n">
        <v>5.787548387096774</v>
      </c>
      <c r="D134" t="n">
        <v>1.498</v>
      </c>
      <c r="E134" t="n">
        <v>0.921258064516129</v>
      </c>
      <c r="F134" t="n">
        <v>0.006193548387096774</v>
      </c>
      <c r="I134" t="n">
        <v>13.65038709677419</v>
      </c>
      <c r="J134" t="n">
        <v>13.65035483870968</v>
      </c>
    </row>
    <row r="135">
      <c r="A135" s="11" t="n">
        <v>46054</v>
      </c>
      <c r="B135" t="n">
        <v>4.554392857142857</v>
      </c>
      <c r="C135" t="n">
        <v>5.705857142857143</v>
      </c>
      <c r="D135" t="n">
        <v>1.006357142857143</v>
      </c>
      <c r="E135" t="n">
        <v>0.6013214285714286</v>
      </c>
      <c r="F135" t="n">
        <v>0.006214285714285715</v>
      </c>
      <c r="I135" t="n">
        <v>11.87410714285714</v>
      </c>
      <c r="J135" t="n">
        <v>11.87414285714286</v>
      </c>
    </row>
    <row r="136">
      <c r="A136" s="11" t="n">
        <v>46082</v>
      </c>
      <c r="B136" t="n">
        <v>4.129</v>
      </c>
      <c r="C136" t="n">
        <v>5.653225806451613</v>
      </c>
      <c r="D136" t="n">
        <v>0.5390967741935484</v>
      </c>
      <c r="E136" t="n">
        <v>0.5518387096774194</v>
      </c>
      <c r="F136" t="n">
        <v>0.006193548387096774</v>
      </c>
      <c r="I136" t="n">
        <v>10.87938709677419</v>
      </c>
      <c r="J136" t="n">
        <v>10.87935483870968</v>
      </c>
    </row>
    <row r="137">
      <c r="A137" s="11" t="n">
        <v>46113</v>
      </c>
      <c r="B137" t="n">
        <v>4.808033333333333</v>
      </c>
      <c r="C137" t="n">
        <v>5.719533333333334</v>
      </c>
      <c r="D137" t="n">
        <v>0.3398</v>
      </c>
      <c r="E137" t="n">
        <v>0.4702333333333333</v>
      </c>
      <c r="F137" t="n">
        <v>0.0062</v>
      </c>
      <c r="I137" t="n">
        <v>11.3438</v>
      </c>
      <c r="J137" t="n">
        <v>11.3438</v>
      </c>
    </row>
    <row r="138">
      <c r="A138" s="11" t="n">
        <v>46143</v>
      </c>
      <c r="B138" t="n">
        <v>5.746419354838709</v>
      </c>
      <c r="C138" t="n">
        <v>5.633806451612903</v>
      </c>
      <c r="D138" t="n">
        <v>0.2309032258064516</v>
      </c>
      <c r="E138" t="n">
        <v>0.3834838709677419</v>
      </c>
      <c r="F138" t="n">
        <v>0.006193548387096774</v>
      </c>
      <c r="I138" t="n">
        <v>12.00083870967742</v>
      </c>
      <c r="J138" t="n">
        <v>12.0008064516129</v>
      </c>
    </row>
    <row r="139">
      <c r="A139" s="11" t="n">
        <v>46174</v>
      </c>
      <c r="B139" t="n">
        <v>6.806066666666666</v>
      </c>
      <c r="C139" t="n">
        <v>5.6723</v>
      </c>
      <c r="D139" t="n">
        <v>0.2417</v>
      </c>
      <c r="E139" t="n">
        <v>0.4054</v>
      </c>
      <c r="F139" t="n">
        <v>0.0062</v>
      </c>
      <c r="I139" t="n">
        <v>13.13166666666667</v>
      </c>
      <c r="J139" t="n">
        <v>13.13166666666667</v>
      </c>
    </row>
    <row r="140">
      <c r="A140" s="11" t="n">
        <v>46204</v>
      </c>
      <c r="B140" t="n">
        <v>7.621806451612904</v>
      </c>
      <c r="C140" t="n">
        <v>5.519354838709677</v>
      </c>
      <c r="D140" t="n">
        <v>0.2176451612903226</v>
      </c>
      <c r="E140" t="n">
        <v>0.3741290322580645</v>
      </c>
      <c r="F140" t="n">
        <v>0.006193548387096774</v>
      </c>
      <c r="I140" t="n">
        <v>13.7391935483871</v>
      </c>
      <c r="J140" t="n">
        <v>13.73912903225806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Pipeline exports to Mexico (Texas crossings)</t>
        </is>
      </c>
      <c r="C1" t="inlineStr">
        <is>
          <t>LNG - Corpus Christi</t>
        </is>
      </c>
      <c r="D1" t="inlineStr">
        <is>
          <t>LNG - El Paso</t>
        </is>
      </c>
      <c r="E1" t="inlineStr">
        <is>
          <t>LNG - Freeport</t>
        </is>
      </c>
      <c r="F1" t="inlineStr">
        <is>
          <t>LNG - Golden Pass</t>
        </is>
      </c>
      <c r="G1" t="inlineStr">
        <is>
          <t>LNG - Laredo</t>
        </is>
      </c>
      <c r="H1" t="inlineStr">
        <is>
          <t>LNG exports (Texas terminals)</t>
        </is>
      </c>
      <c r="I1" t="inlineStr">
        <is>
          <t>Total Texas exports</t>
        </is>
      </c>
    </row>
    <row r="2">
      <c r="A2" s="11" t="n">
        <v>42005</v>
      </c>
      <c r="B2" t="n">
        <v>0.5156129032258064</v>
      </c>
      <c r="E2" t="n">
        <v>0.09048387096774194</v>
      </c>
      <c r="H2" t="n">
        <v>0.09048387096774194</v>
      </c>
      <c r="I2" t="n">
        <v>0.6060967741935483</v>
      </c>
    </row>
    <row r="3">
      <c r="A3" s="11" t="n">
        <v>42036</v>
      </c>
      <c r="B3" t="n">
        <v>0.631</v>
      </c>
      <c r="E3" t="n">
        <v>0.09742857142857143</v>
      </c>
      <c r="H3" t="n">
        <v>0.09742857142857143</v>
      </c>
      <c r="I3" t="n">
        <v>0.7284285714285714</v>
      </c>
    </row>
    <row r="4">
      <c r="A4" s="11" t="n">
        <v>42064</v>
      </c>
      <c r="B4" t="n">
        <v>0.6894193548387096</v>
      </c>
      <c r="I4" t="n">
        <v>0.6894193548387096</v>
      </c>
    </row>
    <row r="5">
      <c r="A5" s="11" t="n">
        <v>42095</v>
      </c>
      <c r="B5" t="n">
        <v>0.7614</v>
      </c>
      <c r="I5" t="n">
        <v>0.7614</v>
      </c>
    </row>
    <row r="6">
      <c r="A6" s="11" t="n">
        <v>42125</v>
      </c>
      <c r="B6" t="n">
        <v>0.7432580645161291</v>
      </c>
      <c r="I6" t="n">
        <v>0.7432580645161291</v>
      </c>
    </row>
    <row r="7">
      <c r="A7" s="11" t="n">
        <v>42156</v>
      </c>
      <c r="B7" t="n">
        <v>0.8176333333333333</v>
      </c>
      <c r="I7" t="n">
        <v>0.8176333333333333</v>
      </c>
    </row>
    <row r="8">
      <c r="A8" s="11" t="n">
        <v>42186</v>
      </c>
      <c r="B8" t="n">
        <v>0.9601935483870968</v>
      </c>
      <c r="I8" t="n">
        <v>0.9601935483870968</v>
      </c>
    </row>
    <row r="9">
      <c r="A9" s="11" t="n">
        <v>42217</v>
      </c>
      <c r="B9" t="n">
        <v>0.9819677419354839</v>
      </c>
      <c r="I9" t="n">
        <v>0.9819677419354839</v>
      </c>
    </row>
    <row r="10">
      <c r="A10" s="11" t="n">
        <v>42248</v>
      </c>
      <c r="B10" t="n">
        <v>0.9929</v>
      </c>
      <c r="I10" t="n">
        <v>0.9929</v>
      </c>
    </row>
    <row r="11">
      <c r="A11" s="11" t="n">
        <v>42278</v>
      </c>
      <c r="B11" t="n">
        <v>1.002903225806452</v>
      </c>
      <c r="G11" t="n">
        <v>3.225806451612903e-05</v>
      </c>
      <c r="H11" t="n">
        <v>3.225806451612903e-05</v>
      </c>
      <c r="I11" t="n">
        <v>1.002935483870968</v>
      </c>
    </row>
    <row r="12">
      <c r="A12" s="11" t="n">
        <v>42309</v>
      </c>
      <c r="B12" t="n">
        <v>0.9998333333333334</v>
      </c>
      <c r="E12" t="n">
        <v>0.09823333333333334</v>
      </c>
      <c r="G12" t="n">
        <v>0</v>
      </c>
      <c r="H12" t="n">
        <v>0.09823333333333334</v>
      </c>
      <c r="I12" t="n">
        <v>1.098066666666667</v>
      </c>
    </row>
    <row r="13">
      <c r="A13" s="11" t="n">
        <v>42339</v>
      </c>
      <c r="B13" t="n">
        <v>1.111354838709677</v>
      </c>
      <c r="E13" t="n">
        <v>0.1014516129032258</v>
      </c>
      <c r="H13" t="n">
        <v>0.1014516129032258</v>
      </c>
      <c r="I13" t="n">
        <v>1.212806451612903</v>
      </c>
    </row>
    <row r="14">
      <c r="A14" s="11" t="n">
        <v>42370</v>
      </c>
      <c r="B14" t="n">
        <v>1.001774193548387</v>
      </c>
      <c r="I14" t="n">
        <v>1.001774193548387</v>
      </c>
    </row>
    <row r="15">
      <c r="A15" s="11" t="n">
        <v>42401</v>
      </c>
      <c r="B15" t="n">
        <v>1.341586206896552</v>
      </c>
      <c r="G15" t="n">
        <v>0.000103448275862069</v>
      </c>
      <c r="H15" t="n">
        <v>0.000103448275862069</v>
      </c>
      <c r="I15" t="n">
        <v>1.341689655172414</v>
      </c>
    </row>
    <row r="16">
      <c r="A16" s="11" t="n">
        <v>42430</v>
      </c>
      <c r="B16" t="n">
        <v>1.314967741935484</v>
      </c>
      <c r="G16" t="n">
        <v>0.0002258064516129032</v>
      </c>
      <c r="H16" t="n">
        <v>0.0002258064516129032</v>
      </c>
      <c r="I16" t="n">
        <v>1.315193548387097</v>
      </c>
    </row>
    <row r="17">
      <c r="A17" s="11" t="n">
        <v>42461</v>
      </c>
      <c r="B17" t="n">
        <v>1.3768</v>
      </c>
      <c r="G17" t="n">
        <v>0.0002666666666666667</v>
      </c>
      <c r="H17" t="n">
        <v>0.0002666666666666667</v>
      </c>
      <c r="I17" t="n">
        <v>1.377066666666667</v>
      </c>
    </row>
    <row r="18">
      <c r="A18" s="11" t="n">
        <v>42491</v>
      </c>
      <c r="B18" t="n">
        <v>1.498193548387097</v>
      </c>
      <c r="G18" t="n">
        <v>0.0005806451612903226</v>
      </c>
      <c r="H18" t="n">
        <v>0.0005806451612903226</v>
      </c>
      <c r="I18" t="n">
        <v>1.498774193548387</v>
      </c>
    </row>
    <row r="19">
      <c r="A19" s="11" t="n">
        <v>42522</v>
      </c>
      <c r="B19" t="n">
        <v>1.511166666666667</v>
      </c>
      <c r="G19" t="n">
        <v>0.0004</v>
      </c>
      <c r="H19" t="n">
        <v>0.0004</v>
      </c>
      <c r="I19" t="n">
        <v>1.511566666666667</v>
      </c>
    </row>
    <row r="20">
      <c r="A20" s="11" t="n">
        <v>42552</v>
      </c>
      <c r="B20" t="n">
        <v>1.616258064516129</v>
      </c>
      <c r="G20" t="n">
        <v>0.0006774193548387096</v>
      </c>
      <c r="H20" t="n">
        <v>0.0006774193548387096</v>
      </c>
      <c r="I20" t="n">
        <v>1.616935483870968</v>
      </c>
    </row>
    <row r="21">
      <c r="A21" s="11" t="n">
        <v>42583</v>
      </c>
      <c r="B21" t="n">
        <v>1.804258064516129</v>
      </c>
      <c r="G21" t="n">
        <v>0.0007419354838709677</v>
      </c>
      <c r="H21" t="n">
        <v>0.0007419354838709677</v>
      </c>
      <c r="I21" t="n">
        <v>1.805</v>
      </c>
    </row>
    <row r="22">
      <c r="A22" s="11" t="n">
        <v>42614</v>
      </c>
      <c r="B22" t="n">
        <v>1.8815</v>
      </c>
      <c r="G22" t="n">
        <v>0.0009</v>
      </c>
      <c r="H22" t="n">
        <v>0.0009</v>
      </c>
      <c r="I22" t="n">
        <v>1.8824</v>
      </c>
    </row>
    <row r="23">
      <c r="A23" s="11" t="n">
        <v>42644</v>
      </c>
      <c r="B23" t="n">
        <v>1.932032258064516</v>
      </c>
      <c r="G23" t="n">
        <v>0.0009032258064516129</v>
      </c>
      <c r="H23" t="n">
        <v>0.0009032258064516129</v>
      </c>
      <c r="I23" t="n">
        <v>1.932935483870968</v>
      </c>
    </row>
    <row r="24">
      <c r="A24" s="11" t="n">
        <v>42675</v>
      </c>
      <c r="B24" t="n">
        <v>1.923433333333333</v>
      </c>
      <c r="G24" t="n">
        <v>0.0011</v>
      </c>
      <c r="H24" t="n">
        <v>0.0011</v>
      </c>
      <c r="I24" t="n">
        <v>1.924533333333333</v>
      </c>
    </row>
    <row r="25">
      <c r="A25" s="11" t="n">
        <v>42705</v>
      </c>
      <c r="B25" t="n">
        <v>1.598741935483871</v>
      </c>
      <c r="G25" t="n">
        <v>0.0007741935483870968</v>
      </c>
      <c r="H25" t="n">
        <v>0.0007741935483870968</v>
      </c>
      <c r="I25" t="n">
        <v>1.599516129032258</v>
      </c>
    </row>
    <row r="26">
      <c r="A26" s="11" t="n">
        <v>42736</v>
      </c>
      <c r="B26" t="n">
        <v>1.884935483870968</v>
      </c>
      <c r="G26" t="n">
        <v>0.002129032258064516</v>
      </c>
      <c r="H26" t="n">
        <v>0.002129032258064516</v>
      </c>
      <c r="I26" t="n">
        <v>1.887064516129032</v>
      </c>
    </row>
    <row r="27">
      <c r="A27" s="11" t="n">
        <v>42767</v>
      </c>
      <c r="B27" t="n">
        <v>1.970821428571429</v>
      </c>
      <c r="G27" t="n">
        <v>0.001</v>
      </c>
      <c r="H27" t="n">
        <v>0.001</v>
      </c>
      <c r="I27" t="n">
        <v>1.971821428571429</v>
      </c>
    </row>
    <row r="28">
      <c r="A28" s="11" t="n">
        <v>42795</v>
      </c>
      <c r="B28" t="n">
        <v>1.956451612903226</v>
      </c>
      <c r="G28" t="n">
        <v>0.001451612903225807</v>
      </c>
      <c r="H28" t="n">
        <v>0.001451612903225807</v>
      </c>
      <c r="I28" t="n">
        <v>1.957903225806452</v>
      </c>
    </row>
    <row r="29">
      <c r="A29" s="11" t="n">
        <v>42826</v>
      </c>
      <c r="B29" t="n">
        <v>1.684966666666667</v>
      </c>
      <c r="G29" t="n">
        <v>0.0018</v>
      </c>
      <c r="H29" t="n">
        <v>0.0018</v>
      </c>
      <c r="I29" t="n">
        <v>1.686766666666667</v>
      </c>
    </row>
    <row r="30">
      <c r="A30" s="11" t="n">
        <v>42856</v>
      </c>
      <c r="B30" t="n">
        <v>1.876677419354839</v>
      </c>
      <c r="G30" t="n">
        <v>0.0004516129032258064</v>
      </c>
      <c r="H30" t="n">
        <v>0.0004516129032258064</v>
      </c>
      <c r="I30" t="n">
        <v>1.877129032258064</v>
      </c>
    </row>
    <row r="31">
      <c r="A31" s="11" t="n">
        <v>42887</v>
      </c>
      <c r="B31" t="n">
        <v>1.960533333333333</v>
      </c>
      <c r="G31" t="n">
        <v>0.0002</v>
      </c>
      <c r="H31" t="n">
        <v>0.0002</v>
      </c>
      <c r="I31" t="n">
        <v>1.960733333333333</v>
      </c>
    </row>
    <row r="32">
      <c r="A32" s="11" t="n">
        <v>42917</v>
      </c>
      <c r="B32" t="n">
        <v>1.921096774193548</v>
      </c>
      <c r="G32" t="n">
        <v>0.001096774193548387</v>
      </c>
      <c r="H32" t="n">
        <v>0.001096774193548387</v>
      </c>
      <c r="I32" t="n">
        <v>1.922193548387097</v>
      </c>
    </row>
    <row r="33">
      <c r="A33" s="11" t="n">
        <v>42948</v>
      </c>
      <c r="B33" t="n">
        <v>1.990870967741935</v>
      </c>
      <c r="G33" t="n">
        <v>0.0006774193548387096</v>
      </c>
      <c r="H33" t="n">
        <v>0.0006774193548387096</v>
      </c>
      <c r="I33" t="n">
        <v>1.991548387096774</v>
      </c>
    </row>
    <row r="34">
      <c r="A34" s="11" t="n">
        <v>42979</v>
      </c>
      <c r="B34" t="n">
        <v>1.869566666666667</v>
      </c>
      <c r="G34" t="n">
        <v>0.0014</v>
      </c>
      <c r="H34" t="n">
        <v>0.0014</v>
      </c>
      <c r="I34" t="n">
        <v>1.870966666666667</v>
      </c>
    </row>
    <row r="35">
      <c r="A35" s="11" t="n">
        <v>43009</v>
      </c>
      <c r="B35" t="n">
        <v>1.909612903225806</v>
      </c>
      <c r="G35" t="n">
        <v>0.001483870967741935</v>
      </c>
      <c r="H35" t="n">
        <v>0.001483870967741935</v>
      </c>
      <c r="I35" t="n">
        <v>1.911096774193548</v>
      </c>
    </row>
    <row r="36">
      <c r="A36" s="11" t="n">
        <v>43040</v>
      </c>
      <c r="B36" t="n">
        <v>1.9119</v>
      </c>
      <c r="G36" t="n">
        <v>0.002266666666666666</v>
      </c>
      <c r="H36" t="n">
        <v>0.002266666666666666</v>
      </c>
      <c r="I36" t="n">
        <v>1.914166666666667</v>
      </c>
    </row>
    <row r="37">
      <c r="A37" s="11" t="n">
        <v>43070</v>
      </c>
      <c r="B37" t="n">
        <v>1.813451612903226</v>
      </c>
      <c r="G37" t="n">
        <v>0.002548387096774193</v>
      </c>
      <c r="H37" t="n">
        <v>0.002548387096774193</v>
      </c>
      <c r="I37" t="n">
        <v>1.816</v>
      </c>
    </row>
    <row r="38">
      <c r="A38" s="11" t="n">
        <v>43101</v>
      </c>
      <c r="B38" t="n">
        <v>1.888935483870968</v>
      </c>
      <c r="G38" t="n">
        <v>0.002935483870967742</v>
      </c>
      <c r="H38" t="n">
        <v>0.002935483870967742</v>
      </c>
      <c r="I38" t="n">
        <v>1.891870967741935</v>
      </c>
    </row>
    <row r="39">
      <c r="A39" s="11" t="n">
        <v>43132</v>
      </c>
      <c r="B39" t="n">
        <v>1.938535714285714</v>
      </c>
      <c r="G39" t="n">
        <v>0.001428571428571429</v>
      </c>
      <c r="H39" t="n">
        <v>0.001428571428571429</v>
      </c>
      <c r="I39" t="n">
        <v>1.939964285714286</v>
      </c>
    </row>
    <row r="40">
      <c r="A40" s="11" t="n">
        <v>43160</v>
      </c>
      <c r="B40" t="n">
        <v>1.806935483870968</v>
      </c>
      <c r="G40" t="n">
        <v>0.001483870967741935</v>
      </c>
      <c r="H40" t="n">
        <v>0.001483870967741935</v>
      </c>
      <c r="I40" t="n">
        <v>1.80841935483871</v>
      </c>
    </row>
    <row r="41">
      <c r="A41" s="11" t="n">
        <v>43191</v>
      </c>
      <c r="B41" t="n">
        <v>1.913</v>
      </c>
      <c r="G41" t="n">
        <v>0.0001333333333333333</v>
      </c>
      <c r="H41" t="n">
        <v>0.0001333333333333333</v>
      </c>
      <c r="I41" t="n">
        <v>1.913133333333333</v>
      </c>
    </row>
    <row r="42">
      <c r="A42" s="11" t="n">
        <v>43221</v>
      </c>
      <c r="B42" t="n">
        <v>1.958129032258065</v>
      </c>
      <c r="G42" t="n">
        <v>0.0001935483870967742</v>
      </c>
      <c r="H42" t="n">
        <v>0.0001935483870967742</v>
      </c>
      <c r="I42" t="n">
        <v>1.958322580645161</v>
      </c>
    </row>
    <row r="43">
      <c r="A43" s="11" t="n">
        <v>43252</v>
      </c>
      <c r="B43" t="n">
        <v>1.938833333333333</v>
      </c>
      <c r="G43" t="n">
        <v>0.0005666666666666666</v>
      </c>
      <c r="H43" t="n">
        <v>0.0005666666666666666</v>
      </c>
      <c r="I43" t="n">
        <v>1.9394</v>
      </c>
    </row>
    <row r="44">
      <c r="A44" s="11" t="n">
        <v>43282</v>
      </c>
      <c r="B44" t="n">
        <v>1.886548387096774</v>
      </c>
      <c r="G44" t="n">
        <v>0.0008387096774193549</v>
      </c>
      <c r="H44" t="n">
        <v>0.0008387096774193549</v>
      </c>
      <c r="I44" t="n">
        <v>1.887387096774193</v>
      </c>
    </row>
    <row r="45">
      <c r="A45" s="11" t="n">
        <v>43313</v>
      </c>
      <c r="B45" t="n">
        <v>1.915903225806451</v>
      </c>
      <c r="G45" t="n">
        <v>0.001064516129032258</v>
      </c>
      <c r="H45" t="n">
        <v>0.001064516129032258</v>
      </c>
      <c r="I45" t="n">
        <v>1.916967741935484</v>
      </c>
    </row>
    <row r="46">
      <c r="A46" s="11" t="n">
        <v>43344</v>
      </c>
      <c r="B46" t="n">
        <v>1.9185</v>
      </c>
      <c r="G46" t="n">
        <v>0.0005666666666666666</v>
      </c>
      <c r="H46" t="n">
        <v>0.0005666666666666666</v>
      </c>
      <c r="I46" t="n">
        <v>1.919066666666667</v>
      </c>
    </row>
    <row r="47">
      <c r="A47" s="11" t="n">
        <v>43374</v>
      </c>
      <c r="B47" t="n">
        <v>1.945612903225806</v>
      </c>
      <c r="G47" t="n">
        <v>0.001</v>
      </c>
      <c r="H47" t="n">
        <v>0.001</v>
      </c>
      <c r="I47" t="n">
        <v>1.946612903225806</v>
      </c>
    </row>
    <row r="48">
      <c r="A48" s="11" t="n">
        <v>43405</v>
      </c>
      <c r="B48" t="n">
        <v>1.934133333333333</v>
      </c>
      <c r="G48" t="n">
        <v>0.003833333333333334</v>
      </c>
      <c r="H48" t="n">
        <v>0.003833333333333334</v>
      </c>
      <c r="I48" t="n">
        <v>1.937966666666667</v>
      </c>
    </row>
    <row r="49">
      <c r="A49" s="11" t="n">
        <v>43435</v>
      </c>
      <c r="B49" t="n">
        <v>1.733451612903226</v>
      </c>
      <c r="C49" t="n">
        <v>0.2214193548387097</v>
      </c>
      <c r="G49" t="n">
        <v>0.003903225806451613</v>
      </c>
      <c r="H49" t="n">
        <v>0.2253225806451613</v>
      </c>
      <c r="I49" t="n">
        <v>1.958774193548387</v>
      </c>
    </row>
    <row r="50">
      <c r="A50" s="11" t="n">
        <v>43466</v>
      </c>
      <c r="B50" t="n">
        <v>2.016225806451613</v>
      </c>
      <c r="C50" t="n">
        <v>0.3470645161290323</v>
      </c>
      <c r="G50" t="n">
        <v>0.003354838709677419</v>
      </c>
      <c r="H50" t="n">
        <v>0.3504193548387097</v>
      </c>
      <c r="I50" t="n">
        <v>2.366645161290323</v>
      </c>
    </row>
    <row r="51">
      <c r="A51" s="11" t="n">
        <v>43497</v>
      </c>
      <c r="B51" t="n">
        <v>2.001642857142857</v>
      </c>
      <c r="C51" t="n">
        <v>0.1328571428571429</v>
      </c>
      <c r="G51" t="n">
        <v>0.001535714285714286</v>
      </c>
      <c r="H51" t="n">
        <v>0.1343928571428571</v>
      </c>
      <c r="I51" t="n">
        <v>2.136035714285714</v>
      </c>
    </row>
    <row r="52">
      <c r="A52" s="11" t="n">
        <v>43525</v>
      </c>
      <c r="B52" t="n">
        <v>2.058516129032258</v>
      </c>
      <c r="C52" t="n">
        <v>0.6476774193548387</v>
      </c>
      <c r="G52" t="n">
        <v>0.002258064516129032</v>
      </c>
      <c r="H52" t="n">
        <v>0.6499354838709677</v>
      </c>
      <c r="I52" t="n">
        <v>2.708451612903225</v>
      </c>
    </row>
    <row r="53">
      <c r="A53" s="11" t="n">
        <v>43556</v>
      </c>
      <c r="B53" t="n">
        <v>1.926766666666667</v>
      </c>
      <c r="C53" t="n">
        <v>0.6347666666666667</v>
      </c>
      <c r="G53" t="n">
        <v>0.002833333333333334</v>
      </c>
      <c r="H53" t="n">
        <v>0.6376000000000001</v>
      </c>
      <c r="I53" t="n">
        <v>2.564366666666666</v>
      </c>
    </row>
    <row r="54">
      <c r="A54" s="11" t="n">
        <v>43586</v>
      </c>
      <c r="B54" t="n">
        <v>2.111870967741936</v>
      </c>
      <c r="C54" t="n">
        <v>0.5633870967741935</v>
      </c>
      <c r="G54" t="n">
        <v>0.002354838709677419</v>
      </c>
      <c r="H54" t="n">
        <v>0.565741935483871</v>
      </c>
      <c r="I54" t="n">
        <v>2.677612903225806</v>
      </c>
    </row>
    <row r="55">
      <c r="A55" s="11" t="n">
        <v>43617</v>
      </c>
      <c r="B55" t="n">
        <v>2.21</v>
      </c>
      <c r="C55" t="n">
        <v>0.7014</v>
      </c>
      <c r="G55" t="n">
        <v>0.003033333333333333</v>
      </c>
      <c r="H55" t="n">
        <v>0.7044333333333334</v>
      </c>
      <c r="I55" t="n">
        <v>2.914433333333333</v>
      </c>
    </row>
    <row r="56">
      <c r="A56" s="11" t="n">
        <v>43647</v>
      </c>
      <c r="B56" t="n">
        <v>2.303774193548387</v>
      </c>
      <c r="C56" t="n">
        <v>1.086645161290323</v>
      </c>
      <c r="G56" t="n">
        <v>0.003258064516129032</v>
      </c>
      <c r="H56" t="n">
        <v>1.089903225806452</v>
      </c>
      <c r="I56" t="n">
        <v>3.393677419354839</v>
      </c>
    </row>
    <row r="57">
      <c r="A57" s="11" t="n">
        <v>43678</v>
      </c>
      <c r="B57" t="n">
        <v>2.21241935483871</v>
      </c>
      <c r="C57" t="n">
        <v>0.9946774193548387</v>
      </c>
      <c r="G57" t="n">
        <v>0.003645161290322581</v>
      </c>
      <c r="H57" t="n">
        <v>0.9983225806451612</v>
      </c>
      <c r="I57" t="n">
        <v>3.210741935483871</v>
      </c>
    </row>
    <row r="58">
      <c r="A58" s="11" t="n">
        <v>43709</v>
      </c>
      <c r="B58" t="n">
        <v>2.3251</v>
      </c>
      <c r="C58" t="n">
        <v>1.155733333333333</v>
      </c>
      <c r="E58" t="n">
        <v>0.2151666666666666</v>
      </c>
      <c r="G58" t="n">
        <v>0.002933333333333333</v>
      </c>
      <c r="H58" t="n">
        <v>1.373833333333333</v>
      </c>
      <c r="I58" t="n">
        <v>3.698933333333333</v>
      </c>
    </row>
    <row r="59">
      <c r="A59" s="11" t="n">
        <v>43739</v>
      </c>
      <c r="B59" t="n">
        <v>2.622225806451613</v>
      </c>
      <c r="C59" t="n">
        <v>1.364774193548387</v>
      </c>
      <c r="E59" t="n">
        <v>0.3346129032258064</v>
      </c>
      <c r="G59" t="n">
        <v>0.003870967741935484</v>
      </c>
      <c r="H59" t="n">
        <v>1.703258064516129</v>
      </c>
      <c r="I59" t="n">
        <v>4.325483870967742</v>
      </c>
    </row>
    <row r="60">
      <c r="A60" s="11" t="n">
        <v>43770</v>
      </c>
      <c r="B60" t="n">
        <v>2.638666666666666</v>
      </c>
      <c r="C60" t="n">
        <v>1.244966666666667</v>
      </c>
      <c r="E60" t="n">
        <v>0.3239</v>
      </c>
      <c r="G60" t="n">
        <v>0.0021</v>
      </c>
      <c r="H60" t="n">
        <v>1.570966666666667</v>
      </c>
      <c r="I60" t="n">
        <v>4.209633333333333</v>
      </c>
    </row>
    <row r="61">
      <c r="A61" s="11" t="n">
        <v>43800</v>
      </c>
      <c r="B61" t="n">
        <v>2.426903225806452</v>
      </c>
      <c r="C61" t="n">
        <v>1.340096774193548</v>
      </c>
      <c r="E61" t="n">
        <v>0.7249354838709677</v>
      </c>
      <c r="G61" t="n">
        <v>0.002161290322580645</v>
      </c>
      <c r="H61" t="n">
        <v>2.067193548387097</v>
      </c>
      <c r="I61" t="n">
        <v>4.494096774193548</v>
      </c>
    </row>
    <row r="62">
      <c r="A62" s="11" t="n">
        <v>43831</v>
      </c>
      <c r="B62" t="n">
        <v>2.561870967741935</v>
      </c>
      <c r="C62" t="n">
        <v>1.30841935483871</v>
      </c>
      <c r="E62" t="n">
        <v>1.33558064516129</v>
      </c>
      <c r="G62" t="n">
        <v>0.002580645161290323</v>
      </c>
      <c r="H62" t="n">
        <v>2.64658064516129</v>
      </c>
      <c r="I62" t="n">
        <v>5.208451612903225</v>
      </c>
    </row>
    <row r="63">
      <c r="A63" s="11" t="n">
        <v>43862</v>
      </c>
      <c r="B63" t="n">
        <v>2.688068965517242</v>
      </c>
      <c r="C63" t="n">
        <v>1.421793103448276</v>
      </c>
      <c r="E63" t="n">
        <v>1.326586206896552</v>
      </c>
      <c r="G63" t="n">
        <v>0.001655172413793103</v>
      </c>
      <c r="H63" t="n">
        <v>2.750034482758621</v>
      </c>
      <c r="I63" t="n">
        <v>5.438103448275863</v>
      </c>
    </row>
    <row r="64">
      <c r="A64" s="11" t="n">
        <v>43891</v>
      </c>
      <c r="B64" t="n">
        <v>2.833870967741936</v>
      </c>
      <c r="C64" t="n">
        <v>1.341290322580645</v>
      </c>
      <c r="E64" t="n">
        <v>1.500064516129032</v>
      </c>
      <c r="G64" t="n">
        <v>0.001709677419354839</v>
      </c>
      <c r="H64" t="n">
        <v>2.843064516129032</v>
      </c>
      <c r="I64" t="n">
        <v>5.676935483870968</v>
      </c>
    </row>
    <row r="65">
      <c r="A65" s="11" t="n">
        <v>43922</v>
      </c>
      <c r="B65" t="n">
        <v>2.2322</v>
      </c>
      <c r="C65" t="n">
        <v>1.141833333333333</v>
      </c>
      <c r="E65" t="n">
        <v>1.0625</v>
      </c>
      <c r="G65" t="n">
        <v>0.0007</v>
      </c>
      <c r="H65" t="n">
        <v>2.205033333333334</v>
      </c>
      <c r="I65" t="n">
        <v>4.437233333333333</v>
      </c>
    </row>
    <row r="66">
      <c r="A66" s="11" t="n">
        <v>43952</v>
      </c>
      <c r="B66" t="n">
        <v>2.401225806451613</v>
      </c>
      <c r="C66" t="n">
        <v>0.7628387096774194</v>
      </c>
      <c r="E66" t="n">
        <v>0.9248709677419354</v>
      </c>
      <c r="G66" t="n">
        <v>0.0005483870967741935</v>
      </c>
      <c r="H66" t="n">
        <v>1.688258064516129</v>
      </c>
      <c r="I66" t="n">
        <v>4.089483870967742</v>
      </c>
    </row>
    <row r="67">
      <c r="A67" s="11" t="n">
        <v>43983</v>
      </c>
      <c r="B67" t="n">
        <v>2.671333333333333</v>
      </c>
      <c r="C67" t="n">
        <v>0.2819666666666666</v>
      </c>
      <c r="E67" t="n">
        <v>0.4977666666666666</v>
      </c>
      <c r="G67" t="n">
        <v>0.0006666666666666666</v>
      </c>
      <c r="H67" t="n">
        <v>0.7804</v>
      </c>
      <c r="I67" t="n">
        <v>3.451733333333333</v>
      </c>
    </row>
    <row r="68">
      <c r="A68" s="11" t="n">
        <v>44013</v>
      </c>
      <c r="B68" t="n">
        <v>2.738838709677419</v>
      </c>
      <c r="C68" t="n">
        <v>0.3426451612903226</v>
      </c>
      <c r="E68" t="n">
        <v>0.1206774193548387</v>
      </c>
      <c r="G68" t="n">
        <v>0.001161290322580645</v>
      </c>
      <c r="H68" t="n">
        <v>0.464483870967742</v>
      </c>
      <c r="I68" t="n">
        <v>3.203322580645161</v>
      </c>
    </row>
    <row r="69">
      <c r="A69" s="11" t="n">
        <v>44044</v>
      </c>
      <c r="B69" t="n">
        <v>2.701258064516129</v>
      </c>
      <c r="C69" t="n">
        <v>0.5517096774193548</v>
      </c>
      <c r="E69" t="n">
        <v>0.365741935483871</v>
      </c>
      <c r="G69" t="n">
        <v>0.001</v>
      </c>
      <c r="H69" t="n">
        <v>0.9184516129032257</v>
      </c>
      <c r="I69" t="n">
        <v>3.619709677419354</v>
      </c>
    </row>
    <row r="70">
      <c r="A70" s="11" t="n">
        <v>44075</v>
      </c>
      <c r="B70" t="n">
        <v>2.8153</v>
      </c>
      <c r="C70" t="n">
        <v>1.250433333333333</v>
      </c>
      <c r="E70" t="n">
        <v>1.033933333333333</v>
      </c>
      <c r="G70" t="n">
        <v>0.001333333333333333</v>
      </c>
      <c r="H70" t="n">
        <v>2.2857</v>
      </c>
      <c r="I70" t="n">
        <v>5.101</v>
      </c>
    </row>
    <row r="71">
      <c r="A71" s="11" t="n">
        <v>44105</v>
      </c>
      <c r="B71" t="n">
        <v>2.668645161290323</v>
      </c>
      <c r="C71" t="n">
        <v>1.423096774193548</v>
      </c>
      <c r="E71" t="n">
        <v>1.735451612903226</v>
      </c>
      <c r="G71" t="n">
        <v>0.002096774193548387</v>
      </c>
      <c r="H71" t="n">
        <v>3.160645161290322</v>
      </c>
      <c r="I71" t="n">
        <v>5.829290322580645</v>
      </c>
    </row>
    <row r="72">
      <c r="A72" s="11" t="n">
        <v>44136</v>
      </c>
      <c r="B72" t="n">
        <v>2.6048</v>
      </c>
      <c r="C72" t="n">
        <v>1.498366666666667</v>
      </c>
      <c r="E72" t="n">
        <v>1.791566666666667</v>
      </c>
      <c r="G72" t="n">
        <v>0.001533333333333333</v>
      </c>
      <c r="H72" t="n">
        <v>3.291466666666666</v>
      </c>
      <c r="I72" t="n">
        <v>5.896266666666666</v>
      </c>
    </row>
    <row r="73">
      <c r="A73" s="11" t="n">
        <v>44166</v>
      </c>
      <c r="B73" t="n">
        <v>2.508161290322581</v>
      </c>
      <c r="C73" t="n">
        <v>1.670967741935484</v>
      </c>
      <c r="E73" t="n">
        <v>1.886741935483871</v>
      </c>
      <c r="G73" t="n">
        <v>0.001354838709677419</v>
      </c>
      <c r="H73" t="n">
        <v>3.559064516129032</v>
      </c>
      <c r="I73" t="n">
        <v>6.067225806451613</v>
      </c>
    </row>
    <row r="74">
      <c r="A74" s="11" t="n">
        <v>44197</v>
      </c>
      <c r="B74" t="n">
        <v>2.552483870967742</v>
      </c>
      <c r="C74" t="n">
        <v>1.845677419354839</v>
      </c>
      <c r="E74" t="n">
        <v>1.971064516129032</v>
      </c>
      <c r="G74" t="n">
        <v>0.002483870967741936</v>
      </c>
      <c r="H74" t="n">
        <v>3.819225806451613</v>
      </c>
      <c r="I74" t="n">
        <v>6.371709677419354</v>
      </c>
    </row>
    <row r="75">
      <c r="A75" s="11" t="n">
        <v>44228</v>
      </c>
      <c r="B75" t="n">
        <v>2.252428571428571</v>
      </c>
      <c r="C75" t="n">
        <v>1.190357142857143</v>
      </c>
      <c r="E75" t="n">
        <v>1.08825</v>
      </c>
      <c r="G75" t="n">
        <v>0.001964285714285714</v>
      </c>
      <c r="H75" t="n">
        <v>2.280571428571429</v>
      </c>
      <c r="I75" t="n">
        <v>4.532999999999999</v>
      </c>
    </row>
    <row r="76">
      <c r="A76" s="11" t="n">
        <v>44256</v>
      </c>
      <c r="B76" t="n">
        <v>2.643935483870968</v>
      </c>
      <c r="C76" t="n">
        <v>2.019064516129032</v>
      </c>
      <c r="E76" t="n">
        <v>2.05241935483871</v>
      </c>
      <c r="G76" t="n">
        <v>0.0002903225806451613</v>
      </c>
      <c r="H76" t="n">
        <v>4.071774193548388</v>
      </c>
      <c r="I76" t="n">
        <v>6.715709677419356</v>
      </c>
    </row>
    <row r="77">
      <c r="A77" s="11" t="n">
        <v>44287</v>
      </c>
      <c r="B77" t="n">
        <v>2.670233333333333</v>
      </c>
      <c r="C77" t="n">
        <v>1.995366666666667</v>
      </c>
      <c r="E77" t="n">
        <v>2.020833333333333</v>
      </c>
      <c r="G77" t="n">
        <v>0.0004</v>
      </c>
      <c r="H77" t="n">
        <v>4.0166</v>
      </c>
      <c r="I77" t="n">
        <v>6.686833333333333</v>
      </c>
    </row>
    <row r="78">
      <c r="A78" s="11" t="n">
        <v>44317</v>
      </c>
      <c r="B78" t="n">
        <v>2.766322580645161</v>
      </c>
      <c r="C78" t="n">
        <v>1.895741935483871</v>
      </c>
      <c r="E78" t="n">
        <v>2.039161290322581</v>
      </c>
      <c r="G78" t="n">
        <v>0.0008709677419354839</v>
      </c>
      <c r="H78" t="n">
        <v>3.935774193548387</v>
      </c>
      <c r="I78" t="n">
        <v>6.702096774193548</v>
      </c>
    </row>
    <row r="79">
      <c r="A79" s="11" t="n">
        <v>44348</v>
      </c>
      <c r="B79" t="n">
        <v>2.929933333333334</v>
      </c>
      <c r="C79" t="n">
        <v>2.0512</v>
      </c>
      <c r="E79" t="n">
        <v>1.9513</v>
      </c>
      <c r="G79" t="n">
        <v>0.0029</v>
      </c>
      <c r="H79" t="n">
        <v>4.0054</v>
      </c>
      <c r="I79" t="n">
        <v>6.935333333333333</v>
      </c>
    </row>
    <row r="80">
      <c r="A80" s="11" t="n">
        <v>44378</v>
      </c>
      <c r="B80" t="n">
        <v>2.876193548387096</v>
      </c>
      <c r="C80" t="n">
        <v>1.950870967741935</v>
      </c>
      <c r="E80" t="n">
        <v>1.964548387096774</v>
      </c>
      <c r="G80" t="n">
        <v>0.002548387096774193</v>
      </c>
      <c r="H80" t="n">
        <v>3.917967741935484</v>
      </c>
      <c r="I80" t="n">
        <v>6.79416129032258</v>
      </c>
    </row>
    <row r="81">
      <c r="A81" s="11" t="n">
        <v>44409</v>
      </c>
      <c r="B81" t="n">
        <v>2.802806451612903</v>
      </c>
      <c r="C81" t="n">
        <v>1.991903225806452</v>
      </c>
      <c r="E81" t="n">
        <v>2.116967741935484</v>
      </c>
      <c r="G81" t="n">
        <v>0.004129032258064516</v>
      </c>
      <c r="H81" t="n">
        <v>4.113</v>
      </c>
      <c r="I81" t="n">
        <v>6.915806451612903</v>
      </c>
    </row>
    <row r="82">
      <c r="A82" s="11" t="n">
        <v>44440</v>
      </c>
      <c r="B82" t="n">
        <v>2.6138</v>
      </c>
      <c r="C82" t="n">
        <v>2.1464</v>
      </c>
      <c r="E82" t="n">
        <v>1.6184</v>
      </c>
      <c r="G82" t="n">
        <v>0.0045</v>
      </c>
      <c r="H82" t="n">
        <v>3.7693</v>
      </c>
      <c r="I82" t="n">
        <v>6.383100000000001</v>
      </c>
    </row>
    <row r="83">
      <c r="A83" s="11" t="n">
        <v>44470</v>
      </c>
      <c r="B83" t="n">
        <v>2.767870967741935</v>
      </c>
      <c r="C83" t="n">
        <v>2.091451612903226</v>
      </c>
      <c r="E83" t="n">
        <v>1.936709677419355</v>
      </c>
      <c r="G83" t="n">
        <v>0.005387096774193548</v>
      </c>
      <c r="H83" t="n">
        <v>4.033548387096775</v>
      </c>
      <c r="I83" t="n">
        <v>6.801419354838711</v>
      </c>
    </row>
    <row r="84">
      <c r="A84" s="11" t="n">
        <v>44501</v>
      </c>
      <c r="B84" t="n">
        <v>2.557566666666667</v>
      </c>
      <c r="C84" t="n">
        <v>2.1165</v>
      </c>
      <c r="E84" t="n">
        <v>1.4647</v>
      </c>
      <c r="G84" t="n">
        <v>0.004966666666666667</v>
      </c>
      <c r="H84" t="n">
        <v>3.586166666666667</v>
      </c>
      <c r="I84" t="n">
        <v>6.143733333333333</v>
      </c>
    </row>
    <row r="85">
      <c r="A85" s="11" t="n">
        <v>44531</v>
      </c>
      <c r="B85" t="n">
        <v>2.405741935483871</v>
      </c>
      <c r="C85" t="n">
        <v>2.063709677419355</v>
      </c>
      <c r="E85" t="n">
        <v>2.169774193548387</v>
      </c>
      <c r="G85" t="n">
        <v>0.004419354838709677</v>
      </c>
      <c r="H85" t="n">
        <v>4.237903225806452</v>
      </c>
      <c r="I85" t="n">
        <v>6.643645161290323</v>
      </c>
    </row>
    <row r="86">
      <c r="A86" s="11" t="n">
        <v>44562</v>
      </c>
      <c r="B86" t="n">
        <v>2.562612903225807</v>
      </c>
      <c r="C86" t="n">
        <v>2.153354838709677</v>
      </c>
      <c r="E86" t="n">
        <v>2.06258064516129</v>
      </c>
      <c r="G86" t="n">
        <v>0.004451612903225806</v>
      </c>
      <c r="H86" t="n">
        <v>4.220387096774194</v>
      </c>
      <c r="I86" t="n">
        <v>6.783</v>
      </c>
    </row>
    <row r="87">
      <c r="A87" s="11" t="n">
        <v>44593</v>
      </c>
      <c r="B87" t="n">
        <v>2.727035714285714</v>
      </c>
      <c r="C87" t="n">
        <v>2.434892857142857</v>
      </c>
      <c r="E87" t="n">
        <v>1.874428571428571</v>
      </c>
      <c r="G87" t="n">
        <v>0.005321428571428572</v>
      </c>
      <c r="H87" t="n">
        <v>4.314642857142857</v>
      </c>
      <c r="I87" t="n">
        <v>7.041678571428571</v>
      </c>
    </row>
    <row r="88">
      <c r="A88" s="11" t="n">
        <v>44621</v>
      </c>
      <c r="B88" t="n">
        <v>2.667935483870968</v>
      </c>
      <c r="C88" t="n">
        <v>1.940225806451613</v>
      </c>
      <c r="E88" t="n">
        <v>2.08041935483871</v>
      </c>
      <c r="G88" t="n">
        <v>0.004451612903225806</v>
      </c>
      <c r="H88" t="n">
        <v>4.025096774193548</v>
      </c>
      <c r="I88" t="n">
        <v>6.693032258064516</v>
      </c>
    </row>
    <row r="89">
      <c r="A89" s="11" t="n">
        <v>44652</v>
      </c>
      <c r="B89" t="n">
        <v>2.7244</v>
      </c>
      <c r="C89" t="n">
        <v>1.9423</v>
      </c>
      <c r="E89" t="n">
        <v>1.3095</v>
      </c>
      <c r="G89" t="n">
        <v>0.003766666666666666</v>
      </c>
      <c r="H89" t="n">
        <v>3.255566666666667</v>
      </c>
      <c r="I89" t="n">
        <v>5.979966666666667</v>
      </c>
    </row>
    <row r="90">
      <c r="A90" s="11" t="n">
        <v>44682</v>
      </c>
      <c r="B90" t="n">
        <v>2.805161290322581</v>
      </c>
      <c r="C90" t="n">
        <v>1.999451612903226</v>
      </c>
      <c r="E90" t="n">
        <v>2.047806451612903</v>
      </c>
      <c r="G90" t="n">
        <v>0.003451612903225806</v>
      </c>
      <c r="H90" t="n">
        <v>4.050709677419355</v>
      </c>
      <c r="I90" t="n">
        <v>6.855870967741936</v>
      </c>
    </row>
    <row r="91">
      <c r="A91" s="11" t="n">
        <v>44713</v>
      </c>
      <c r="B91" t="n">
        <v>2.674066666666667</v>
      </c>
      <c r="C91" t="n">
        <v>2.124033333333333</v>
      </c>
      <c r="E91" t="n">
        <v>0.5774333333333332</v>
      </c>
      <c r="G91" t="n">
        <v>0.003266666666666666</v>
      </c>
      <c r="H91" t="n">
        <v>2.704733333333333</v>
      </c>
      <c r="I91" t="n">
        <v>5.3788</v>
      </c>
    </row>
    <row r="92">
      <c r="A92" s="11" t="n">
        <v>44743</v>
      </c>
      <c r="B92" t="n">
        <v>2.817677419354839</v>
      </c>
      <c r="C92" t="n">
        <v>2.034870967741935</v>
      </c>
      <c r="G92" t="n">
        <v>0.002225806451612903</v>
      </c>
      <c r="H92" t="n">
        <v>2.037096774193548</v>
      </c>
      <c r="I92" t="n">
        <v>4.854774193548387</v>
      </c>
    </row>
    <row r="93">
      <c r="A93" s="11" t="n">
        <v>44774</v>
      </c>
      <c r="B93" t="n">
        <v>2.790903225806451</v>
      </c>
      <c r="C93" t="n">
        <v>2.04541935483871</v>
      </c>
      <c r="G93" t="n">
        <v>0.002838709677419355</v>
      </c>
      <c r="H93" t="n">
        <v>2.048258064516129</v>
      </c>
      <c r="I93" t="n">
        <v>4.839161290322581</v>
      </c>
    </row>
    <row r="94">
      <c r="A94" s="11" t="n">
        <v>44805</v>
      </c>
      <c r="B94" t="n">
        <v>2.759933333333333</v>
      </c>
      <c r="C94" t="n">
        <v>1.9937</v>
      </c>
      <c r="G94" t="n">
        <v>0.003133333333333333</v>
      </c>
      <c r="H94" t="n">
        <v>1.996833333333333</v>
      </c>
      <c r="I94" t="n">
        <v>4.756766666666667</v>
      </c>
    </row>
    <row r="95">
      <c r="A95" s="11" t="n">
        <v>44835</v>
      </c>
      <c r="B95" t="n">
        <v>2.740677419354839</v>
      </c>
      <c r="C95" t="n">
        <v>2.154387096774194</v>
      </c>
      <c r="G95" t="n">
        <v>0.005612903225806452</v>
      </c>
      <c r="H95" t="n">
        <v>2.16</v>
      </c>
      <c r="I95" t="n">
        <v>4.900677419354839</v>
      </c>
    </row>
    <row r="96">
      <c r="A96" s="11" t="n">
        <v>44866</v>
      </c>
      <c r="B96" t="n">
        <v>2.750966666666667</v>
      </c>
      <c r="C96" t="n">
        <v>1.900933333333333</v>
      </c>
      <c r="G96" t="n">
        <v>0.005</v>
      </c>
      <c r="H96" t="n">
        <v>1.905933333333333</v>
      </c>
      <c r="I96" t="n">
        <v>4.6569</v>
      </c>
    </row>
    <row r="97">
      <c r="A97" s="11" t="n">
        <v>44896</v>
      </c>
      <c r="B97" t="n">
        <v>2.523516129032258</v>
      </c>
      <c r="C97" t="n">
        <v>2.068354838709678</v>
      </c>
      <c r="D97" t="n">
        <v>3.225806451612903e-05</v>
      </c>
      <c r="G97" t="n">
        <v>0.005161290322580645</v>
      </c>
      <c r="H97" t="n">
        <v>2.073548387096774</v>
      </c>
      <c r="I97" t="n">
        <v>4.597064516129032</v>
      </c>
    </row>
    <row r="98">
      <c r="A98" s="11" t="n">
        <v>44927</v>
      </c>
      <c r="B98" t="n">
        <v>2.707741935483871</v>
      </c>
      <c r="C98" t="n">
        <v>2.018322580645161</v>
      </c>
      <c r="G98" t="n">
        <v>0.004290322580645161</v>
      </c>
      <c r="H98" t="n">
        <v>2.022612903225806</v>
      </c>
      <c r="I98" t="n">
        <v>4.730354838709678</v>
      </c>
    </row>
    <row r="99">
      <c r="A99" s="11" t="n">
        <v>44958</v>
      </c>
      <c r="B99" t="n">
        <v>2.707571428571429</v>
      </c>
      <c r="C99" t="n">
        <v>2.289785714285714</v>
      </c>
      <c r="D99" t="n">
        <v>3.571428571428571e-05</v>
      </c>
      <c r="E99" t="n">
        <v>0.4127142857142857</v>
      </c>
      <c r="G99" t="n">
        <v>0.00375</v>
      </c>
      <c r="H99" t="n">
        <v>2.706285714285714</v>
      </c>
      <c r="I99" t="n">
        <v>5.413857142857143</v>
      </c>
    </row>
    <row r="100">
      <c r="A100" s="11" t="n">
        <v>44986</v>
      </c>
      <c r="B100" t="n">
        <v>2.856064516129032</v>
      </c>
      <c r="C100" t="n">
        <v>2.165870967741935</v>
      </c>
      <c r="E100" t="n">
        <v>0.9348709677419355</v>
      </c>
      <c r="G100" t="n">
        <v>0.003096774193548387</v>
      </c>
      <c r="H100" t="n">
        <v>3.10383870967742</v>
      </c>
      <c r="I100" t="n">
        <v>5.959903225806451</v>
      </c>
    </row>
    <row r="101">
      <c r="A101" s="11" t="n">
        <v>45017</v>
      </c>
      <c r="B101" t="n">
        <v>2.752766666666667</v>
      </c>
      <c r="C101" t="n">
        <v>1.8517</v>
      </c>
      <c r="E101" t="n">
        <v>2.083933333333333</v>
      </c>
      <c r="G101" t="n">
        <v>0.001933333333333333</v>
      </c>
      <c r="H101" t="n">
        <v>3.937566666666667</v>
      </c>
      <c r="I101" t="n">
        <v>6.690333333333333</v>
      </c>
    </row>
    <row r="102">
      <c r="A102" s="11" t="n">
        <v>45047</v>
      </c>
      <c r="B102" t="n">
        <v>2.939967741935484</v>
      </c>
      <c r="C102" t="n">
        <v>1.86258064516129</v>
      </c>
      <c r="E102" t="n">
        <v>2.206645161290322</v>
      </c>
      <c r="G102" t="n">
        <v>0.0008387096774193549</v>
      </c>
      <c r="H102" t="n">
        <v>4.070064516129031</v>
      </c>
      <c r="I102" t="n">
        <v>7.010032258064515</v>
      </c>
    </row>
    <row r="103">
      <c r="A103" s="11" t="n">
        <v>45078</v>
      </c>
      <c r="B103" t="n">
        <v>3.368</v>
      </c>
      <c r="C103" t="n">
        <v>2.081666666666667</v>
      </c>
      <c r="E103" t="n">
        <v>2.109566666666667</v>
      </c>
      <c r="G103" t="n">
        <v>0.001133333333333333</v>
      </c>
      <c r="H103" t="n">
        <v>4.192366666666667</v>
      </c>
      <c r="I103" t="n">
        <v>7.560366666666667</v>
      </c>
    </row>
    <row r="104">
      <c r="A104" s="11" t="n">
        <v>45108</v>
      </c>
      <c r="B104" t="n">
        <v>3.123096774193549</v>
      </c>
      <c r="C104" t="n">
        <v>1.89158064516129</v>
      </c>
      <c r="E104" t="n">
        <v>1.920064516129032</v>
      </c>
      <c r="G104" t="n">
        <v>0.0008064516129032258</v>
      </c>
      <c r="H104" t="n">
        <v>3.812451612903226</v>
      </c>
      <c r="I104" t="n">
        <v>6.935548387096775</v>
      </c>
    </row>
    <row r="105">
      <c r="A105" s="11" t="n">
        <v>45139</v>
      </c>
      <c r="B105" t="n">
        <v>3.173225806451613</v>
      </c>
      <c r="C105" t="n">
        <v>2.014</v>
      </c>
      <c r="E105" t="n">
        <v>1.981806451612903</v>
      </c>
      <c r="G105" t="n">
        <v>0.0006129032258064516</v>
      </c>
      <c r="H105" t="n">
        <v>3.996419354838709</v>
      </c>
      <c r="I105" t="n">
        <v>7.169645161290322</v>
      </c>
    </row>
    <row r="106">
      <c r="A106" s="11" t="n">
        <v>45170</v>
      </c>
      <c r="B106" t="n">
        <v>3.124733333333333</v>
      </c>
      <c r="C106" t="n">
        <v>1.978633333333333</v>
      </c>
      <c r="E106" t="n">
        <v>1.8007</v>
      </c>
      <c r="G106" t="n">
        <v>0.001166666666666667</v>
      </c>
      <c r="H106" t="n">
        <v>3.7805</v>
      </c>
      <c r="I106" t="n">
        <v>6.905233333333333</v>
      </c>
    </row>
    <row r="107">
      <c r="A107" s="11" t="n">
        <v>45200</v>
      </c>
      <c r="B107" t="n">
        <v>3.054387096774194</v>
      </c>
      <c r="C107" t="n">
        <v>2.044677419354839</v>
      </c>
      <c r="E107" t="n">
        <v>2.062967741935484</v>
      </c>
      <c r="G107" t="n">
        <v>0.0008709677419354839</v>
      </c>
      <c r="H107" t="n">
        <v>4.108516129032258</v>
      </c>
      <c r="I107" t="n">
        <v>7.162903225806453</v>
      </c>
    </row>
    <row r="108">
      <c r="A108" s="11" t="n">
        <v>45231</v>
      </c>
      <c r="B108" t="n">
        <v>2.908766666666667</v>
      </c>
      <c r="C108" t="n">
        <v>2.148433333333333</v>
      </c>
      <c r="E108" t="n">
        <v>2.003366666666667</v>
      </c>
      <c r="G108" t="n">
        <v>0.0008666666666666667</v>
      </c>
      <c r="H108" t="n">
        <v>4.152666666666667</v>
      </c>
      <c r="I108" t="n">
        <v>7.061433333333333</v>
      </c>
    </row>
    <row r="109">
      <c r="A109" s="11" t="n">
        <v>45261</v>
      </c>
      <c r="B109" t="n">
        <v>2.73416129032258</v>
      </c>
      <c r="C109" t="n">
        <v>2.070612903225806</v>
      </c>
      <c r="E109" t="n">
        <v>2.297548387096774</v>
      </c>
      <c r="G109" t="n">
        <v>0.0006451612903225806</v>
      </c>
      <c r="H109" t="n">
        <v>4.368806451612904</v>
      </c>
      <c r="I109" t="n">
        <v>7.102967741935484</v>
      </c>
    </row>
    <row r="110">
      <c r="A110" s="11" t="n">
        <v>45292</v>
      </c>
      <c r="B110" t="n">
        <v>3.045290322580645</v>
      </c>
      <c r="C110" t="n">
        <v>1.970258064516129</v>
      </c>
      <c r="E110" t="n">
        <v>1.702129032258065</v>
      </c>
      <c r="G110" t="n">
        <v>0.0006774193548387096</v>
      </c>
      <c r="H110" t="n">
        <v>3.673064516129033</v>
      </c>
      <c r="I110" t="n">
        <v>6.718354838709677</v>
      </c>
    </row>
    <row r="111">
      <c r="A111" s="11" t="n">
        <v>45323</v>
      </c>
      <c r="B111" t="n">
        <v>2.881137931034483</v>
      </c>
      <c r="C111" t="n">
        <v>1.92248275862069</v>
      </c>
      <c r="E111" t="n">
        <v>1.430206896551724</v>
      </c>
      <c r="G111" t="n">
        <v>0.0004827586206896552</v>
      </c>
      <c r="H111" t="n">
        <v>3.353172413793104</v>
      </c>
      <c r="I111" t="n">
        <v>6.234310344827587</v>
      </c>
    </row>
    <row r="112">
      <c r="A112" s="11" t="n">
        <v>45352</v>
      </c>
      <c r="B112" t="n">
        <v>2.966548387096774</v>
      </c>
      <c r="C112" t="n">
        <v>1.97658064516129</v>
      </c>
      <c r="E112" t="n">
        <v>0.8467741935483871</v>
      </c>
      <c r="G112" t="n">
        <v>0.0003870967741935484</v>
      </c>
      <c r="H112" t="n">
        <v>2.823741935483871</v>
      </c>
      <c r="I112" t="n">
        <v>5.790290322580645</v>
      </c>
    </row>
    <row r="113">
      <c r="A113" s="11" t="n">
        <v>45383</v>
      </c>
      <c r="B113" t="n">
        <v>3.1878</v>
      </c>
      <c r="C113" t="n">
        <v>1.670966666666667</v>
      </c>
      <c r="E113" t="n">
        <v>0.3578666666666667</v>
      </c>
      <c r="G113" t="n">
        <v>0.0004666666666666667</v>
      </c>
      <c r="H113" t="n">
        <v>2.0293</v>
      </c>
      <c r="I113" t="n">
        <v>5.2171</v>
      </c>
    </row>
    <row r="114">
      <c r="A114" s="11" t="n">
        <v>45413</v>
      </c>
      <c r="B114" t="n">
        <v>3.257677419354839</v>
      </c>
      <c r="C114" t="n">
        <v>1.984129032258065</v>
      </c>
      <c r="E114" t="n">
        <v>1.781870967741935</v>
      </c>
      <c r="G114" t="n">
        <v>0.0004193548387096774</v>
      </c>
      <c r="H114" t="n">
        <v>3.766419354838709</v>
      </c>
      <c r="I114" t="n">
        <v>7.024096774193548</v>
      </c>
    </row>
    <row r="115">
      <c r="A115" s="11" t="n">
        <v>45444</v>
      </c>
      <c r="B115" t="n">
        <v>3.117133333333333</v>
      </c>
      <c r="C115" t="n">
        <v>2.1527</v>
      </c>
      <c r="E115" t="n">
        <v>2.1648</v>
      </c>
      <c r="G115" t="n">
        <v>0.0004666666666666667</v>
      </c>
      <c r="H115" t="n">
        <v>4.317966666666667</v>
      </c>
      <c r="I115" t="n">
        <v>7.4351</v>
      </c>
    </row>
    <row r="116">
      <c r="A116" s="11" t="n">
        <v>45474</v>
      </c>
      <c r="B116" t="n">
        <v>3.147096774193549</v>
      </c>
      <c r="C116" t="n">
        <v>1.851096774193548</v>
      </c>
      <c r="E116" t="n">
        <v>0.7989354838709677</v>
      </c>
      <c r="G116" t="n">
        <v>0.0003870967741935484</v>
      </c>
      <c r="H116" t="n">
        <v>2.650419354838709</v>
      </c>
      <c r="I116" t="n">
        <v>5.797516129032259</v>
      </c>
    </row>
    <row r="117">
      <c r="A117" s="11" t="n">
        <v>45505</v>
      </c>
      <c r="B117" t="n">
        <v>3.193548387096774</v>
      </c>
      <c r="C117" t="n">
        <v>2.049645161290322</v>
      </c>
      <c r="E117" t="n">
        <v>2.029064516129032</v>
      </c>
      <c r="G117" t="n">
        <v>0.0002580645161290323</v>
      </c>
      <c r="H117" t="n">
        <v>4.078967741935483</v>
      </c>
      <c r="I117" t="n">
        <v>7.272516129032257</v>
      </c>
    </row>
    <row r="118">
      <c r="A118" s="11" t="n">
        <v>45536</v>
      </c>
      <c r="B118" t="n">
        <v>3.0912</v>
      </c>
      <c r="C118" t="n">
        <v>2.1548</v>
      </c>
      <c r="E118" t="n">
        <v>2.099266666666667</v>
      </c>
      <c r="G118" t="n">
        <v>0.0001333333333333333</v>
      </c>
      <c r="H118" t="n">
        <v>4.2542</v>
      </c>
      <c r="I118" t="n">
        <v>7.3454</v>
      </c>
    </row>
    <row r="119">
      <c r="A119" s="11" t="n">
        <v>45566</v>
      </c>
      <c r="B119" t="n">
        <v>2.869387096774194</v>
      </c>
      <c r="C119" t="n">
        <v>2.154193548387096</v>
      </c>
      <c r="E119" t="n">
        <v>2.226806451612903</v>
      </c>
      <c r="H119" t="n">
        <v>4.381</v>
      </c>
      <c r="I119" t="n">
        <v>7.250387096774194</v>
      </c>
    </row>
    <row r="120">
      <c r="A120" s="11" t="n">
        <v>45597</v>
      </c>
      <c r="B120" t="n">
        <v>2.7428</v>
      </c>
      <c r="C120" t="n">
        <v>2.183166666666667</v>
      </c>
      <c r="E120" t="n">
        <v>1.853833333333333</v>
      </c>
      <c r="G120" t="n">
        <v>3.333333333333333e-05</v>
      </c>
      <c r="H120" t="n">
        <v>4.037033333333333</v>
      </c>
      <c r="I120" t="n">
        <v>6.779833333333333</v>
      </c>
    </row>
    <row r="121">
      <c r="A121" s="11" t="n">
        <v>45627</v>
      </c>
      <c r="B121" t="n">
        <v>2.697645161290323</v>
      </c>
      <c r="C121" t="n">
        <v>2.169774193548387</v>
      </c>
      <c r="E121" t="n">
        <v>2.19683870967742</v>
      </c>
      <c r="H121" t="n">
        <v>4.366612903225807</v>
      </c>
      <c r="I121" t="n">
        <v>7.06425806451613</v>
      </c>
    </row>
    <row r="122">
      <c r="A122" s="11" t="n">
        <v>45658</v>
      </c>
      <c r="B122" t="n">
        <v>3.12958064516129</v>
      </c>
      <c r="C122" t="n">
        <v>2.004483870967742</v>
      </c>
      <c r="E122" t="n">
        <v>1.806774193548387</v>
      </c>
      <c r="H122" t="n">
        <v>3.811258064516129</v>
      </c>
      <c r="I122" t="n">
        <v>6.940838709677419</v>
      </c>
    </row>
    <row r="123">
      <c r="A123" s="11" t="n">
        <v>45689</v>
      </c>
      <c r="B123" t="n">
        <v>3.037857142857143</v>
      </c>
      <c r="C123" t="n">
        <v>2.368821428571429</v>
      </c>
      <c r="E123" t="n">
        <v>2.205357142857143</v>
      </c>
      <c r="H123" t="n">
        <v>4.574178571428572</v>
      </c>
      <c r="I123" t="n">
        <v>7.612035714285715</v>
      </c>
    </row>
    <row r="124">
      <c r="A124" s="11" t="n">
        <v>45717</v>
      </c>
      <c r="B124" t="n">
        <v>2.864387096774194</v>
      </c>
      <c r="C124" t="n">
        <v>2.148096774193548</v>
      </c>
      <c r="E124" t="n">
        <v>2.070677419354839</v>
      </c>
      <c r="H124" t="n">
        <v>4.218774193548387</v>
      </c>
      <c r="I124" t="n">
        <v>7.083161290322581</v>
      </c>
    </row>
    <row r="125">
      <c r="A125" s="11" t="n">
        <v>45748</v>
      </c>
      <c r="B125" t="n">
        <v>3.252</v>
      </c>
      <c r="C125" t="n">
        <v>2.125466666666667</v>
      </c>
      <c r="E125" t="n">
        <v>2.295533333333333</v>
      </c>
      <c r="H125" t="n">
        <v>4.420999999999999</v>
      </c>
      <c r="I125" t="n">
        <v>7.672999999999999</v>
      </c>
    </row>
    <row r="126">
      <c r="A126" s="11" t="n">
        <v>45778</v>
      </c>
      <c r="B126" t="n">
        <v>3.523838709677419</v>
      </c>
      <c r="C126" t="n">
        <v>2.01458064516129</v>
      </c>
      <c r="E126" t="n">
        <v>2.109935483870968</v>
      </c>
      <c r="H126" t="n">
        <v>4.124516129032259</v>
      </c>
      <c r="I126" t="n">
        <v>7.648354838709677</v>
      </c>
    </row>
    <row r="127">
      <c r="A127" s="11" t="n">
        <v>45809</v>
      </c>
      <c r="B127" t="n">
        <v>3.446133333333333</v>
      </c>
      <c r="C127" t="n">
        <v>2.0722</v>
      </c>
      <c r="E127" t="n">
        <v>2.239966666666667</v>
      </c>
      <c r="H127" t="n">
        <v>4.312166666666666</v>
      </c>
      <c r="I127" t="n">
        <v>7.758299999999999</v>
      </c>
    </row>
    <row r="128">
      <c r="A128" s="11" t="n">
        <v>45839</v>
      </c>
      <c r="B128" t="n">
        <v>3.09458064516129</v>
      </c>
      <c r="C128" t="n">
        <v>2.191032258064516</v>
      </c>
      <c r="E128" t="n">
        <v>1.934838709677419</v>
      </c>
      <c r="H128" t="n">
        <v>4.125870967741935</v>
      </c>
      <c r="I128" t="n">
        <v>7.220451612903226</v>
      </c>
    </row>
    <row r="129">
      <c r="A129" s="11" t="n">
        <v>45870</v>
      </c>
      <c r="B129" t="n">
        <v>3.350290322580645</v>
      </c>
      <c r="C129" t="n">
        <v>2.141709677419354</v>
      </c>
      <c r="E129" t="n">
        <v>1.957516129032258</v>
      </c>
      <c r="H129" t="n">
        <v>4.099225806451613</v>
      </c>
      <c r="I129" t="n">
        <v>7.449516129032258</v>
      </c>
    </row>
    <row r="130">
      <c r="A130" s="11" t="n">
        <v>45901</v>
      </c>
      <c r="B130" t="n">
        <v>2.949933333333334</v>
      </c>
      <c r="C130" t="n">
        <v>2.335733333333333</v>
      </c>
      <c r="E130" t="n">
        <v>1.9989</v>
      </c>
      <c r="H130" t="n">
        <v>4.334633333333334</v>
      </c>
      <c r="I130" t="n">
        <v>7.284566666666667</v>
      </c>
    </row>
    <row r="131">
      <c r="A131" s="11" t="n">
        <v>45931</v>
      </c>
      <c r="B131" t="n">
        <v>2.833483870967742</v>
      </c>
      <c r="C131" t="n">
        <v>2.462806451612904</v>
      </c>
      <c r="E131" t="n">
        <v>2.256322580645162</v>
      </c>
      <c r="H131" t="n">
        <v>4.719129032258065</v>
      </c>
      <c r="I131" t="n">
        <v>7.552612903225807</v>
      </c>
    </row>
    <row r="132">
      <c r="A132" s="11" t="n">
        <v>45962</v>
      </c>
      <c r="B132" t="n">
        <v>2.9201</v>
      </c>
      <c r="C132" t="n">
        <v>2.839033333333334</v>
      </c>
      <c r="E132" t="n">
        <v>2.133933333333333</v>
      </c>
      <c r="H132" t="n">
        <v>4.972966666666666</v>
      </c>
      <c r="I132" t="n">
        <v>7.893066666666666</v>
      </c>
    </row>
    <row r="133">
      <c r="A133" s="11" t="n">
        <v>45992</v>
      </c>
      <c r="B133" t="n">
        <v>2.764451612903226</v>
      </c>
      <c r="C133" t="n">
        <v>2.925548387096774</v>
      </c>
      <c r="E133" t="n">
        <v>2.236451612903226</v>
      </c>
      <c r="H133" t="n">
        <v>5.162</v>
      </c>
      <c r="I133" t="n">
        <v>7.926451612903225</v>
      </c>
    </row>
    <row r="134">
      <c r="A134" s="11" t="n">
        <v>46023</v>
      </c>
      <c r="B134" t="n">
        <v>2.873354838709677</v>
      </c>
      <c r="C134" t="n">
        <v>2.701935483870968</v>
      </c>
      <c r="E134" t="n">
        <v>2.048064516129032</v>
      </c>
      <c r="H134" t="n">
        <v>4.75</v>
      </c>
      <c r="I134" t="n">
        <v>7.623354838709677</v>
      </c>
    </row>
    <row r="135">
      <c r="A135" s="11" t="n">
        <v>46054</v>
      </c>
      <c r="B135" t="n">
        <v>2.989107142857143</v>
      </c>
      <c r="C135" t="n">
        <v>3.042928571428571</v>
      </c>
      <c r="E135" t="n">
        <v>2.239464285714286</v>
      </c>
      <c r="H135" t="n">
        <v>5.282392857142858</v>
      </c>
      <c r="I135" t="n">
        <v>8.2715</v>
      </c>
    </row>
    <row r="136">
      <c r="A136" s="11" t="n">
        <v>46082</v>
      </c>
      <c r="B136" t="n">
        <v>2.768580645161291</v>
      </c>
      <c r="C136" t="n">
        <v>3.083451612903226</v>
      </c>
      <c r="E136" t="n">
        <v>2.252</v>
      </c>
      <c r="H136" t="n">
        <v>5.335451612903226</v>
      </c>
      <c r="I136" t="n">
        <v>8.104032258064517</v>
      </c>
    </row>
    <row r="137">
      <c r="A137" s="11" t="n">
        <v>46113</v>
      </c>
      <c r="B137" t="n">
        <v>2.837666666666667</v>
      </c>
      <c r="C137" t="n">
        <v>2.893366666666667</v>
      </c>
      <c r="E137" t="n">
        <v>2.303466666666667</v>
      </c>
      <c r="F137" t="n">
        <v>0.1206333333333333</v>
      </c>
      <c r="H137" t="n">
        <v>5.317466666666666</v>
      </c>
      <c r="I137" t="n">
        <v>8.155133333333334</v>
      </c>
    </row>
    <row r="138">
      <c r="A138" s="11" t="n">
        <v>46143</v>
      </c>
      <c r="B138" t="n">
        <v>3.316451612903226</v>
      </c>
      <c r="C138" t="n">
        <v>2.864483870967742</v>
      </c>
      <c r="E138" t="n">
        <v>1.828322580645161</v>
      </c>
      <c r="F138" t="n">
        <v>0.111741935483871</v>
      </c>
      <c r="H138" t="n">
        <v>4.804548387096774</v>
      </c>
      <c r="I138" t="n">
        <v>8.120999999999999</v>
      </c>
    </row>
    <row r="139">
      <c r="A139" s="11" t="n">
        <v>46174</v>
      </c>
      <c r="B139" t="n">
        <v>3.3545</v>
      </c>
      <c r="C139" t="n">
        <v>3.0009</v>
      </c>
      <c r="E139" t="n">
        <v>1.981266666666667</v>
      </c>
      <c r="F139" t="n">
        <v>0.1149666666666667</v>
      </c>
      <c r="H139" t="n">
        <v>5.097133333333334</v>
      </c>
      <c r="I139" t="n">
        <v>8.451633333333334</v>
      </c>
    </row>
    <row r="140">
      <c r="A140" s="11" t="n">
        <v>46204</v>
      </c>
      <c r="B140" t="n">
        <v>3.236774193548387</v>
      </c>
      <c r="C140" t="n">
        <v>3.133193548387097</v>
      </c>
      <c r="E140" t="n">
        <v>1.678161290322581</v>
      </c>
      <c r="F140" t="n">
        <v>0.2184516129032258</v>
      </c>
      <c r="H140" t="n">
        <v>5.029806451612903</v>
      </c>
      <c r="I140" t="n">
        <v>8.266580645161291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Brownsville</t>
        </is>
      </c>
      <c r="C1" t="inlineStr">
        <is>
          <t>Laredo</t>
        </is>
      </c>
      <c r="D1" t="inlineStr">
        <is>
          <t>Rio Grande</t>
        </is>
      </c>
    </row>
    <row r="2">
      <c r="A2" s="11" t="n">
        <v>42005</v>
      </c>
      <c r="D2" t="n">
        <v>0.5156129032258064</v>
      </c>
    </row>
    <row r="3">
      <c r="A3" s="11" t="n">
        <v>42036</v>
      </c>
      <c r="D3" t="n">
        <v>0.631</v>
      </c>
    </row>
    <row r="4">
      <c r="A4" s="11" t="n">
        <v>42064</v>
      </c>
      <c r="D4" t="n">
        <v>0.6894193548387096</v>
      </c>
    </row>
    <row r="5">
      <c r="A5" s="11" t="n">
        <v>42095</v>
      </c>
      <c r="D5" t="n">
        <v>0.7614</v>
      </c>
    </row>
    <row r="6">
      <c r="A6" s="11" t="n">
        <v>42125</v>
      </c>
      <c r="D6" t="n">
        <v>0.7432580645161291</v>
      </c>
    </row>
    <row r="7">
      <c r="A7" s="11" t="n">
        <v>42156</v>
      </c>
      <c r="D7" t="n">
        <v>0.8176333333333333</v>
      </c>
    </row>
    <row r="8">
      <c r="A8" s="11" t="n">
        <v>42186</v>
      </c>
      <c r="D8" t="n">
        <v>0.9601935483870968</v>
      </c>
    </row>
    <row r="9">
      <c r="A9" s="11" t="n">
        <v>42217</v>
      </c>
      <c r="D9" t="n">
        <v>0.9819677419354839</v>
      </c>
    </row>
    <row r="10">
      <c r="A10" s="11" t="n">
        <v>42248</v>
      </c>
      <c r="D10" t="n">
        <v>0.9929</v>
      </c>
    </row>
    <row r="11">
      <c r="A11" s="11" t="n">
        <v>42278</v>
      </c>
      <c r="D11" t="n">
        <v>1.002903225806452</v>
      </c>
    </row>
    <row r="12">
      <c r="A12" s="11" t="n">
        <v>42309</v>
      </c>
      <c r="D12" t="n">
        <v>0.9998333333333334</v>
      </c>
    </row>
    <row r="13">
      <c r="A13" s="11" t="n">
        <v>42339</v>
      </c>
      <c r="D13" t="n">
        <v>1.111354838709677</v>
      </c>
    </row>
    <row r="14">
      <c r="A14" s="11" t="n">
        <v>42370</v>
      </c>
      <c r="D14" t="n">
        <v>1.001774193548387</v>
      </c>
    </row>
    <row r="15">
      <c r="A15" s="11" t="n">
        <v>42401</v>
      </c>
      <c r="D15" t="n">
        <v>1.341586206896552</v>
      </c>
    </row>
    <row r="16">
      <c r="A16" s="11" t="n">
        <v>42430</v>
      </c>
      <c r="D16" t="n">
        <v>1.314967741935484</v>
      </c>
    </row>
    <row r="17">
      <c r="A17" s="11" t="n">
        <v>42461</v>
      </c>
      <c r="D17" t="n">
        <v>1.3768</v>
      </c>
    </row>
    <row r="18">
      <c r="A18" s="11" t="n">
        <v>42491</v>
      </c>
      <c r="D18" t="n">
        <v>1.498193548387097</v>
      </c>
    </row>
    <row r="19">
      <c r="A19" s="11" t="n">
        <v>42522</v>
      </c>
      <c r="D19" t="n">
        <v>1.511166666666667</v>
      </c>
    </row>
    <row r="20">
      <c r="A20" s="11" t="n">
        <v>42552</v>
      </c>
      <c r="D20" t="n">
        <v>1.616258064516129</v>
      </c>
    </row>
    <row r="21">
      <c r="A21" s="11" t="n">
        <v>42583</v>
      </c>
      <c r="D21" t="n">
        <v>1.804258064516129</v>
      </c>
    </row>
    <row r="22">
      <c r="A22" s="11" t="n">
        <v>42614</v>
      </c>
      <c r="D22" t="n">
        <v>1.8815</v>
      </c>
    </row>
    <row r="23">
      <c r="A23" s="11" t="n">
        <v>42644</v>
      </c>
      <c r="D23" t="n">
        <v>1.932032258064516</v>
      </c>
    </row>
    <row r="24">
      <c r="A24" s="11" t="n">
        <v>42675</v>
      </c>
      <c r="D24" t="n">
        <v>1.923433333333333</v>
      </c>
    </row>
    <row r="25">
      <c r="A25" s="11" t="n">
        <v>42705</v>
      </c>
      <c r="D25" t="n">
        <v>1.598741935483871</v>
      </c>
    </row>
    <row r="26">
      <c r="A26" s="11" t="n">
        <v>42736</v>
      </c>
      <c r="D26" t="n">
        <v>1.884935483870968</v>
      </c>
    </row>
    <row r="27">
      <c r="A27" s="11" t="n">
        <v>42767</v>
      </c>
      <c r="D27" t="n">
        <v>1.970821428571429</v>
      </c>
    </row>
    <row r="28">
      <c r="A28" s="11" t="n">
        <v>42795</v>
      </c>
      <c r="D28" t="n">
        <v>1.956451612903226</v>
      </c>
    </row>
    <row r="29">
      <c r="A29" s="11" t="n">
        <v>42826</v>
      </c>
      <c r="D29" t="n">
        <v>1.684966666666667</v>
      </c>
    </row>
    <row r="30">
      <c r="A30" s="11" t="n">
        <v>42856</v>
      </c>
      <c r="D30" t="n">
        <v>1.876677419354839</v>
      </c>
    </row>
    <row r="31">
      <c r="A31" s="11" t="n">
        <v>42887</v>
      </c>
      <c r="D31" t="n">
        <v>1.960533333333333</v>
      </c>
    </row>
    <row r="32">
      <c r="A32" s="11" t="n">
        <v>42917</v>
      </c>
      <c r="D32" t="n">
        <v>1.921096774193548</v>
      </c>
    </row>
    <row r="33">
      <c r="A33" s="11" t="n">
        <v>42948</v>
      </c>
      <c r="D33" t="n">
        <v>1.990870967741935</v>
      </c>
    </row>
    <row r="34">
      <c r="A34" s="11" t="n">
        <v>42979</v>
      </c>
      <c r="D34" t="n">
        <v>1.869566666666667</v>
      </c>
    </row>
    <row r="35">
      <c r="A35" s="11" t="n">
        <v>43009</v>
      </c>
      <c r="D35" t="n">
        <v>1.909612903225806</v>
      </c>
    </row>
    <row r="36">
      <c r="A36" s="11" t="n">
        <v>43040</v>
      </c>
      <c r="D36" t="n">
        <v>1.9119</v>
      </c>
    </row>
    <row r="37">
      <c r="A37" s="11" t="n">
        <v>43070</v>
      </c>
      <c r="D37" t="n">
        <v>1.813451612903226</v>
      </c>
    </row>
    <row r="38">
      <c r="A38" s="11" t="n">
        <v>43101</v>
      </c>
      <c r="D38" t="n">
        <v>1.888935483870968</v>
      </c>
    </row>
    <row r="39">
      <c r="A39" s="11" t="n">
        <v>43132</v>
      </c>
      <c r="D39" t="n">
        <v>1.938535714285714</v>
      </c>
    </row>
    <row r="40">
      <c r="A40" s="11" t="n">
        <v>43160</v>
      </c>
      <c r="D40" t="n">
        <v>1.806935483870968</v>
      </c>
    </row>
    <row r="41">
      <c r="A41" s="11" t="n">
        <v>43191</v>
      </c>
      <c r="D41" t="n">
        <v>1.913</v>
      </c>
    </row>
    <row r="42">
      <c r="A42" s="11" t="n">
        <v>43221</v>
      </c>
      <c r="D42" t="n">
        <v>1.958129032258065</v>
      </c>
    </row>
    <row r="43">
      <c r="A43" s="11" t="n">
        <v>43252</v>
      </c>
      <c r="D43" t="n">
        <v>1.938833333333333</v>
      </c>
    </row>
    <row r="44">
      <c r="A44" s="11" t="n">
        <v>43282</v>
      </c>
      <c r="C44" t="n">
        <v>0.0005483870967741935</v>
      </c>
      <c r="D44" t="n">
        <v>1.886</v>
      </c>
    </row>
    <row r="45">
      <c r="A45" s="11" t="n">
        <v>43313</v>
      </c>
      <c r="C45" t="n">
        <v>0.007903225806451614</v>
      </c>
      <c r="D45" t="n">
        <v>1.908</v>
      </c>
    </row>
    <row r="46">
      <c r="A46" s="11" t="n">
        <v>43344</v>
      </c>
      <c r="C46" t="n">
        <v>0.01526666666666667</v>
      </c>
      <c r="D46" t="n">
        <v>1.903233333333333</v>
      </c>
    </row>
    <row r="47">
      <c r="A47" s="11" t="n">
        <v>43374</v>
      </c>
      <c r="C47" t="n">
        <v>0.01245161290322581</v>
      </c>
      <c r="D47" t="n">
        <v>1.933161290322581</v>
      </c>
    </row>
    <row r="48">
      <c r="A48" s="11" t="n">
        <v>43405</v>
      </c>
      <c r="C48" t="n">
        <v>0.1038666666666667</v>
      </c>
      <c r="D48" t="n">
        <v>1.830266666666667</v>
      </c>
    </row>
    <row r="49">
      <c r="A49" s="11" t="n">
        <v>43435</v>
      </c>
      <c r="C49" t="n">
        <v>0.1026451612903226</v>
      </c>
      <c r="D49" t="n">
        <v>1.630806451612903</v>
      </c>
    </row>
    <row r="50">
      <c r="A50" s="11" t="n">
        <v>43466</v>
      </c>
      <c r="C50" t="n">
        <v>0.1613225806451613</v>
      </c>
      <c r="D50" t="n">
        <v>1.854903225806452</v>
      </c>
    </row>
    <row r="51">
      <c r="A51" s="11" t="n">
        <v>43497</v>
      </c>
      <c r="C51" t="n">
        <v>0.1131785714285714</v>
      </c>
      <c r="D51" t="n">
        <v>1.888464285714286</v>
      </c>
    </row>
    <row r="52">
      <c r="A52" s="11" t="n">
        <v>43525</v>
      </c>
      <c r="C52" t="n">
        <v>0.1414838709677419</v>
      </c>
      <c r="D52" t="n">
        <v>1.917032258064516</v>
      </c>
    </row>
    <row r="53">
      <c r="A53" s="11" t="n">
        <v>43556</v>
      </c>
      <c r="C53" t="n">
        <v>0.1683</v>
      </c>
      <c r="D53" t="n">
        <v>1.758466666666667</v>
      </c>
    </row>
    <row r="54">
      <c r="A54" s="11" t="n">
        <v>43586</v>
      </c>
      <c r="C54" t="n">
        <v>0.1952903225806452</v>
      </c>
      <c r="D54" t="n">
        <v>1.91658064516129</v>
      </c>
    </row>
    <row r="55">
      <c r="A55" s="11" t="n">
        <v>43617</v>
      </c>
      <c r="B55" t="n">
        <v>0.05606666666666667</v>
      </c>
      <c r="C55" t="n">
        <v>0.2383666666666667</v>
      </c>
      <c r="D55" t="n">
        <v>1.915566666666667</v>
      </c>
    </row>
    <row r="56">
      <c r="A56" s="11" t="n">
        <v>43647</v>
      </c>
      <c r="B56" t="n">
        <v>0.009806451612903225</v>
      </c>
      <c r="C56" t="n">
        <v>0.247258064516129</v>
      </c>
      <c r="D56" t="n">
        <v>2.046709677419355</v>
      </c>
    </row>
    <row r="57">
      <c r="A57" s="11" t="n">
        <v>43678</v>
      </c>
      <c r="C57" t="n">
        <v>0.2457741935483871</v>
      </c>
      <c r="D57" t="n">
        <v>1.966645161290323</v>
      </c>
    </row>
    <row r="58">
      <c r="A58" s="11" t="n">
        <v>43709</v>
      </c>
      <c r="B58" t="n">
        <v>0.2565666666666667</v>
      </c>
      <c r="C58" t="n">
        <v>0.2298</v>
      </c>
      <c r="D58" t="n">
        <v>1.838733333333333</v>
      </c>
    </row>
    <row r="59">
      <c r="A59" s="11" t="n">
        <v>43739</v>
      </c>
      <c r="B59" t="n">
        <v>0.6353225806451613</v>
      </c>
      <c r="C59" t="n">
        <v>0.3178064516129032</v>
      </c>
      <c r="D59" t="n">
        <v>1.669096774193548</v>
      </c>
    </row>
    <row r="60">
      <c r="A60" s="11" t="n">
        <v>43770</v>
      </c>
      <c r="B60" t="n">
        <v>0.6626666666666666</v>
      </c>
      <c r="C60" t="n">
        <v>0.2982333333333334</v>
      </c>
      <c r="D60" t="n">
        <v>1.677766666666667</v>
      </c>
    </row>
    <row r="61">
      <c r="A61" s="11" t="n">
        <v>43800</v>
      </c>
      <c r="B61" t="n">
        <v>0.6472258064516129</v>
      </c>
      <c r="C61" t="n">
        <v>0.268</v>
      </c>
      <c r="D61" t="n">
        <v>1.511677419354839</v>
      </c>
    </row>
    <row r="62">
      <c r="A62" s="11" t="n">
        <v>43831</v>
      </c>
      <c r="B62" t="n">
        <v>0.5768064516129032</v>
      </c>
      <c r="C62" t="n">
        <v>0.274516129032258</v>
      </c>
      <c r="D62" t="n">
        <v>1.710548387096774</v>
      </c>
    </row>
    <row r="63">
      <c r="A63" s="11" t="n">
        <v>43862</v>
      </c>
      <c r="B63" t="n">
        <v>0.7861034482758621</v>
      </c>
      <c r="C63" t="n">
        <v>0.2588620689655173</v>
      </c>
      <c r="D63" t="n">
        <v>1.643103448275862</v>
      </c>
    </row>
    <row r="64">
      <c r="A64" s="11" t="n">
        <v>43891</v>
      </c>
      <c r="B64" t="n">
        <v>0.7613548387096775</v>
      </c>
      <c r="C64" t="n">
        <v>0.2678064516129032</v>
      </c>
      <c r="D64" t="n">
        <v>1.804709677419355</v>
      </c>
    </row>
    <row r="65">
      <c r="A65" s="11" t="n">
        <v>43922</v>
      </c>
      <c r="B65" t="n">
        <v>0.7775666666666667</v>
      </c>
      <c r="C65" t="n">
        <v>0.2496666666666666</v>
      </c>
      <c r="D65" t="n">
        <v>1.204966666666667</v>
      </c>
    </row>
    <row r="66">
      <c r="A66" s="11" t="n">
        <v>43952</v>
      </c>
      <c r="B66" t="n">
        <v>0.5952580645161291</v>
      </c>
      <c r="C66" t="n">
        <v>0.263</v>
      </c>
      <c r="D66" t="n">
        <v>1.542967741935484</v>
      </c>
    </row>
    <row r="67">
      <c r="A67" s="11" t="n">
        <v>43983</v>
      </c>
      <c r="B67" t="n">
        <v>0.6923666666666667</v>
      </c>
      <c r="C67" t="n">
        <v>0.3164</v>
      </c>
      <c r="D67" t="n">
        <v>1.662566666666667</v>
      </c>
    </row>
    <row r="68">
      <c r="A68" s="11" t="n">
        <v>44013</v>
      </c>
      <c r="B68" t="n">
        <v>0.7553548387096775</v>
      </c>
      <c r="C68" t="n">
        <v>0.2918064516129033</v>
      </c>
      <c r="D68" t="n">
        <v>1.691677419354839</v>
      </c>
    </row>
    <row r="69">
      <c r="A69" s="11" t="n">
        <v>44044</v>
      </c>
      <c r="B69" t="n">
        <v>0.7151612903225806</v>
      </c>
      <c r="C69" t="n">
        <v>0.3338709677419355</v>
      </c>
      <c r="D69" t="n">
        <v>1.652225806451613</v>
      </c>
    </row>
    <row r="70">
      <c r="A70" s="11" t="n">
        <v>44075</v>
      </c>
      <c r="B70" t="n">
        <v>0.7703333333333334</v>
      </c>
      <c r="C70" t="n">
        <v>0.3126</v>
      </c>
      <c r="D70" t="n">
        <v>1.732366666666667</v>
      </c>
    </row>
    <row r="71">
      <c r="A71" s="11" t="n">
        <v>44105</v>
      </c>
      <c r="B71" t="n">
        <v>0.7734193548387096</v>
      </c>
      <c r="C71" t="n">
        <v>0.304741935483871</v>
      </c>
      <c r="D71" t="n">
        <v>1.590483870967742</v>
      </c>
    </row>
    <row r="72">
      <c r="A72" s="11" t="n">
        <v>44136</v>
      </c>
      <c r="B72" t="n">
        <v>0.8257333333333333</v>
      </c>
      <c r="C72" t="n">
        <v>0.2886333333333334</v>
      </c>
      <c r="D72" t="n">
        <v>1.490433333333333</v>
      </c>
    </row>
    <row r="73">
      <c r="A73" s="11" t="n">
        <v>44166</v>
      </c>
      <c r="B73" t="n">
        <v>0.7501290322580645</v>
      </c>
      <c r="C73" t="n">
        <v>0.2555483870967742</v>
      </c>
      <c r="D73" t="n">
        <v>1.502483870967742</v>
      </c>
    </row>
    <row r="74">
      <c r="A74" s="11" t="n">
        <v>44197</v>
      </c>
      <c r="B74" t="n">
        <v>0.7478064516129032</v>
      </c>
      <c r="C74" t="n">
        <v>0.2330967741935484</v>
      </c>
      <c r="D74" t="n">
        <v>1.57158064516129</v>
      </c>
    </row>
    <row r="75">
      <c r="A75" s="11" t="n">
        <v>44228</v>
      </c>
      <c r="B75" t="n">
        <v>0.7278928571428571</v>
      </c>
      <c r="C75" t="n">
        <v>0.2158214285714286</v>
      </c>
      <c r="D75" t="n">
        <v>1.308714285714286</v>
      </c>
    </row>
    <row r="76">
      <c r="A76" s="11" t="n">
        <v>44256</v>
      </c>
      <c r="B76" t="n">
        <v>0.8165806451612904</v>
      </c>
      <c r="C76" t="n">
        <v>0.2184193548387097</v>
      </c>
      <c r="D76" t="n">
        <v>1.608935483870968</v>
      </c>
    </row>
    <row r="77">
      <c r="A77" s="11" t="n">
        <v>44287</v>
      </c>
      <c r="B77" t="n">
        <v>0.9571666666666666</v>
      </c>
      <c r="C77" t="n">
        <v>0.2609666666666666</v>
      </c>
      <c r="D77" t="n">
        <v>1.4521</v>
      </c>
    </row>
    <row r="78">
      <c r="A78" s="11" t="n">
        <v>44317</v>
      </c>
      <c r="B78" t="n">
        <v>0.9520322580645161</v>
      </c>
      <c r="C78" t="n">
        <v>0.3073225806451613</v>
      </c>
      <c r="D78" t="n">
        <v>1.506967741935484</v>
      </c>
    </row>
    <row r="79">
      <c r="A79" s="11" t="n">
        <v>44348</v>
      </c>
      <c r="B79" t="n">
        <v>1.059166666666667</v>
      </c>
      <c r="C79" t="n">
        <v>0.3506666666666667</v>
      </c>
      <c r="D79" t="n">
        <v>1.5201</v>
      </c>
    </row>
    <row r="80">
      <c r="A80" s="11" t="n">
        <v>44378</v>
      </c>
      <c r="B80" t="n">
        <v>1.011290322580645</v>
      </c>
      <c r="C80" t="n">
        <v>0.335516129032258</v>
      </c>
      <c r="D80" t="n">
        <v>1.529387096774194</v>
      </c>
    </row>
    <row r="81">
      <c r="A81" s="11" t="n">
        <v>44409</v>
      </c>
      <c r="B81" t="n">
        <v>1.006354838709677</v>
      </c>
      <c r="C81" t="n">
        <v>0.325774193548387</v>
      </c>
      <c r="D81" t="n">
        <v>1.470677419354839</v>
      </c>
    </row>
    <row r="82">
      <c r="A82" s="11" t="n">
        <v>44440</v>
      </c>
      <c r="B82" t="n">
        <v>0.8623</v>
      </c>
      <c r="C82" t="n">
        <v>0.33</v>
      </c>
      <c r="D82" t="n">
        <v>1.4215</v>
      </c>
    </row>
    <row r="83">
      <c r="A83" s="11" t="n">
        <v>44470</v>
      </c>
      <c r="B83" t="n">
        <v>0.9503225806451613</v>
      </c>
      <c r="C83" t="n">
        <v>0.2936774193548387</v>
      </c>
      <c r="D83" t="n">
        <v>1.523870967741935</v>
      </c>
    </row>
    <row r="84">
      <c r="A84" s="11" t="n">
        <v>44501</v>
      </c>
      <c r="B84" t="n">
        <v>0.8767333333333334</v>
      </c>
      <c r="C84" t="n">
        <v>0.2597666666666666</v>
      </c>
      <c r="D84" t="n">
        <v>1.421066666666667</v>
      </c>
    </row>
    <row r="85">
      <c r="A85" s="11" t="n">
        <v>44531</v>
      </c>
      <c r="B85" t="n">
        <v>0.7382903225806451</v>
      </c>
      <c r="C85" t="n">
        <v>0.2207741935483871</v>
      </c>
      <c r="D85" t="n">
        <v>1.446677419354839</v>
      </c>
    </row>
    <row r="86">
      <c r="A86" s="11" t="n">
        <v>44562</v>
      </c>
      <c r="B86" t="n">
        <v>0.754741935483871</v>
      </c>
      <c r="C86" t="n">
        <v>0.283258064516129</v>
      </c>
      <c r="D86" t="n">
        <v>1.524612903225806</v>
      </c>
    </row>
    <row r="87">
      <c r="A87" s="11" t="n">
        <v>44593</v>
      </c>
      <c r="B87" t="n">
        <v>0.8596785714285714</v>
      </c>
      <c r="C87" t="n">
        <v>0.3171785714285714</v>
      </c>
      <c r="D87" t="n">
        <v>1.550178571428571</v>
      </c>
    </row>
    <row r="88">
      <c r="A88" s="11" t="n">
        <v>44621</v>
      </c>
      <c r="B88" t="n">
        <v>0.8459354838709677</v>
      </c>
      <c r="C88" t="n">
        <v>0.2851612903225807</v>
      </c>
      <c r="D88" t="n">
        <v>1.536838709677419</v>
      </c>
    </row>
    <row r="89">
      <c r="A89" s="11" t="n">
        <v>44652</v>
      </c>
      <c r="B89" t="n">
        <v>1.0392</v>
      </c>
      <c r="C89" t="n">
        <v>0.3394333333333334</v>
      </c>
      <c r="D89" t="n">
        <v>1.345766666666667</v>
      </c>
    </row>
    <row r="90">
      <c r="A90" s="11" t="n">
        <v>44682</v>
      </c>
      <c r="B90" t="n">
        <v>1.035161290322581</v>
      </c>
      <c r="C90" t="n">
        <v>0.3639354838709677</v>
      </c>
      <c r="D90" t="n">
        <v>1.406064516129032</v>
      </c>
    </row>
    <row r="91">
      <c r="A91" s="11" t="n">
        <v>44713</v>
      </c>
      <c r="B91" t="n">
        <v>0.8925</v>
      </c>
      <c r="C91" t="n">
        <v>0.3253333333333333</v>
      </c>
      <c r="D91" t="n">
        <v>1.456233333333333</v>
      </c>
    </row>
    <row r="92">
      <c r="A92" s="11" t="n">
        <v>44743</v>
      </c>
      <c r="B92" t="n">
        <v>0.983741935483871</v>
      </c>
      <c r="C92" t="n">
        <v>0.3655161290322581</v>
      </c>
      <c r="D92" t="n">
        <v>1.46841935483871</v>
      </c>
    </row>
    <row r="93">
      <c r="A93" s="11" t="n">
        <v>44774</v>
      </c>
      <c r="B93" t="n">
        <v>0.9318709677419355</v>
      </c>
      <c r="C93" t="n">
        <v>0.3667096774193548</v>
      </c>
      <c r="D93" t="n">
        <v>1.492322580645161</v>
      </c>
    </row>
    <row r="94">
      <c r="A94" s="11" t="n">
        <v>44805</v>
      </c>
      <c r="B94" t="n">
        <v>0.952</v>
      </c>
      <c r="C94" t="n">
        <v>0.3091666666666667</v>
      </c>
      <c r="D94" t="n">
        <v>1.498766666666667</v>
      </c>
    </row>
    <row r="95">
      <c r="A95" s="11" t="n">
        <v>44835</v>
      </c>
      <c r="B95" t="n">
        <v>0.9549677419354839</v>
      </c>
      <c r="C95" t="n">
        <v>0.2187741935483871</v>
      </c>
      <c r="D95" t="n">
        <v>1.566935483870968</v>
      </c>
    </row>
    <row r="96">
      <c r="A96" s="11" t="n">
        <v>44866</v>
      </c>
      <c r="B96" t="n">
        <v>0.876</v>
      </c>
      <c r="C96" t="n">
        <v>0.2498</v>
      </c>
      <c r="D96" t="n">
        <v>1.625166666666667</v>
      </c>
    </row>
    <row r="97">
      <c r="A97" s="11" t="n">
        <v>44896</v>
      </c>
      <c r="B97" t="n">
        <v>0.6906129032258065</v>
      </c>
      <c r="C97" t="n">
        <v>0.3056129032258065</v>
      </c>
      <c r="D97" t="n">
        <v>1.527290322580645</v>
      </c>
    </row>
    <row r="98">
      <c r="A98" s="11" t="n">
        <v>44927</v>
      </c>
      <c r="B98" t="n">
        <v>0.9337741935483871</v>
      </c>
      <c r="C98" t="n">
        <v>0.2573548387096775</v>
      </c>
      <c r="D98" t="n">
        <v>1.516612903225806</v>
      </c>
    </row>
    <row r="99">
      <c r="A99" s="11" t="n">
        <v>44958</v>
      </c>
      <c r="B99" t="n">
        <v>0.8648928571428571</v>
      </c>
      <c r="C99" t="n">
        <v>0.3575357142857143</v>
      </c>
      <c r="D99" t="n">
        <v>1.485142857142857</v>
      </c>
    </row>
    <row r="100">
      <c r="A100" s="11" t="n">
        <v>44986</v>
      </c>
      <c r="B100" t="n">
        <v>0.8901290322580645</v>
      </c>
      <c r="C100" t="n">
        <v>0.354741935483871</v>
      </c>
      <c r="D100" t="n">
        <v>1.611193548387097</v>
      </c>
    </row>
    <row r="101">
      <c r="A101" s="11" t="n">
        <v>45017</v>
      </c>
      <c r="B101" t="n">
        <v>0.9881</v>
      </c>
      <c r="C101" t="n">
        <v>0.2558333333333334</v>
      </c>
      <c r="D101" t="n">
        <v>1.508833333333333</v>
      </c>
    </row>
    <row r="102">
      <c r="A102" s="11" t="n">
        <v>45047</v>
      </c>
      <c r="B102" t="n">
        <v>1.009903225806452</v>
      </c>
      <c r="C102" t="n">
        <v>0.3298387096774194</v>
      </c>
      <c r="D102" t="n">
        <v>1.600225806451613</v>
      </c>
    </row>
    <row r="103">
      <c r="A103" s="11" t="n">
        <v>45078</v>
      </c>
      <c r="B103" t="n">
        <v>1.249266666666667</v>
      </c>
      <c r="C103" t="n">
        <v>0.4132333333333333</v>
      </c>
      <c r="D103" t="n">
        <v>1.7055</v>
      </c>
    </row>
    <row r="104">
      <c r="A104" s="11" t="n">
        <v>45108</v>
      </c>
      <c r="B104" t="n">
        <v>1.090967741935484</v>
      </c>
      <c r="C104" t="n">
        <v>0.3894193548387097</v>
      </c>
      <c r="D104" t="n">
        <v>1.642709677419355</v>
      </c>
    </row>
    <row r="105">
      <c r="A105" s="11" t="n">
        <v>45139</v>
      </c>
      <c r="B105" t="n">
        <v>1.11258064516129</v>
      </c>
      <c r="C105" t="n">
        <v>0.4156129032258065</v>
      </c>
      <c r="D105" t="n">
        <v>1.645032258064516</v>
      </c>
    </row>
    <row r="106">
      <c r="A106" s="11" t="n">
        <v>45170</v>
      </c>
      <c r="B106" t="n">
        <v>1.058233333333333</v>
      </c>
      <c r="C106" t="n">
        <v>0.4297</v>
      </c>
      <c r="D106" t="n">
        <v>1.6368</v>
      </c>
    </row>
    <row r="107">
      <c r="A107" s="11" t="n">
        <v>45200</v>
      </c>
      <c r="B107" t="n">
        <v>1.082677419354839</v>
      </c>
      <c r="C107" t="n">
        <v>0.4006774193548387</v>
      </c>
      <c r="D107" t="n">
        <v>1.571032258064516</v>
      </c>
    </row>
    <row r="108">
      <c r="A108" s="11" t="n">
        <v>45231</v>
      </c>
      <c r="B108" t="n">
        <v>0.9275333333333333</v>
      </c>
      <c r="C108" t="n">
        <v>0.3788</v>
      </c>
      <c r="D108" t="n">
        <v>1.602433333333333</v>
      </c>
    </row>
    <row r="109">
      <c r="A109" s="11" t="n">
        <v>45261</v>
      </c>
      <c r="B109" t="n">
        <v>0.807483870967742</v>
      </c>
      <c r="C109" t="n">
        <v>0.3429677419354838</v>
      </c>
      <c r="D109" t="n">
        <v>1.583709677419355</v>
      </c>
    </row>
    <row r="110">
      <c r="A110" s="11" t="n">
        <v>45292</v>
      </c>
      <c r="B110" t="n">
        <v>1.002387096774193</v>
      </c>
      <c r="C110" t="n">
        <v>0.2857096774193548</v>
      </c>
      <c r="D110" t="n">
        <v>1.757193548387097</v>
      </c>
    </row>
    <row r="111">
      <c r="A111" s="11" t="n">
        <v>45323</v>
      </c>
      <c r="B111" t="n">
        <v>0.9475517241379311</v>
      </c>
      <c r="C111" t="n">
        <v>0.3148275862068965</v>
      </c>
      <c r="D111" t="n">
        <v>1.618758620689655</v>
      </c>
    </row>
    <row r="112">
      <c r="A112" s="11" t="n">
        <v>45352</v>
      </c>
      <c r="B112" t="n">
        <v>1.135193548387097</v>
      </c>
      <c r="C112" t="n">
        <v>0.3060322580645162</v>
      </c>
      <c r="D112" t="n">
        <v>1.525322580645161</v>
      </c>
    </row>
    <row r="113">
      <c r="A113" s="11" t="n">
        <v>45383</v>
      </c>
      <c r="B113" t="n">
        <v>1.1453</v>
      </c>
      <c r="C113" t="n">
        <v>0.3897666666666667</v>
      </c>
      <c r="D113" t="n">
        <v>1.652733333333333</v>
      </c>
    </row>
    <row r="114">
      <c r="A114" s="11" t="n">
        <v>45413</v>
      </c>
      <c r="B114" t="n">
        <v>1.215161290322581</v>
      </c>
      <c r="C114" t="n">
        <v>0.3923225806451613</v>
      </c>
      <c r="D114" t="n">
        <v>1.650193548387097</v>
      </c>
    </row>
    <row r="115">
      <c r="A115" s="11" t="n">
        <v>45444</v>
      </c>
      <c r="B115" t="n">
        <v>1.151233333333333</v>
      </c>
      <c r="C115" t="n">
        <v>0.3798</v>
      </c>
      <c r="D115" t="n">
        <v>1.5861</v>
      </c>
    </row>
    <row r="116">
      <c r="A116" s="11" t="n">
        <v>45474</v>
      </c>
      <c r="B116" t="n">
        <v>1.074161290322581</v>
      </c>
      <c r="C116" t="n">
        <v>0.390483870967742</v>
      </c>
      <c r="D116" t="n">
        <v>1.682451612903226</v>
      </c>
    </row>
    <row r="117">
      <c r="A117" s="11" t="n">
        <v>45505</v>
      </c>
      <c r="B117" t="n">
        <v>1.054774193548387</v>
      </c>
      <c r="C117" t="n">
        <v>0.3942258064516129</v>
      </c>
      <c r="D117" t="n">
        <v>1.744548387096774</v>
      </c>
    </row>
    <row r="118">
      <c r="A118" s="11" t="n">
        <v>45536</v>
      </c>
      <c r="B118" t="n">
        <v>1.031033333333333</v>
      </c>
      <c r="C118" t="n">
        <v>0.3609333333333333</v>
      </c>
      <c r="D118" t="n">
        <v>1.699233333333333</v>
      </c>
    </row>
    <row r="119">
      <c r="A119" s="11" t="n">
        <v>45566</v>
      </c>
      <c r="B119" t="n">
        <v>0.9116451612903226</v>
      </c>
      <c r="C119" t="n">
        <v>0.3497096774193548</v>
      </c>
      <c r="D119" t="n">
        <v>1.608032258064516</v>
      </c>
    </row>
    <row r="120">
      <c r="A120" s="11" t="n">
        <v>45597</v>
      </c>
      <c r="B120" t="n">
        <v>0.8977333333333334</v>
      </c>
      <c r="C120" t="n">
        <v>0.3273333333333333</v>
      </c>
      <c r="D120" t="n">
        <v>1.517733333333333</v>
      </c>
    </row>
    <row r="121">
      <c r="A121" s="11" t="n">
        <v>45627</v>
      </c>
      <c r="B121" t="n">
        <v>0.8410967741935484</v>
      </c>
      <c r="C121" t="n">
        <v>0.3216451612903226</v>
      </c>
      <c r="D121" t="n">
        <v>1.534903225806452</v>
      </c>
    </row>
    <row r="122">
      <c r="A122" s="11" t="n">
        <v>45658</v>
      </c>
      <c r="B122" t="n">
        <v>1.095064516129032</v>
      </c>
      <c r="C122" t="n">
        <v>0.3478064516129032</v>
      </c>
      <c r="D122" t="n">
        <v>1.686709677419355</v>
      </c>
    </row>
    <row r="123">
      <c r="A123" s="11" t="n">
        <v>45689</v>
      </c>
      <c r="B123" t="n">
        <v>1.071821428571429</v>
      </c>
      <c r="C123" t="n">
        <v>0.2709642857142857</v>
      </c>
      <c r="D123" t="n">
        <v>1.695071428571429</v>
      </c>
    </row>
    <row r="124">
      <c r="A124" s="11" t="n">
        <v>45717</v>
      </c>
      <c r="B124" t="n">
        <v>0.9162258064516129</v>
      </c>
      <c r="C124" t="n">
        <v>0.3322258064516129</v>
      </c>
      <c r="D124" t="n">
        <v>1.615935483870968</v>
      </c>
    </row>
    <row r="125">
      <c r="A125" s="11" t="n">
        <v>45748</v>
      </c>
      <c r="B125" t="n">
        <v>1.223</v>
      </c>
      <c r="C125" t="n">
        <v>0.3571333333333333</v>
      </c>
      <c r="D125" t="n">
        <v>1.671866666666667</v>
      </c>
    </row>
    <row r="126">
      <c r="A126" s="11" t="n">
        <v>45778</v>
      </c>
      <c r="B126" t="n">
        <v>1.246354838709677</v>
      </c>
      <c r="C126" t="n">
        <v>0.4121290322580645</v>
      </c>
      <c r="D126" t="n">
        <v>1.865354838709677</v>
      </c>
    </row>
    <row r="127">
      <c r="A127" s="11" t="n">
        <v>45809</v>
      </c>
      <c r="B127" t="n">
        <v>1.154233333333333</v>
      </c>
      <c r="C127" t="n">
        <v>0.3838</v>
      </c>
      <c r="D127" t="n">
        <v>1.9081</v>
      </c>
    </row>
    <row r="128">
      <c r="A128" s="11" t="n">
        <v>45839</v>
      </c>
      <c r="B128" t="n">
        <v>1.039903225806452</v>
      </c>
      <c r="C128" t="n">
        <v>0.3359032258064516</v>
      </c>
      <c r="D128" t="n">
        <v>1.718774193548387</v>
      </c>
    </row>
    <row r="129">
      <c r="A129" s="11" t="n">
        <v>45870</v>
      </c>
      <c r="B129" t="n">
        <v>1.195741935483871</v>
      </c>
      <c r="C129" t="n">
        <v>0.3515483870967742</v>
      </c>
      <c r="D129" t="n">
        <v>1.803</v>
      </c>
    </row>
    <row r="130">
      <c r="A130" s="11" t="n">
        <v>45901</v>
      </c>
      <c r="B130" t="n">
        <v>0.9532</v>
      </c>
      <c r="C130" t="n">
        <v>0.3583333333333333</v>
      </c>
      <c r="D130" t="n">
        <v>1.6384</v>
      </c>
    </row>
    <row r="131">
      <c r="A131" s="11" t="n">
        <v>45931</v>
      </c>
      <c r="B131" t="n">
        <v>0.8150967741935484</v>
      </c>
      <c r="C131" t="n">
        <v>0.3345806451612903</v>
      </c>
      <c r="D131" t="n">
        <v>1.683806451612903</v>
      </c>
    </row>
    <row r="132">
      <c r="A132" s="11" t="n">
        <v>45962</v>
      </c>
      <c r="B132" t="n">
        <v>0.9061</v>
      </c>
      <c r="C132" t="n">
        <v>0.3257</v>
      </c>
      <c r="D132" t="n">
        <v>1.6883</v>
      </c>
    </row>
    <row r="133">
      <c r="A133" s="11" t="n">
        <v>45992</v>
      </c>
      <c r="B133" t="n">
        <v>0.7549354838709676</v>
      </c>
      <c r="C133" t="n">
        <v>0.324741935483871</v>
      </c>
      <c r="D133" t="n">
        <v>1.684774193548387</v>
      </c>
    </row>
    <row r="134">
      <c r="A134" s="11" t="n">
        <v>46023</v>
      </c>
      <c r="B134" t="n">
        <v>0.859</v>
      </c>
      <c r="C134" t="n">
        <v>0.2643225806451613</v>
      </c>
      <c r="D134" t="n">
        <v>1.750032258064516</v>
      </c>
    </row>
    <row r="135">
      <c r="A135" s="11" t="n">
        <v>46054</v>
      </c>
      <c r="B135" t="n">
        <v>0.8906785714285714</v>
      </c>
      <c r="C135" t="n">
        <v>0.2788571428571429</v>
      </c>
      <c r="D135" t="n">
        <v>1.819571428571429</v>
      </c>
    </row>
    <row r="136">
      <c r="A136" s="11" t="n">
        <v>46082</v>
      </c>
      <c r="B136" t="n">
        <v>0.8338387096774194</v>
      </c>
      <c r="C136" t="n">
        <v>0.2413225806451613</v>
      </c>
      <c r="D136" t="n">
        <v>1.69341935483871</v>
      </c>
    </row>
    <row r="137">
      <c r="A137" s="11" t="n">
        <v>46113</v>
      </c>
      <c r="B137" t="n">
        <v>0.8766333333333334</v>
      </c>
      <c r="C137" t="n">
        <v>0.3031333333333333</v>
      </c>
      <c r="D137" t="n">
        <v>1.6579</v>
      </c>
    </row>
    <row r="138">
      <c r="A138" s="11" t="n">
        <v>46143</v>
      </c>
      <c r="B138" t="n">
        <v>1.121903225806452</v>
      </c>
      <c r="C138" t="n">
        <v>0.3647741935483871</v>
      </c>
      <c r="D138" t="n">
        <v>1.829774193548387</v>
      </c>
    </row>
    <row r="139">
      <c r="A139" s="11" t="n">
        <v>46174</v>
      </c>
      <c r="B139" t="n">
        <v>1.1435</v>
      </c>
      <c r="C139" t="n">
        <v>0.3762666666666666</v>
      </c>
      <c r="D139" t="n">
        <v>1.834733333333333</v>
      </c>
    </row>
    <row r="140">
      <c r="A140" s="11" t="n">
        <v>46204</v>
      </c>
      <c r="B140" t="n">
        <v>1.122032258064516</v>
      </c>
      <c r="C140" t="n">
        <v>0.352258064516129</v>
      </c>
      <c r="D140" t="n">
        <v>1.762483870967742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Marketed production</t>
        </is>
      </c>
      <c r="C1" t="inlineStr">
        <is>
          <t>Dry production</t>
        </is>
      </c>
      <c r="D1" t="inlineStr">
        <is>
          <t>Dry production basis</t>
        </is>
      </c>
      <c r="E1" t="inlineStr">
        <is>
          <t>Net storage withdrawal (+)</t>
        </is>
      </c>
      <c r="F1" t="inlineStr">
        <is>
          <t>Storage injections (gross)</t>
        </is>
      </c>
      <c r="G1" t="inlineStr">
        <is>
          <t>Storage withdrawals (gross)</t>
        </is>
      </c>
      <c r="H1" t="inlineStr">
        <is>
          <t>Consumption (published sectors)</t>
        </is>
      </c>
      <c r="I1" t="inlineStr">
        <is>
          <t>Pipeline exports to Mexico</t>
        </is>
      </c>
      <c r="J1" t="inlineStr">
        <is>
          <t>LNG exports</t>
        </is>
      </c>
      <c r="K1" t="inlineStr">
        <is>
          <t>Residual: net interstate outflow + withheld fuel uses</t>
        </is>
      </c>
    </row>
    <row r="2">
      <c r="A2" s="11" t="n">
        <v>42005</v>
      </c>
      <c r="B2" t="n">
        <v>21.50941935483871</v>
      </c>
      <c r="C2" t="n">
        <v>19.31106451612903</v>
      </c>
      <c r="D2" t="inlineStr">
        <is>
          <t>EIA</t>
        </is>
      </c>
      <c r="E2" t="n">
        <v>2.13758064516129</v>
      </c>
      <c r="F2" t="n">
        <v>0.6626451612903226</v>
      </c>
      <c r="G2" t="n">
        <v>2.800225806451613</v>
      </c>
      <c r="H2" t="n">
        <v>11.22964516129032</v>
      </c>
      <c r="I2" t="n">
        <v>0.5156129032258064</v>
      </c>
      <c r="J2" t="n">
        <v>0.09048387096774194</v>
      </c>
      <c r="K2" t="n">
        <v>9.612903225806454</v>
      </c>
    </row>
    <row r="3">
      <c r="A3" s="11" t="n">
        <v>42036</v>
      </c>
      <c r="B3" t="n">
        <v>21.97328571428571</v>
      </c>
      <c r="C3" t="n">
        <v>19.764</v>
      </c>
      <c r="D3" t="inlineStr">
        <is>
          <t>EIA</t>
        </is>
      </c>
      <c r="E3" t="n">
        <v>2.687178571428571</v>
      </c>
      <c r="F3" t="n">
        <v>0.4665357142857143</v>
      </c>
      <c r="G3" t="n">
        <v>3.153714285714286</v>
      </c>
      <c r="H3" t="n">
        <v>10.63703571428571</v>
      </c>
      <c r="I3" t="n">
        <v>0.631</v>
      </c>
      <c r="J3" t="n">
        <v>0.09742857142857143</v>
      </c>
      <c r="K3" t="n">
        <v>11.08571428571429</v>
      </c>
    </row>
    <row r="4">
      <c r="A4" s="11" t="n">
        <v>42278</v>
      </c>
      <c r="B4" t="n">
        <v>21.30312903225806</v>
      </c>
      <c r="C4" t="n">
        <v>19.08235483870968</v>
      </c>
      <c r="D4" t="inlineStr">
        <is>
          <t>EIA</t>
        </is>
      </c>
      <c r="E4" t="n">
        <v>-1.352032258064516</v>
      </c>
      <c r="F4" t="n">
        <v>1.807064516129032</v>
      </c>
      <c r="G4" t="n">
        <v>0.4550322580645161</v>
      </c>
      <c r="H4" t="n">
        <v>8.994548387096774</v>
      </c>
      <c r="I4" t="n">
        <v>1.002903225806452</v>
      </c>
      <c r="J4" t="n">
        <v>3.225806451612903e-05</v>
      </c>
      <c r="K4" t="n">
        <v>7.732838709677419</v>
      </c>
    </row>
    <row r="5">
      <c r="A5" s="11" t="n">
        <v>42309</v>
      </c>
      <c r="B5" t="n">
        <v>21.0325</v>
      </c>
      <c r="C5" t="n">
        <v>18.82106666666667</v>
      </c>
      <c r="D5" t="inlineStr">
        <is>
          <t>EIA</t>
        </is>
      </c>
      <c r="E5" t="n">
        <v>-0.06953333333333334</v>
      </c>
      <c r="F5" t="n">
        <v>0.8998666666666667</v>
      </c>
      <c r="G5" t="n">
        <v>0.8303333333333334</v>
      </c>
      <c r="H5" t="n">
        <v>9.039766666666667</v>
      </c>
      <c r="I5" t="n">
        <v>0.9998333333333334</v>
      </c>
      <c r="J5" t="n">
        <v>0.09823333333333334</v>
      </c>
      <c r="K5" t="n">
        <v>8.613700000000001</v>
      </c>
    </row>
    <row r="6">
      <c r="A6" s="11" t="n">
        <v>42339</v>
      </c>
      <c r="B6" t="n">
        <v>20.82961290322581</v>
      </c>
      <c r="C6" t="n">
        <v>18.61803225806452</v>
      </c>
      <c r="D6" t="inlineStr">
        <is>
          <t>EIA</t>
        </is>
      </c>
      <c r="E6" t="n">
        <v>0.2072258064516129</v>
      </c>
      <c r="F6" t="n">
        <v>1.025387096774194</v>
      </c>
      <c r="G6" t="n">
        <v>1.232612903225806</v>
      </c>
      <c r="H6" t="n">
        <v>10.12364516129032</v>
      </c>
      <c r="I6" t="n">
        <v>1.111354838709677</v>
      </c>
      <c r="J6" t="n">
        <v>0.1014516129032258</v>
      </c>
      <c r="K6" t="n">
        <v>7.488806451612906</v>
      </c>
    </row>
    <row r="7">
      <c r="A7" s="11" t="n">
        <v>42401</v>
      </c>
      <c r="B7" t="n">
        <v>20.56272413793103</v>
      </c>
      <c r="C7" t="n">
        <v>18.26506896551724</v>
      </c>
      <c r="D7" t="inlineStr">
        <is>
          <t>EIA</t>
        </is>
      </c>
      <c r="E7" t="n">
        <v>0.832</v>
      </c>
      <c r="F7" t="n">
        <v>0.7257931034482759</v>
      </c>
      <c r="G7" t="n">
        <v>1.557793103448276</v>
      </c>
      <c r="H7" t="n">
        <v>9.858103448275862</v>
      </c>
      <c r="I7" t="n">
        <v>1.341586206896552</v>
      </c>
      <c r="J7" t="n">
        <v>0.000103448275862069</v>
      </c>
      <c r="K7" t="n">
        <v>7.897275862068969</v>
      </c>
    </row>
    <row r="8">
      <c r="A8" s="11" t="n">
        <v>42430</v>
      </c>
      <c r="B8" t="n">
        <v>20.09061290322581</v>
      </c>
      <c r="C8" t="n">
        <v>17.81887096774194</v>
      </c>
      <c r="D8" t="inlineStr">
        <is>
          <t>EIA</t>
        </is>
      </c>
      <c r="E8" t="n">
        <v>-0.627258064516129</v>
      </c>
      <c r="F8" t="n">
        <v>1.492161290322581</v>
      </c>
      <c r="G8" t="n">
        <v>0.8649032258064516</v>
      </c>
      <c r="H8" t="n">
        <v>9.32441935483871</v>
      </c>
      <c r="I8" t="n">
        <v>1.314967741935484</v>
      </c>
      <c r="J8" t="n">
        <v>0.0002258064516129032</v>
      </c>
      <c r="K8" t="n">
        <v>6.552</v>
      </c>
    </row>
    <row r="9">
      <c r="A9" s="11" t="n">
        <v>42461</v>
      </c>
      <c r="B9" t="n">
        <v>20.41996666666667</v>
      </c>
      <c r="C9" t="n">
        <v>18.1498</v>
      </c>
      <c r="D9" t="inlineStr">
        <is>
          <t>EIA</t>
        </is>
      </c>
      <c r="E9" t="n">
        <v>-1.2705</v>
      </c>
      <c r="F9" t="n">
        <v>1.751766666666667</v>
      </c>
      <c r="G9" t="n">
        <v>0.4812666666666667</v>
      </c>
      <c r="H9" t="n">
        <v>8.976366666666667</v>
      </c>
      <c r="I9" t="n">
        <v>1.3768</v>
      </c>
      <c r="J9" t="n">
        <v>0.0002666666666666667</v>
      </c>
      <c r="K9" t="n">
        <v>6.525866666666666</v>
      </c>
    </row>
    <row r="10">
      <c r="A10" s="11" t="n">
        <v>42491</v>
      </c>
      <c r="B10" t="n">
        <v>19.95093548387097</v>
      </c>
      <c r="C10" t="n">
        <v>17.70664516129032</v>
      </c>
      <c r="D10" t="inlineStr">
        <is>
          <t>EIA</t>
        </is>
      </c>
      <c r="E10" t="n">
        <v>-0.9530967741935484</v>
      </c>
      <c r="F10" t="n">
        <v>1.434387096774194</v>
      </c>
      <c r="G10" t="n">
        <v>0.4812903225806452</v>
      </c>
      <c r="H10" t="n">
        <v>9.005806451612903</v>
      </c>
      <c r="I10" t="n">
        <v>1.498193548387097</v>
      </c>
      <c r="J10" t="n">
        <v>0.0005806451612903226</v>
      </c>
      <c r="K10" t="n">
        <v>6.248967741935485</v>
      </c>
    </row>
    <row r="11">
      <c r="A11" s="11" t="n">
        <v>42522</v>
      </c>
      <c r="B11" t="n">
        <v>20.05293333333334</v>
      </c>
      <c r="C11" t="n">
        <v>17.83016666666667</v>
      </c>
      <c r="D11" t="inlineStr">
        <is>
          <t>EIA</t>
        </is>
      </c>
      <c r="E11" t="n">
        <v>0.2541333333333333</v>
      </c>
      <c r="F11" t="n">
        <v>0.5571666666666666</v>
      </c>
      <c r="G11" t="n">
        <v>0.8112999999999999</v>
      </c>
      <c r="H11" t="n">
        <v>9.946899999999999</v>
      </c>
      <c r="I11" t="n">
        <v>1.511166666666667</v>
      </c>
      <c r="J11" t="n">
        <v>0.0004</v>
      </c>
      <c r="K11" t="n">
        <v>6.625833333333333</v>
      </c>
    </row>
    <row r="12">
      <c r="A12" s="11" t="n">
        <v>42552</v>
      </c>
      <c r="B12" t="n">
        <v>20.14732258064516</v>
      </c>
      <c r="C12" t="n">
        <v>17.90635483870968</v>
      </c>
      <c r="D12" t="inlineStr">
        <is>
          <t>EIA</t>
        </is>
      </c>
      <c r="E12" t="n">
        <v>0.597741935483871</v>
      </c>
      <c r="F12" t="n">
        <v>0.6335806451612903</v>
      </c>
      <c r="G12" t="n">
        <v>1.231290322580645</v>
      </c>
      <c r="H12" t="n">
        <v>10.612</v>
      </c>
      <c r="I12" t="n">
        <v>1.616258064516129</v>
      </c>
      <c r="J12" t="n">
        <v>0.0006774193548387096</v>
      </c>
      <c r="K12" t="n">
        <v>6.275161290322581</v>
      </c>
    </row>
    <row r="13">
      <c r="A13" s="11" t="n">
        <v>42583</v>
      </c>
      <c r="B13" t="n">
        <v>19.66632258064516</v>
      </c>
      <c r="C13" t="n">
        <v>17.44312903225806</v>
      </c>
      <c r="D13" t="inlineStr">
        <is>
          <t>EIA</t>
        </is>
      </c>
      <c r="E13" t="n">
        <v>0.6886451612903226</v>
      </c>
      <c r="F13" t="n">
        <v>0.6865483870967741</v>
      </c>
      <c r="G13" t="n">
        <v>1.375193548387097</v>
      </c>
      <c r="H13" t="n">
        <v>10.75674193548387</v>
      </c>
      <c r="I13" t="n">
        <v>1.804258064516129</v>
      </c>
      <c r="J13" t="n">
        <v>0.0007419354838709677</v>
      </c>
      <c r="K13" t="n">
        <v>5.570032258064516</v>
      </c>
    </row>
    <row r="14">
      <c r="A14" s="11" t="n">
        <v>42614</v>
      </c>
      <c r="B14" t="n">
        <v>19.39056666666666</v>
      </c>
      <c r="C14" t="n">
        <v>17.18206666666666</v>
      </c>
      <c r="D14" t="inlineStr">
        <is>
          <t>EIA</t>
        </is>
      </c>
      <c r="E14" t="n">
        <v>0.003733333333333333</v>
      </c>
      <c r="F14" t="n">
        <v>0.9448666666666666</v>
      </c>
      <c r="G14" t="n">
        <v>0.9486333333333333</v>
      </c>
      <c r="H14" t="n">
        <v>9.895666666666665</v>
      </c>
      <c r="I14" t="n">
        <v>1.8815</v>
      </c>
      <c r="J14" t="n">
        <v>0.0009</v>
      </c>
      <c r="K14" t="n">
        <v>5.407733333333332</v>
      </c>
    </row>
    <row r="15">
      <c r="A15" s="11" t="n">
        <v>42644</v>
      </c>
      <c r="B15" t="n">
        <v>19.1861935483871</v>
      </c>
      <c r="C15" t="n">
        <v>16.98638709677419</v>
      </c>
      <c r="D15" t="inlineStr">
        <is>
          <t>EIA</t>
        </is>
      </c>
      <c r="E15" t="n">
        <v>-1.633741935483871</v>
      </c>
      <c r="F15" t="n">
        <v>2.17858064516129</v>
      </c>
      <c r="G15" t="n">
        <v>0.5448387096774194</v>
      </c>
      <c r="H15" t="n">
        <v>8.58309677419355</v>
      </c>
      <c r="I15" t="n">
        <v>1.932032258064516</v>
      </c>
      <c r="J15" t="n">
        <v>0.0009032258064516129</v>
      </c>
      <c r="K15" t="n">
        <v>4.836612903225807</v>
      </c>
    </row>
    <row r="16">
      <c r="A16" s="11" t="n">
        <v>42675</v>
      </c>
      <c r="B16" t="n">
        <v>18.96256666666667</v>
      </c>
      <c r="C16" t="n">
        <v>16.7444</v>
      </c>
      <c r="D16" t="inlineStr">
        <is>
          <t>EIA</t>
        </is>
      </c>
      <c r="E16" t="n">
        <v>-0.5972999999999999</v>
      </c>
      <c r="F16" t="n">
        <v>1.2133</v>
      </c>
      <c r="G16" t="n">
        <v>0.616</v>
      </c>
      <c r="H16" t="n">
        <v>8.571933333333332</v>
      </c>
      <c r="I16" t="n">
        <v>1.923433333333333</v>
      </c>
      <c r="J16" t="n">
        <v>0.0011</v>
      </c>
      <c r="K16" t="n">
        <v>5.650633333333336</v>
      </c>
    </row>
    <row r="17">
      <c r="A17" s="11" t="n">
        <v>42705</v>
      </c>
      <c r="B17" t="n">
        <v>18.42467741935484</v>
      </c>
      <c r="C17" t="n">
        <v>16.23148387096774</v>
      </c>
      <c r="D17" t="inlineStr">
        <is>
          <t>EIA</t>
        </is>
      </c>
      <c r="E17" t="n">
        <v>2.124612903225807</v>
      </c>
      <c r="F17" t="n">
        <v>0.6699677419354839</v>
      </c>
      <c r="G17" t="n">
        <v>2.79458064516129</v>
      </c>
      <c r="H17" t="n">
        <v>9.441806451612903</v>
      </c>
      <c r="I17" t="n">
        <v>1.598741935483871</v>
      </c>
      <c r="J17" t="n">
        <v>0.0007741935483870968</v>
      </c>
      <c r="K17" t="n">
        <v>7.314774193548388</v>
      </c>
    </row>
    <row r="18">
      <c r="A18" s="11" t="n">
        <v>42736</v>
      </c>
      <c r="B18" t="n">
        <v>18.23812903225807</v>
      </c>
      <c r="C18" t="n">
        <v>16.06593548387097</v>
      </c>
      <c r="D18" t="inlineStr">
        <is>
          <t>EIA</t>
        </is>
      </c>
      <c r="E18" t="n">
        <v>2.520064516129032</v>
      </c>
      <c r="F18" t="n">
        <v>0.6480645161290323</v>
      </c>
      <c r="G18" t="n">
        <v>3.168129032258064</v>
      </c>
      <c r="H18" t="n">
        <v>9.489354838709678</v>
      </c>
      <c r="I18" t="n">
        <v>1.884935483870968</v>
      </c>
      <c r="J18" t="n">
        <v>0.002129032258064516</v>
      </c>
      <c r="K18" t="n">
        <v>7.209580645161288</v>
      </c>
    </row>
    <row r="19">
      <c r="A19" s="11" t="n">
        <v>42767</v>
      </c>
      <c r="B19" t="n">
        <v>18.73007142857143</v>
      </c>
      <c r="C19" t="n">
        <v>16.5275</v>
      </c>
      <c r="D19" t="inlineStr">
        <is>
          <t>EIA</t>
        </is>
      </c>
      <c r="E19" t="n">
        <v>0.2260357142857143</v>
      </c>
      <c r="F19" t="n">
        <v>1.03525</v>
      </c>
      <c r="G19" t="n">
        <v>1.261285714285714</v>
      </c>
      <c r="H19" t="n">
        <v>8.756071428571429</v>
      </c>
      <c r="I19" t="n">
        <v>1.970821428571429</v>
      </c>
      <c r="J19" t="n">
        <v>0.001</v>
      </c>
      <c r="K19" t="n">
        <v>6.025642857142856</v>
      </c>
    </row>
    <row r="20">
      <c r="A20" s="11" t="n">
        <v>42795</v>
      </c>
      <c r="B20" t="n">
        <v>19.24690322580645</v>
      </c>
      <c r="C20" t="n">
        <v>16.99448387096774</v>
      </c>
      <c r="D20" t="inlineStr">
        <is>
          <t>EIA</t>
        </is>
      </c>
      <c r="E20" t="n">
        <v>0.037</v>
      </c>
      <c r="F20" t="n">
        <v>1.154935483870968</v>
      </c>
      <c r="G20" t="n">
        <v>1.191967741935484</v>
      </c>
      <c r="H20" t="n">
        <v>8.454354838709678</v>
      </c>
      <c r="I20" t="n">
        <v>1.956451612903226</v>
      </c>
      <c r="J20" t="n">
        <v>0.001451612903225807</v>
      </c>
      <c r="K20" t="n">
        <v>6.619225806451611</v>
      </c>
    </row>
    <row r="21">
      <c r="A21" s="11" t="n">
        <v>42826</v>
      </c>
      <c r="B21" t="n">
        <v>19.6151</v>
      </c>
      <c r="C21" t="n">
        <v>17.35993333333333</v>
      </c>
      <c r="D21" t="inlineStr">
        <is>
          <t>EIA</t>
        </is>
      </c>
      <c r="E21" t="n">
        <v>-1.026833333333333</v>
      </c>
      <c r="F21" t="n">
        <v>1.748666666666667</v>
      </c>
      <c r="G21" t="n">
        <v>0.7218333333333333</v>
      </c>
      <c r="H21" t="n">
        <v>8.230666666666666</v>
      </c>
      <c r="I21" t="n">
        <v>1.684966666666667</v>
      </c>
      <c r="J21" t="n">
        <v>0.0018</v>
      </c>
      <c r="K21" t="n">
        <v>6.415666666666668</v>
      </c>
    </row>
    <row r="22">
      <c r="A22" s="11" t="n">
        <v>42856</v>
      </c>
      <c r="B22" t="n">
        <v>19.58841935483871</v>
      </c>
      <c r="C22" t="n">
        <v>17.33329032258064</v>
      </c>
      <c r="D22" t="inlineStr">
        <is>
          <t>EIA</t>
        </is>
      </c>
      <c r="E22" t="n">
        <v>-1.2</v>
      </c>
      <c r="F22" t="n">
        <v>1.85258064516129</v>
      </c>
      <c r="G22" t="n">
        <v>0.6525806451612903</v>
      </c>
      <c r="H22" t="n">
        <v>8.441935483870967</v>
      </c>
      <c r="I22" t="n">
        <v>1.876677419354839</v>
      </c>
      <c r="J22" t="n">
        <v>0.0004516129032258064</v>
      </c>
      <c r="K22" t="n">
        <v>5.814225806451613</v>
      </c>
    </row>
    <row r="23">
      <c r="A23" s="11" t="n">
        <v>42887</v>
      </c>
      <c r="B23" t="n">
        <v>19.7962</v>
      </c>
      <c r="C23" t="n">
        <v>17.5192</v>
      </c>
      <c r="D23" t="inlineStr">
        <is>
          <t>EIA</t>
        </is>
      </c>
      <c r="E23" t="n">
        <v>-0.5089</v>
      </c>
      <c r="F23" t="n">
        <v>1.4175</v>
      </c>
      <c r="G23" t="n">
        <v>0.9086000000000001</v>
      </c>
      <c r="H23" t="n">
        <v>10.05726666666667</v>
      </c>
      <c r="I23" t="n">
        <v>1.960533333333333</v>
      </c>
      <c r="J23" t="n">
        <v>0.0002</v>
      </c>
      <c r="K23" t="n">
        <v>4.9923</v>
      </c>
    </row>
    <row r="24">
      <c r="A24" s="11" t="n">
        <v>42917</v>
      </c>
      <c r="B24" t="n">
        <v>20.12025806451613</v>
      </c>
      <c r="C24" t="n">
        <v>17.81977419354839</v>
      </c>
      <c r="D24" t="inlineStr">
        <is>
          <t>EIA</t>
        </is>
      </c>
      <c r="E24" t="n">
        <v>0.588516129032258</v>
      </c>
      <c r="F24" t="n">
        <v>0.7068709677419355</v>
      </c>
      <c r="G24" t="n">
        <v>1.295387096774194</v>
      </c>
      <c r="H24" t="n">
        <v>11.033</v>
      </c>
      <c r="I24" t="n">
        <v>1.921096774193548</v>
      </c>
      <c r="J24" t="n">
        <v>0.001096774193548387</v>
      </c>
      <c r="K24" t="n">
        <v>5.453096774193547</v>
      </c>
    </row>
    <row r="25">
      <c r="A25" s="11" t="n">
        <v>42948</v>
      </c>
      <c r="B25" t="n">
        <v>19.56261290322581</v>
      </c>
      <c r="C25" t="n">
        <v>17.26345161290323</v>
      </c>
      <c r="D25" t="inlineStr">
        <is>
          <t>EIA</t>
        </is>
      </c>
      <c r="E25" t="n">
        <v>0.6150967741935485</v>
      </c>
      <c r="F25" t="n">
        <v>0.7013548387096774</v>
      </c>
      <c r="G25" t="n">
        <v>1.316451612903226</v>
      </c>
      <c r="H25" t="n">
        <v>10.41574193548387</v>
      </c>
      <c r="I25" t="n">
        <v>1.990870967741935</v>
      </c>
      <c r="J25" t="n">
        <v>0.0006774193548387096</v>
      </c>
      <c r="K25" t="n">
        <v>5.471258064516134</v>
      </c>
    </row>
    <row r="26">
      <c r="A26" s="11" t="n">
        <v>42979</v>
      </c>
      <c r="B26" t="n">
        <v>19.95146666666667</v>
      </c>
      <c r="C26" t="n">
        <v>17.61206666666667</v>
      </c>
      <c r="D26" t="inlineStr">
        <is>
          <t>EIA</t>
        </is>
      </c>
      <c r="E26" t="n">
        <v>-0.5632666666666667</v>
      </c>
      <c r="F26" t="n">
        <v>1.3584</v>
      </c>
      <c r="G26" t="n">
        <v>0.7951333333333334</v>
      </c>
      <c r="H26" t="n">
        <v>8.939333333333334</v>
      </c>
      <c r="I26" t="n">
        <v>1.869566666666667</v>
      </c>
      <c r="J26" t="n">
        <v>0.0014</v>
      </c>
      <c r="K26" t="n">
        <v>6.238499999999999</v>
      </c>
    </row>
    <row r="27">
      <c r="A27" s="11" t="n">
        <v>43009</v>
      </c>
      <c r="B27" t="n">
        <v>20.76596774193548</v>
      </c>
      <c r="C27" t="n">
        <v>18.385</v>
      </c>
      <c r="D27" t="inlineStr">
        <is>
          <t>EIA</t>
        </is>
      </c>
      <c r="E27" t="n">
        <v>-0.9793870967741936</v>
      </c>
      <c r="F27" t="n">
        <v>1.667161290322581</v>
      </c>
      <c r="G27" t="n">
        <v>0.6877741935483871</v>
      </c>
      <c r="H27" t="n">
        <v>8.571483870967743</v>
      </c>
      <c r="I27" t="n">
        <v>1.909612903225806</v>
      </c>
      <c r="J27" t="n">
        <v>0.001483870967741935</v>
      </c>
      <c r="K27" t="n">
        <v>6.923032258064517</v>
      </c>
    </row>
    <row r="28">
      <c r="A28" s="11" t="n">
        <v>43040</v>
      </c>
      <c r="B28" t="n">
        <v>21.13343333333333</v>
      </c>
      <c r="C28" t="n">
        <v>18.67836666666667</v>
      </c>
      <c r="D28" t="inlineStr">
        <is>
          <t>EIA</t>
        </is>
      </c>
      <c r="E28" t="n">
        <v>-0.3917</v>
      </c>
      <c r="F28" t="n">
        <v>1.189366666666666</v>
      </c>
      <c r="G28" t="n">
        <v>0.7976666666666666</v>
      </c>
      <c r="H28" t="n">
        <v>8.607766666666667</v>
      </c>
      <c r="I28" t="n">
        <v>1.9119</v>
      </c>
      <c r="J28" t="n">
        <v>0.002266666666666666</v>
      </c>
      <c r="K28" t="n">
        <v>7.764733333333332</v>
      </c>
    </row>
    <row r="29">
      <c r="A29" s="11" t="n">
        <v>43070</v>
      </c>
      <c r="B29" t="n">
        <v>20.6878064516129</v>
      </c>
      <c r="C29" t="n">
        <v>18.24729032258064</v>
      </c>
      <c r="D29" t="inlineStr">
        <is>
          <t>EIA</t>
        </is>
      </c>
      <c r="E29" t="n">
        <v>2.732774193548387</v>
      </c>
      <c r="F29" t="n">
        <v>0.468516129032258</v>
      </c>
      <c r="G29" t="n">
        <v>3.201290322580645</v>
      </c>
      <c r="H29" t="n">
        <v>10.03045161290323</v>
      </c>
      <c r="I29" t="n">
        <v>1.813451612903226</v>
      </c>
      <c r="J29" t="n">
        <v>0.002548387096774193</v>
      </c>
      <c r="K29" t="n">
        <v>9.133612903225803</v>
      </c>
    </row>
    <row r="30">
      <c r="A30" s="11" t="n">
        <v>43101</v>
      </c>
      <c r="B30" t="n">
        <v>19.92074193548387</v>
      </c>
      <c r="C30" t="n">
        <v>17.33190322580645</v>
      </c>
      <c r="D30" t="inlineStr">
        <is>
          <t>EIA</t>
        </is>
      </c>
      <c r="E30" t="n">
        <v>3.455935483870968</v>
      </c>
      <c r="F30" t="n">
        <v>0.9742258064516129</v>
      </c>
      <c r="G30" t="n">
        <v>4.43016129032258</v>
      </c>
      <c r="H30" t="n">
        <v>12.10996774193548</v>
      </c>
      <c r="I30" t="n">
        <v>1.888935483870968</v>
      </c>
      <c r="J30" t="n">
        <v>0.002935483870967742</v>
      </c>
      <c r="K30" t="n">
        <v>6.785999999999997</v>
      </c>
    </row>
    <row r="31">
      <c r="A31" s="11" t="n">
        <v>43132</v>
      </c>
      <c r="B31" t="n">
        <v>20.63878571428571</v>
      </c>
      <c r="C31" t="n">
        <v>17.99585714285714</v>
      </c>
      <c r="D31" t="inlineStr">
        <is>
          <t>EIA</t>
        </is>
      </c>
      <c r="E31" t="n">
        <v>1.298428571428571</v>
      </c>
      <c r="F31" t="n">
        <v>1.134928571428571</v>
      </c>
      <c r="G31" t="n">
        <v>2.433357142857143</v>
      </c>
      <c r="H31" t="n">
        <v>10.83039285714286</v>
      </c>
      <c r="I31" t="n">
        <v>1.938535714285714</v>
      </c>
      <c r="J31" t="n">
        <v>0.001428571428571429</v>
      </c>
      <c r="K31" t="n">
        <v>6.523928571428568</v>
      </c>
    </row>
    <row r="32">
      <c r="A32" s="11" t="n">
        <v>43160</v>
      </c>
      <c r="B32" t="n">
        <v>21.32409677419355</v>
      </c>
      <c r="C32" t="n">
        <v>18.65032258064516</v>
      </c>
      <c r="D32" t="inlineStr">
        <is>
          <t>EIA</t>
        </is>
      </c>
      <c r="E32" t="n">
        <v>-0.4864516129032258</v>
      </c>
      <c r="F32" t="n">
        <v>1.716258064516129</v>
      </c>
      <c r="G32" t="n">
        <v>1.229806451612903</v>
      </c>
      <c r="H32" t="n">
        <v>9.963870967741936</v>
      </c>
      <c r="I32" t="n">
        <v>1.806935483870968</v>
      </c>
      <c r="J32" t="n">
        <v>0.001483870967741935</v>
      </c>
      <c r="K32" t="n">
        <v>6.39158064516129</v>
      </c>
    </row>
    <row r="33">
      <c r="A33" s="11" t="n">
        <v>43191</v>
      </c>
      <c r="B33" t="n">
        <v>21.22153333333333</v>
      </c>
      <c r="C33" t="n">
        <v>18.5523</v>
      </c>
      <c r="D33" t="inlineStr">
        <is>
          <t>EIA</t>
        </is>
      </c>
      <c r="E33" t="n">
        <v>-0.9469333333333333</v>
      </c>
      <c r="F33" t="n">
        <v>1.6305</v>
      </c>
      <c r="G33" t="n">
        <v>0.6835666666666668</v>
      </c>
      <c r="H33" t="n">
        <v>9.383799999999999</v>
      </c>
      <c r="I33" t="n">
        <v>1.913</v>
      </c>
      <c r="J33" t="n">
        <v>0.0001333333333333333</v>
      </c>
      <c r="K33" t="n">
        <v>6.308433333333332</v>
      </c>
    </row>
    <row r="34">
      <c r="A34" s="11" t="n">
        <v>43221</v>
      </c>
      <c r="B34" t="n">
        <v>21.74293548387097</v>
      </c>
      <c r="C34" t="n">
        <v>19.04303225806451</v>
      </c>
      <c r="D34" t="inlineStr">
        <is>
          <t>EIA</t>
        </is>
      </c>
      <c r="E34" t="n">
        <v>-1.199870967741935</v>
      </c>
      <c r="F34" t="n">
        <v>1.814838709677419</v>
      </c>
      <c r="G34" t="n">
        <v>0.6149354838709676</v>
      </c>
      <c r="H34" t="n">
        <v>10.52464516129032</v>
      </c>
      <c r="I34" t="n">
        <v>1.958129032258065</v>
      </c>
      <c r="J34" t="n">
        <v>0.0001935483870967742</v>
      </c>
      <c r="K34" t="n">
        <v>5.360193548387095</v>
      </c>
    </row>
    <row r="35">
      <c r="A35" s="11" t="n">
        <v>43252</v>
      </c>
      <c r="B35" t="n">
        <v>21.9635</v>
      </c>
      <c r="C35" t="n">
        <v>19.2499</v>
      </c>
      <c r="D35" t="inlineStr">
        <is>
          <t>EIA</t>
        </is>
      </c>
      <c r="E35" t="n">
        <v>-0.7459</v>
      </c>
      <c r="F35" t="n">
        <v>1.4089</v>
      </c>
      <c r="G35" t="n">
        <v>0.663</v>
      </c>
      <c r="H35" t="n">
        <v>10.88476666666667</v>
      </c>
      <c r="I35" t="n">
        <v>1.938833333333333</v>
      </c>
      <c r="J35" t="n">
        <v>0.0005666666666666666</v>
      </c>
      <c r="K35" t="n">
        <v>5.679833333333336</v>
      </c>
    </row>
    <row r="36">
      <c r="A36" s="11" t="n">
        <v>43282</v>
      </c>
      <c r="B36" t="n">
        <v>21.77238709677419</v>
      </c>
      <c r="C36" t="n">
        <v>19.00477419354839</v>
      </c>
      <c r="D36" t="inlineStr">
        <is>
          <t>EIA</t>
        </is>
      </c>
      <c r="E36" t="n">
        <v>0.843741935483871</v>
      </c>
      <c r="F36" t="n">
        <v>0.7817096774193548</v>
      </c>
      <c r="G36" t="n">
        <v>1.625483870967742</v>
      </c>
      <c r="H36" t="n">
        <v>12.28764516129032</v>
      </c>
      <c r="I36" t="n">
        <v>1.886548387096774</v>
      </c>
      <c r="J36" t="n">
        <v>0.0008387096774193549</v>
      </c>
      <c r="K36" t="n">
        <v>5.67348387096774</v>
      </c>
    </row>
    <row r="37">
      <c r="A37" s="11" t="n">
        <v>43313</v>
      </c>
      <c r="B37" t="n">
        <v>22.42848387096774</v>
      </c>
      <c r="C37" t="n">
        <v>19.60503225806452</v>
      </c>
      <c r="D37" t="inlineStr">
        <is>
          <t>EIA</t>
        </is>
      </c>
      <c r="E37" t="n">
        <v>0.9325483870967741</v>
      </c>
      <c r="F37" t="n">
        <v>1.217354838709677</v>
      </c>
      <c r="G37" t="n">
        <v>2.149903225806452</v>
      </c>
      <c r="H37" t="n">
        <v>11.63051612903226</v>
      </c>
      <c r="I37" t="n">
        <v>1.915903225806451</v>
      </c>
      <c r="J37" t="n">
        <v>0.001064516129032258</v>
      </c>
      <c r="K37" t="n">
        <v>6.990096774193548</v>
      </c>
    </row>
    <row r="38">
      <c r="A38" s="11" t="n">
        <v>43344</v>
      </c>
      <c r="B38" t="n">
        <v>23.10946666666667</v>
      </c>
      <c r="C38" t="n">
        <v>20.2397</v>
      </c>
      <c r="D38" t="inlineStr">
        <is>
          <t>EIA</t>
        </is>
      </c>
      <c r="E38" t="n">
        <v>-0.4069666666666666</v>
      </c>
      <c r="F38" t="n">
        <v>1.8155</v>
      </c>
      <c r="G38" t="n">
        <v>1.408533333333333</v>
      </c>
      <c r="H38" t="n">
        <v>10.60593333333333</v>
      </c>
      <c r="I38" t="n">
        <v>1.9185</v>
      </c>
      <c r="J38" t="n">
        <v>0.0005666666666666666</v>
      </c>
      <c r="K38" t="n">
        <v>7.307733333333334</v>
      </c>
    </row>
    <row r="39">
      <c r="A39" s="11" t="n">
        <v>43374</v>
      </c>
      <c r="B39" t="n">
        <v>22.90358064516129</v>
      </c>
      <c r="C39" t="n">
        <v>19.99741935483871</v>
      </c>
      <c r="D39" t="inlineStr">
        <is>
          <t>EIA</t>
        </is>
      </c>
      <c r="E39" t="n">
        <v>-1.137161290322581</v>
      </c>
      <c r="F39" t="n">
        <v>1.909225806451613</v>
      </c>
      <c r="G39" t="n">
        <v>0.7720967741935484</v>
      </c>
      <c r="H39" t="n">
        <v>9.581290322580646</v>
      </c>
      <c r="I39" t="n">
        <v>1.945612903225806</v>
      </c>
      <c r="J39" t="n">
        <v>0.001</v>
      </c>
      <c r="K39" t="n">
        <v>7.332354838709675</v>
      </c>
    </row>
    <row r="40">
      <c r="A40" s="11" t="n">
        <v>43405</v>
      </c>
      <c r="B40" t="n">
        <v>23.9449</v>
      </c>
      <c r="C40" t="n">
        <v>20.988</v>
      </c>
      <c r="D40" t="inlineStr">
        <is>
          <t>EIA</t>
        </is>
      </c>
      <c r="E40" t="n">
        <v>-0.1329333333333333</v>
      </c>
      <c r="F40" t="n">
        <v>1.576866666666667</v>
      </c>
      <c r="G40" t="n">
        <v>1.443933333333333</v>
      </c>
      <c r="H40" t="n">
        <v>10.25513333333333</v>
      </c>
      <c r="I40" t="n">
        <v>1.934133333333333</v>
      </c>
      <c r="J40" t="n">
        <v>0.003833333333333334</v>
      </c>
      <c r="K40" t="n">
        <v>8.661966666666666</v>
      </c>
    </row>
    <row r="41">
      <c r="A41" s="11" t="n">
        <v>43435</v>
      </c>
      <c r="B41" t="n">
        <v>23.32525806451613</v>
      </c>
      <c r="C41" t="n">
        <v>20.38283870967742</v>
      </c>
      <c r="D41" t="inlineStr">
        <is>
          <t>EIA</t>
        </is>
      </c>
      <c r="E41" t="n">
        <v>0.5006774193548387</v>
      </c>
      <c r="F41" t="n">
        <v>1.054806451612903</v>
      </c>
      <c r="G41" t="n">
        <v>1.555483870967742</v>
      </c>
      <c r="H41" t="n">
        <v>10.93761290322581</v>
      </c>
      <c r="I41" t="n">
        <v>1.733451612903226</v>
      </c>
      <c r="J41" t="n">
        <v>0.2253225806451613</v>
      </c>
      <c r="K41" t="n">
        <v>7.987129032258069</v>
      </c>
    </row>
    <row r="42">
      <c r="A42" s="11" t="n">
        <v>43466</v>
      </c>
      <c r="B42" t="n">
        <v>23.78629032258064</v>
      </c>
      <c r="C42" t="n">
        <v>20.60564516129032</v>
      </c>
      <c r="D42" t="inlineStr">
        <is>
          <t>EIA</t>
        </is>
      </c>
      <c r="E42" t="n">
        <v>1.355612903225806</v>
      </c>
      <c r="F42" t="n">
        <v>0.6537419354838709</v>
      </c>
      <c r="G42" t="n">
        <v>2.009322580645161</v>
      </c>
      <c r="H42" t="n">
        <v>11.79570967741935</v>
      </c>
      <c r="I42" t="n">
        <v>2.016225806451613</v>
      </c>
      <c r="J42" t="n">
        <v>0.3504193548387097</v>
      </c>
      <c r="K42" t="n">
        <v>7.798903225806452</v>
      </c>
    </row>
    <row r="43">
      <c r="A43" s="11" t="n">
        <v>43497</v>
      </c>
      <c r="B43" t="n">
        <v>24.21664285714286</v>
      </c>
      <c r="C43" t="n">
        <v>21.01432142857143</v>
      </c>
      <c r="D43" t="inlineStr">
        <is>
          <t>EIA</t>
        </is>
      </c>
      <c r="E43" t="n">
        <v>0.6571071428571429</v>
      </c>
      <c r="F43" t="n">
        <v>1.162</v>
      </c>
      <c r="G43" t="n">
        <v>1.819107142857143</v>
      </c>
      <c r="H43" t="n">
        <v>11.18653571428571</v>
      </c>
      <c r="I43" t="n">
        <v>2.001642857142857</v>
      </c>
      <c r="J43" t="n">
        <v>0.1343928571428571</v>
      </c>
      <c r="K43" t="n">
        <v>8.348857142857144</v>
      </c>
    </row>
    <row r="44">
      <c r="A44" s="11" t="n">
        <v>43525</v>
      </c>
      <c r="B44" t="n">
        <v>24.47245161290323</v>
      </c>
      <c r="C44" t="n">
        <v>21.25548387096774</v>
      </c>
      <c r="D44" t="inlineStr">
        <is>
          <t>EIA</t>
        </is>
      </c>
      <c r="E44" t="n">
        <v>0.03651612903225807</v>
      </c>
      <c r="F44" t="n">
        <v>1.446032258064516</v>
      </c>
      <c r="G44" t="n">
        <v>1.482548387096774</v>
      </c>
      <c r="H44" t="n">
        <v>10.53161290322581</v>
      </c>
      <c r="I44" t="n">
        <v>2.058516129032258</v>
      </c>
      <c r="J44" t="n">
        <v>0.6499354838709677</v>
      </c>
      <c r="K44" t="n">
        <v>8.05193548387097</v>
      </c>
    </row>
    <row r="45">
      <c r="A45" s="11" t="n">
        <v>43556</v>
      </c>
      <c r="B45" t="n">
        <v>24.2509</v>
      </c>
      <c r="C45" t="n">
        <v>21.01836666666667</v>
      </c>
      <c r="D45" t="inlineStr">
        <is>
          <t>EIA</t>
        </is>
      </c>
      <c r="E45" t="n">
        <v>-2.162033333333333</v>
      </c>
      <c r="F45" t="n">
        <v>2.6735</v>
      </c>
      <c r="G45" t="n">
        <v>0.5114666666666666</v>
      </c>
      <c r="H45" t="n">
        <v>9.415533333333332</v>
      </c>
      <c r="I45" t="n">
        <v>1.926766666666667</v>
      </c>
      <c r="J45" t="n">
        <v>0.6376000000000001</v>
      </c>
      <c r="K45" t="n">
        <v>6.876433333333333</v>
      </c>
    </row>
    <row r="46">
      <c r="A46" s="11" t="n">
        <v>43586</v>
      </c>
      <c r="B46" t="n">
        <v>25.19361290322581</v>
      </c>
      <c r="C46" t="n">
        <v>21.93641935483871</v>
      </c>
      <c r="D46" t="inlineStr">
        <is>
          <t>EIA</t>
        </is>
      </c>
      <c r="E46" t="n">
        <v>-1.245096774193548</v>
      </c>
      <c r="F46" t="n">
        <v>1.943903225806452</v>
      </c>
      <c r="G46" t="n">
        <v>0.6988064516129032</v>
      </c>
      <c r="H46" t="n">
        <v>10.03474193548387</v>
      </c>
      <c r="I46" t="n">
        <v>2.111870967741936</v>
      </c>
      <c r="J46" t="n">
        <v>0.565741935483871</v>
      </c>
      <c r="K46" t="n">
        <v>7.978967741935481</v>
      </c>
    </row>
    <row r="47">
      <c r="A47" s="11" t="n">
        <v>43617</v>
      </c>
      <c r="B47" t="n">
        <v>25.5587</v>
      </c>
      <c r="C47" t="n">
        <v>22.2925</v>
      </c>
      <c r="D47" t="inlineStr">
        <is>
          <t>EIA</t>
        </is>
      </c>
      <c r="E47" t="n">
        <v>-0.6113999999999999</v>
      </c>
      <c r="F47" t="n">
        <v>1.547033333333333</v>
      </c>
      <c r="G47" t="n">
        <v>0.9356333333333333</v>
      </c>
      <c r="H47" t="n">
        <v>11.12396666666667</v>
      </c>
      <c r="I47" t="n">
        <v>2.21</v>
      </c>
      <c r="J47" t="n">
        <v>0.7044333333333334</v>
      </c>
      <c r="K47" t="n">
        <v>7.642699999999999</v>
      </c>
    </row>
    <row r="48">
      <c r="A48" s="11" t="n">
        <v>43647</v>
      </c>
      <c r="B48" t="n">
        <v>25.96448387096774</v>
      </c>
      <c r="C48" t="n">
        <v>22.68025806451613</v>
      </c>
      <c r="D48" t="inlineStr">
        <is>
          <t>EIA</t>
        </is>
      </c>
      <c r="E48" t="n">
        <v>0.3669354838709677</v>
      </c>
      <c r="F48" t="n">
        <v>1.070741935483871</v>
      </c>
      <c r="G48" t="n">
        <v>1.437709677419355</v>
      </c>
      <c r="H48" t="n">
        <v>11.83435483870968</v>
      </c>
      <c r="I48" t="n">
        <v>2.303774193548387</v>
      </c>
      <c r="J48" t="n">
        <v>1.089903225806452</v>
      </c>
      <c r="K48" t="n">
        <v>7.819161290322578</v>
      </c>
    </row>
    <row r="49">
      <c r="A49" s="11" t="n">
        <v>43678</v>
      </c>
      <c r="B49" t="n">
        <v>27.0148064516129</v>
      </c>
      <c r="C49" t="n">
        <v>23.65074193548387</v>
      </c>
      <c r="D49" t="inlineStr">
        <is>
          <t>EIA</t>
        </is>
      </c>
      <c r="E49" t="n">
        <v>0.7275806451612904</v>
      </c>
      <c r="F49" t="n">
        <v>1.617451612903226</v>
      </c>
      <c r="G49" t="n">
        <v>2.345032258064516</v>
      </c>
      <c r="H49" t="n">
        <v>12.74687096774194</v>
      </c>
      <c r="I49" t="n">
        <v>2.21241935483871</v>
      </c>
      <c r="J49" t="n">
        <v>0.9983225806451612</v>
      </c>
      <c r="K49" t="n">
        <v>8.420709677419353</v>
      </c>
    </row>
    <row r="50">
      <c r="A50" s="11" t="n">
        <v>43709</v>
      </c>
      <c r="B50" t="n">
        <v>26.60636666666667</v>
      </c>
      <c r="C50" t="n">
        <v>23.22943333333333</v>
      </c>
      <c r="D50" t="inlineStr">
        <is>
          <t>EIA</t>
        </is>
      </c>
      <c r="E50" t="n">
        <v>-1.0366</v>
      </c>
      <c r="F50" t="n">
        <v>2.581</v>
      </c>
      <c r="G50" t="n">
        <v>1.5444</v>
      </c>
      <c r="H50" t="n">
        <v>11.50376666666667</v>
      </c>
      <c r="I50" t="n">
        <v>2.3251</v>
      </c>
      <c r="J50" t="n">
        <v>1.373833333333333</v>
      </c>
      <c r="K50" t="n">
        <v>6.990133333333333</v>
      </c>
    </row>
    <row r="51">
      <c r="A51" s="11" t="n">
        <v>43739</v>
      </c>
      <c r="B51" t="n">
        <v>26.72225806451613</v>
      </c>
      <c r="C51" t="n">
        <v>23.31567741935484</v>
      </c>
      <c r="D51" t="inlineStr">
        <is>
          <t>EIA</t>
        </is>
      </c>
      <c r="E51" t="n">
        <v>-1.90641935483871</v>
      </c>
      <c r="F51" t="n">
        <v>2.579193548387097</v>
      </c>
      <c r="G51" t="n">
        <v>0.6727741935483871</v>
      </c>
      <c r="H51" t="n">
        <v>9.872967741935483</v>
      </c>
      <c r="I51" t="n">
        <v>2.622225806451613</v>
      </c>
      <c r="J51" t="n">
        <v>1.703258064516129</v>
      </c>
      <c r="K51" t="n">
        <v>7.210806451612902</v>
      </c>
    </row>
    <row r="52">
      <c r="A52" s="11" t="n">
        <v>43770</v>
      </c>
      <c r="B52" t="n">
        <v>27.16963333333333</v>
      </c>
      <c r="C52" t="n">
        <v>23.7072</v>
      </c>
      <c r="D52" t="inlineStr">
        <is>
          <t>EIA</t>
        </is>
      </c>
      <c r="E52" t="n">
        <v>0.07866666666666668</v>
      </c>
      <c r="F52" t="n">
        <v>1.297733333333333</v>
      </c>
      <c r="G52" t="n">
        <v>1.3764</v>
      </c>
      <c r="H52" t="n">
        <v>10.54426666666667</v>
      </c>
      <c r="I52" t="n">
        <v>2.638666666666666</v>
      </c>
      <c r="J52" t="n">
        <v>1.570966666666667</v>
      </c>
      <c r="K52" t="n">
        <v>9.031966666666666</v>
      </c>
    </row>
    <row r="53">
      <c r="A53" s="11" t="n">
        <v>43800</v>
      </c>
      <c r="B53" t="n">
        <v>27.26077419354839</v>
      </c>
      <c r="C53" t="n">
        <v>23.80222580645161</v>
      </c>
      <c r="D53" t="inlineStr">
        <is>
          <t>EIA</t>
        </is>
      </c>
      <c r="E53" t="n">
        <v>1.123193548387097</v>
      </c>
      <c r="F53" t="n">
        <v>0.8397096774193549</v>
      </c>
      <c r="G53" t="n">
        <v>1.962903225806452</v>
      </c>
      <c r="H53" t="n">
        <v>11.35983870967742</v>
      </c>
      <c r="I53" t="n">
        <v>2.426903225806452</v>
      </c>
      <c r="J53" t="n">
        <v>2.067193548387097</v>
      </c>
      <c r="K53" t="n">
        <v>9.071483870967741</v>
      </c>
    </row>
    <row r="54">
      <c r="A54" s="11" t="n">
        <v>43831</v>
      </c>
      <c r="B54" t="n">
        <v>29.85877419354838</v>
      </c>
      <c r="C54" t="n">
        <v>26.05370967741936</v>
      </c>
      <c r="D54" t="inlineStr">
        <is>
          <t>EIA</t>
        </is>
      </c>
      <c r="E54" t="n">
        <v>1.377774193548387</v>
      </c>
      <c r="F54" t="n">
        <v>0.6384193548387096</v>
      </c>
      <c r="G54" t="n">
        <v>2.016193548387097</v>
      </c>
      <c r="H54" t="n">
        <v>11.46745161290323</v>
      </c>
      <c r="I54" t="n">
        <v>2.561870967741935</v>
      </c>
      <c r="J54" t="n">
        <v>2.64658064516129</v>
      </c>
      <c r="K54" t="n">
        <v>10.75558064516129</v>
      </c>
    </row>
    <row r="55">
      <c r="A55" s="11" t="n">
        <v>43862</v>
      </c>
      <c r="B55" t="n">
        <v>27.8101724137931</v>
      </c>
      <c r="C55" t="n">
        <v>24.00955172413793</v>
      </c>
      <c r="D55" t="inlineStr">
        <is>
          <t>EIA</t>
        </is>
      </c>
      <c r="E55" t="n">
        <v>0.9352068965517242</v>
      </c>
      <c r="F55" t="n">
        <v>1.079793103448276</v>
      </c>
      <c r="G55" t="n">
        <v>2.015</v>
      </c>
      <c r="H55" t="n">
        <v>11.61420689655172</v>
      </c>
      <c r="I55" t="n">
        <v>2.688068965517242</v>
      </c>
      <c r="J55" t="n">
        <v>2.750034482758621</v>
      </c>
      <c r="K55" t="n">
        <v>7.892448275862067</v>
      </c>
    </row>
    <row r="56">
      <c r="A56" s="11" t="n">
        <v>43891</v>
      </c>
      <c r="B56" t="n">
        <v>27.86754838709677</v>
      </c>
      <c r="C56" t="n">
        <v>24.06006451612904</v>
      </c>
      <c r="D56" t="inlineStr">
        <is>
          <t>EIA</t>
        </is>
      </c>
      <c r="E56" t="n">
        <v>-0.9711290322580645</v>
      </c>
      <c r="F56" t="n">
        <v>1.83758064516129</v>
      </c>
      <c r="G56" t="n">
        <v>0.8664838709677419</v>
      </c>
      <c r="H56" t="n">
        <v>10.28203225806452</v>
      </c>
      <c r="I56" t="n">
        <v>2.833870967741936</v>
      </c>
      <c r="J56" t="n">
        <v>2.843064516129032</v>
      </c>
      <c r="K56" t="n">
        <v>7.129967741935484</v>
      </c>
    </row>
    <row r="57">
      <c r="A57" s="11" t="n">
        <v>43922</v>
      </c>
      <c r="B57" t="n">
        <v>28.98423333333333</v>
      </c>
      <c r="C57" t="n">
        <v>25.2768</v>
      </c>
      <c r="D57" t="inlineStr">
        <is>
          <t>EIA</t>
        </is>
      </c>
      <c r="E57" t="n">
        <v>-2.1837</v>
      </c>
      <c r="F57" t="n">
        <v>2.7347</v>
      </c>
      <c r="G57" t="n">
        <v>0.551</v>
      </c>
      <c r="H57" t="n">
        <v>9.442833333333335</v>
      </c>
      <c r="I57" t="n">
        <v>2.2322</v>
      </c>
      <c r="J57" t="n">
        <v>2.205033333333334</v>
      </c>
      <c r="K57" t="n">
        <v>9.213033333333332</v>
      </c>
    </row>
    <row r="58">
      <c r="A58" s="11" t="n">
        <v>43952</v>
      </c>
      <c r="B58" t="n">
        <v>24.7841935483871</v>
      </c>
      <c r="C58" t="n">
        <v>21.29738709677419</v>
      </c>
      <c r="D58" t="inlineStr">
        <is>
          <t>EIA</t>
        </is>
      </c>
      <c r="E58" t="n">
        <v>-1.243677419354839</v>
      </c>
      <c r="F58" t="n">
        <v>1.92158064516129</v>
      </c>
      <c r="G58" t="n">
        <v>0.6779032258064516</v>
      </c>
      <c r="H58" t="n">
        <v>9.820677419354839</v>
      </c>
      <c r="I58" t="n">
        <v>2.401225806451613</v>
      </c>
      <c r="J58" t="n">
        <v>1.688258064516129</v>
      </c>
      <c r="K58" t="n">
        <v>6.143548387096775</v>
      </c>
    </row>
    <row r="59">
      <c r="A59" s="11" t="n">
        <v>43983</v>
      </c>
      <c r="B59" t="n">
        <v>27.00793333333333</v>
      </c>
      <c r="C59" t="n">
        <v>23.47143333333333</v>
      </c>
      <c r="D59" t="inlineStr">
        <is>
          <t>EIA</t>
        </is>
      </c>
      <c r="E59" t="n">
        <v>-0.8122666666666667</v>
      </c>
      <c r="F59" t="n">
        <v>1.461433333333333</v>
      </c>
      <c r="G59" t="n">
        <v>0.6491666666666667</v>
      </c>
      <c r="H59" t="n">
        <v>10.78806666666667</v>
      </c>
      <c r="I59" t="n">
        <v>2.671333333333333</v>
      </c>
      <c r="J59" t="n">
        <v>0.7804</v>
      </c>
      <c r="K59" t="n">
        <v>8.419366666666667</v>
      </c>
    </row>
    <row r="60">
      <c r="A60" s="11" t="n">
        <v>44013</v>
      </c>
      <c r="B60" t="n">
        <v>25.48325806451613</v>
      </c>
      <c r="C60" t="n">
        <v>21.88412903225807</v>
      </c>
      <c r="D60" t="inlineStr">
        <is>
          <t>EIA</t>
        </is>
      </c>
      <c r="E60" t="n">
        <v>0.3783870967741935</v>
      </c>
      <c r="F60" t="n">
        <v>0.8785161290322581</v>
      </c>
      <c r="G60" t="n">
        <v>1.256903225806452</v>
      </c>
      <c r="H60" t="n">
        <v>12.35058064516129</v>
      </c>
      <c r="I60" t="n">
        <v>2.738838709677419</v>
      </c>
      <c r="J60" t="n">
        <v>0.464483870967742</v>
      </c>
      <c r="K60" t="n">
        <v>6.708612903225808</v>
      </c>
    </row>
    <row r="61">
      <c r="A61" s="11" t="n">
        <v>44044</v>
      </c>
      <c r="B61" t="n">
        <v>25.90293548387097</v>
      </c>
      <c r="C61" t="n">
        <v>22.31538709677419</v>
      </c>
      <c r="D61" t="inlineStr">
        <is>
          <t>EIA</t>
        </is>
      </c>
      <c r="E61" t="n">
        <v>0.2726129032258064</v>
      </c>
      <c r="F61" t="n">
        <v>1.946741935483871</v>
      </c>
      <c r="G61" t="n">
        <v>2.219354838709678</v>
      </c>
      <c r="H61" t="n">
        <v>12.20538709677419</v>
      </c>
      <c r="I61" t="n">
        <v>2.701258064516129</v>
      </c>
      <c r="J61" t="n">
        <v>0.9184516129032257</v>
      </c>
      <c r="K61" t="n">
        <v>6.762903225806449</v>
      </c>
    </row>
    <row r="62">
      <c r="A62" s="11" t="n">
        <v>44075</v>
      </c>
      <c r="B62" t="n">
        <v>26.8679</v>
      </c>
      <c r="C62" t="n">
        <v>23.2765</v>
      </c>
      <c r="D62" t="inlineStr">
        <is>
          <t>EIA</t>
        </is>
      </c>
      <c r="E62" t="n">
        <v>-0.61</v>
      </c>
      <c r="F62" t="n">
        <v>2.428266666666667</v>
      </c>
      <c r="G62" t="n">
        <v>1.818266666666667</v>
      </c>
      <c r="H62" t="n">
        <v>10.87976666666667</v>
      </c>
      <c r="I62" t="n">
        <v>2.8153</v>
      </c>
      <c r="J62" t="n">
        <v>2.2857</v>
      </c>
      <c r="K62" t="n">
        <v>6.685733333333332</v>
      </c>
    </row>
    <row r="63">
      <c r="A63" s="11" t="n">
        <v>44105</v>
      </c>
      <c r="B63" t="n">
        <v>25.53925806451613</v>
      </c>
      <c r="C63" t="n">
        <v>21.97525806451613</v>
      </c>
      <c r="D63" t="inlineStr">
        <is>
          <t>EIA</t>
        </is>
      </c>
      <c r="E63" t="n">
        <v>0.4343225806451613</v>
      </c>
      <c r="F63" t="n">
        <v>0.9913548387096774</v>
      </c>
      <c r="G63" t="n">
        <v>1.425645161290323</v>
      </c>
      <c r="H63" t="n">
        <v>10.44212903225806</v>
      </c>
      <c r="I63" t="n">
        <v>2.668645161290323</v>
      </c>
      <c r="J63" t="n">
        <v>3.160645161290322</v>
      </c>
      <c r="K63" t="n">
        <v>6.138161290322582</v>
      </c>
    </row>
    <row r="64">
      <c r="A64" s="11" t="n">
        <v>44136</v>
      </c>
      <c r="B64" t="n">
        <v>25.78056666666667</v>
      </c>
      <c r="C64" t="n">
        <v>22.10673333333333</v>
      </c>
      <c r="D64" t="inlineStr">
        <is>
          <t>EIA</t>
        </is>
      </c>
      <c r="E64" t="n">
        <v>-0.5962999999999999</v>
      </c>
      <c r="F64" t="n">
        <v>1.346233333333333</v>
      </c>
      <c r="G64" t="n">
        <v>0.7499333333333332</v>
      </c>
      <c r="H64" t="n">
        <v>9.993233333333334</v>
      </c>
      <c r="I64" t="n">
        <v>2.6048</v>
      </c>
      <c r="J64" t="n">
        <v>3.291466666666666</v>
      </c>
      <c r="K64" t="n">
        <v>5.620933333333335</v>
      </c>
    </row>
    <row r="65">
      <c r="A65" s="11" t="n">
        <v>44166</v>
      </c>
      <c r="B65" t="n">
        <v>25.96151612903226</v>
      </c>
      <c r="C65" t="n">
        <v>22.28212903225807</v>
      </c>
      <c r="D65" t="inlineStr">
        <is>
          <t>EIA</t>
        </is>
      </c>
      <c r="E65" t="n">
        <v>1.291161290322581</v>
      </c>
      <c r="F65" t="n">
        <v>0.7346774193548387</v>
      </c>
      <c r="G65" t="n">
        <v>2.025806451612903</v>
      </c>
      <c r="H65" t="n">
        <v>11.26316129032258</v>
      </c>
      <c r="I65" t="n">
        <v>2.508161290322581</v>
      </c>
      <c r="J65" t="n">
        <v>3.559064516129032</v>
      </c>
      <c r="K65" t="n">
        <v>6.242903225806453</v>
      </c>
    </row>
    <row r="66">
      <c r="A66" s="11" t="n">
        <v>44197</v>
      </c>
      <c r="B66" t="n">
        <v>25.78658064516129</v>
      </c>
      <c r="C66" t="n">
        <v>22.10383870967742</v>
      </c>
      <c r="D66" t="inlineStr">
        <is>
          <t>EIA</t>
        </is>
      </c>
      <c r="E66" t="n">
        <v>2.040387096774193</v>
      </c>
      <c r="F66" t="n">
        <v>0.5196451612903226</v>
      </c>
      <c r="G66" t="n">
        <v>2.56</v>
      </c>
      <c r="H66" t="n">
        <v>11.67429032258065</v>
      </c>
      <c r="I66" t="n">
        <v>2.552483870967742</v>
      </c>
      <c r="J66" t="n">
        <v>3.819225806451613</v>
      </c>
      <c r="K66" t="n">
        <v>6.098225806451612</v>
      </c>
    </row>
    <row r="67">
      <c r="A67" s="11" t="n">
        <v>44228</v>
      </c>
      <c r="B67" t="n">
        <v>21.81089285714286</v>
      </c>
      <c r="C67" t="n">
        <v>18.401</v>
      </c>
      <c r="D67" t="inlineStr">
        <is>
          <t>EIA</t>
        </is>
      </c>
      <c r="E67" t="n">
        <v>3.140642857142857</v>
      </c>
      <c r="F67" t="n">
        <v>1.272107142857143</v>
      </c>
      <c r="G67" t="n">
        <v>4.41275</v>
      </c>
      <c r="H67" t="n">
        <v>11.97196428571429</v>
      </c>
      <c r="I67" t="n">
        <v>2.252428571428571</v>
      </c>
      <c r="J67" t="n">
        <v>2.280571428571429</v>
      </c>
      <c r="K67" t="n">
        <v>5.036678571428572</v>
      </c>
    </row>
    <row r="68">
      <c r="A68" s="11" t="n">
        <v>44256</v>
      </c>
      <c r="B68" t="n">
        <v>26.71145161290323</v>
      </c>
      <c r="C68" t="n">
        <v>22.99258064516129</v>
      </c>
      <c r="D68" t="inlineStr">
        <is>
          <t>EIA</t>
        </is>
      </c>
      <c r="E68" t="n">
        <v>-0.6180322580645161</v>
      </c>
      <c r="F68" t="n">
        <v>1.762354838709677</v>
      </c>
      <c r="G68" t="n">
        <v>1.144354838709677</v>
      </c>
      <c r="H68" t="n">
        <v>9.124516129032257</v>
      </c>
      <c r="I68" t="n">
        <v>2.643935483870968</v>
      </c>
      <c r="J68" t="n">
        <v>4.071774193548388</v>
      </c>
      <c r="K68" t="n">
        <v>6.534322580645162</v>
      </c>
    </row>
    <row r="69">
      <c r="A69" s="11" t="n">
        <v>44287</v>
      </c>
      <c r="B69" t="n">
        <v>27.46023333333333</v>
      </c>
      <c r="C69" t="n">
        <v>23.71223333333333</v>
      </c>
      <c r="D69" t="inlineStr">
        <is>
          <t>EIA</t>
        </is>
      </c>
      <c r="E69" t="n">
        <v>-0.7921333333333334</v>
      </c>
      <c r="F69" t="n">
        <v>1.559</v>
      </c>
      <c r="G69" t="n">
        <v>0.7668666666666667</v>
      </c>
      <c r="H69" t="n">
        <v>9.921433333333333</v>
      </c>
      <c r="I69" t="n">
        <v>2.670233333333333</v>
      </c>
      <c r="J69" t="n">
        <v>4.0166</v>
      </c>
      <c r="K69" t="n">
        <v>6.311833333333337</v>
      </c>
    </row>
    <row r="70">
      <c r="A70" s="11" t="n">
        <v>44317</v>
      </c>
      <c r="B70" t="n">
        <v>27.33270967741936</v>
      </c>
      <c r="C70" t="n">
        <v>23.58770967741935</v>
      </c>
      <c r="D70" t="inlineStr">
        <is>
          <t>EIA</t>
        </is>
      </c>
      <c r="E70" t="n">
        <v>-1.689451612903226</v>
      </c>
      <c r="F70" t="n">
        <v>2.060290322580645</v>
      </c>
      <c r="G70" t="n">
        <v>0.3708387096774193</v>
      </c>
      <c r="H70" t="n">
        <v>9.715548387096774</v>
      </c>
      <c r="I70" t="n">
        <v>2.766322580645161</v>
      </c>
      <c r="J70" t="n">
        <v>3.935774193548387</v>
      </c>
      <c r="K70" t="n">
        <v>5.480612903225806</v>
      </c>
    </row>
    <row r="71">
      <c r="A71" s="11" t="n">
        <v>44348</v>
      </c>
      <c r="B71" t="n">
        <v>27.25273333333334</v>
      </c>
      <c r="C71" t="n">
        <v>23.52116666666667</v>
      </c>
      <c r="D71" t="inlineStr">
        <is>
          <t>EIA</t>
        </is>
      </c>
      <c r="E71" t="n">
        <v>0.1987666666666667</v>
      </c>
      <c r="F71" t="n">
        <v>1.1406</v>
      </c>
      <c r="G71" t="n">
        <v>1.339333333333333</v>
      </c>
      <c r="H71" t="n">
        <v>11.6426</v>
      </c>
      <c r="I71" t="n">
        <v>2.929933333333334</v>
      </c>
      <c r="J71" t="n">
        <v>4.0054</v>
      </c>
      <c r="K71" t="n">
        <v>5.142000000000005</v>
      </c>
    </row>
    <row r="72">
      <c r="A72" s="11" t="n">
        <v>44378</v>
      </c>
      <c r="B72" t="n">
        <v>27.76387096774194</v>
      </c>
      <c r="C72" t="n">
        <v>23.99703225806451</v>
      </c>
      <c r="D72" t="inlineStr">
        <is>
          <t>EIA</t>
        </is>
      </c>
      <c r="E72" t="n">
        <v>0.3171612903225807</v>
      </c>
      <c r="F72" t="n">
        <v>0.9387096774193548</v>
      </c>
      <c r="G72" t="n">
        <v>1.255870967741935</v>
      </c>
      <c r="H72" t="n">
        <v>12.24674193548387</v>
      </c>
      <c r="I72" t="n">
        <v>2.876193548387096</v>
      </c>
      <c r="J72" t="n">
        <v>3.917967741935484</v>
      </c>
      <c r="K72" t="n">
        <v>5.273290322580643</v>
      </c>
    </row>
    <row r="73">
      <c r="A73" s="11" t="n">
        <v>44409</v>
      </c>
      <c r="B73" t="n">
        <v>27.81929032258065</v>
      </c>
      <c r="C73" t="n">
        <v>24.04129032258064</v>
      </c>
      <c r="D73" t="inlineStr">
        <is>
          <t>EIA</t>
        </is>
      </c>
      <c r="E73" t="n">
        <v>0.6463225806451613</v>
      </c>
      <c r="F73" t="n">
        <v>1.041451612903226</v>
      </c>
      <c r="G73" t="n">
        <v>1.687774193548387</v>
      </c>
      <c r="H73" t="n">
        <v>12.35361290322581</v>
      </c>
      <c r="I73" t="n">
        <v>2.802806451612903</v>
      </c>
      <c r="J73" t="n">
        <v>4.113</v>
      </c>
      <c r="K73" t="n">
        <v>5.418193548387094</v>
      </c>
    </row>
    <row r="74">
      <c r="A74" s="11" t="n">
        <v>44440</v>
      </c>
      <c r="B74" t="n">
        <v>28.62506666666667</v>
      </c>
      <c r="C74" t="n">
        <v>24.82143333333334</v>
      </c>
      <c r="D74" t="inlineStr">
        <is>
          <t>EIA</t>
        </is>
      </c>
      <c r="E74" t="n">
        <v>-1.485533333333333</v>
      </c>
      <c r="F74" t="n">
        <v>2.160866666666667</v>
      </c>
      <c r="G74" t="n">
        <v>0.6753333333333333</v>
      </c>
      <c r="H74" t="n">
        <v>11.39013333333333</v>
      </c>
      <c r="I74" t="n">
        <v>2.6138</v>
      </c>
      <c r="J74" t="n">
        <v>3.7693</v>
      </c>
      <c r="K74" t="n">
        <v>5.56266666666667</v>
      </c>
    </row>
    <row r="75">
      <c r="A75" s="11" t="n">
        <v>44470</v>
      </c>
      <c r="B75" t="n">
        <v>28.61251612903226</v>
      </c>
      <c r="C75" t="n">
        <v>24.74848387096774</v>
      </c>
      <c r="D75" t="inlineStr">
        <is>
          <t>EIA</t>
        </is>
      </c>
      <c r="E75" t="n">
        <v>-1.564741935483871</v>
      </c>
      <c r="F75" t="n">
        <v>2.154032258064516</v>
      </c>
      <c r="G75" t="n">
        <v>0.5892903225806452</v>
      </c>
      <c r="H75" t="n">
        <v>10.32216129032258</v>
      </c>
      <c r="I75" t="n">
        <v>2.767870967741935</v>
      </c>
      <c r="J75" t="n">
        <v>4.033548387096775</v>
      </c>
      <c r="K75" t="n">
        <v>6.060161290322582</v>
      </c>
    </row>
    <row r="76">
      <c r="A76" s="11" t="n">
        <v>44501</v>
      </c>
      <c r="B76" t="n">
        <v>28.5496</v>
      </c>
      <c r="C76" t="n">
        <v>24.64196666666667</v>
      </c>
      <c r="D76" t="inlineStr">
        <is>
          <t>EIA</t>
        </is>
      </c>
      <c r="E76" t="n">
        <v>-0.1795</v>
      </c>
      <c r="F76" t="n">
        <v>1.294366666666667</v>
      </c>
      <c r="G76" t="n">
        <v>1.114866666666666</v>
      </c>
      <c r="H76" t="n">
        <v>10.1612</v>
      </c>
      <c r="I76" t="n">
        <v>2.557566666666667</v>
      </c>
      <c r="J76" t="n">
        <v>3.586166666666667</v>
      </c>
      <c r="K76" t="n">
        <v>8.157533333333333</v>
      </c>
    </row>
    <row r="77">
      <c r="A77" s="11" t="n">
        <v>44531</v>
      </c>
      <c r="B77" t="n">
        <v>28.93558064516129</v>
      </c>
      <c r="C77" t="n">
        <v>24.995</v>
      </c>
      <c r="D77" t="inlineStr">
        <is>
          <t>EIA</t>
        </is>
      </c>
      <c r="E77" t="n">
        <v>-0.02045161290322581</v>
      </c>
      <c r="F77" t="n">
        <v>1.387967741935484</v>
      </c>
      <c r="G77" t="n">
        <v>1.367516129032258</v>
      </c>
      <c r="H77" t="n">
        <v>10.28545161290323</v>
      </c>
      <c r="I77" t="n">
        <v>2.405741935483871</v>
      </c>
      <c r="J77" t="n">
        <v>4.237903225806452</v>
      </c>
      <c r="K77" t="n">
        <v>8.045451612903227</v>
      </c>
    </row>
    <row r="78">
      <c r="A78" s="11" t="n">
        <v>44562</v>
      </c>
      <c r="B78" t="n">
        <v>27.34338709677419</v>
      </c>
      <c r="C78" t="n">
        <v>23.17987096774193</v>
      </c>
      <c r="D78" t="inlineStr">
        <is>
          <t>EIA</t>
        </is>
      </c>
      <c r="E78" t="n">
        <v>3.485645161290322</v>
      </c>
      <c r="F78" t="n">
        <v>0.5149677419354839</v>
      </c>
      <c r="G78" t="n">
        <v>4.000612903225806</v>
      </c>
      <c r="H78" t="n">
        <v>11.75564516129032</v>
      </c>
      <c r="I78" t="n">
        <v>2.562612903225807</v>
      </c>
      <c r="J78" t="n">
        <v>4.220387096774194</v>
      </c>
      <c r="K78" t="n">
        <v>8.126870967741933</v>
      </c>
    </row>
    <row r="79">
      <c r="A79" s="11" t="n">
        <v>44593</v>
      </c>
      <c r="B79" t="n">
        <v>28.54342857142857</v>
      </c>
      <c r="C79" t="n">
        <v>24.34007142857143</v>
      </c>
      <c r="D79" t="inlineStr">
        <is>
          <t>EIA</t>
        </is>
      </c>
      <c r="E79" t="n">
        <v>2.941321428571428</v>
      </c>
      <c r="F79" t="n">
        <v>0.7398571428571429</v>
      </c>
      <c r="G79" t="n">
        <v>3.681178571428572</v>
      </c>
      <c r="H79" t="n">
        <v>12.22682142857143</v>
      </c>
      <c r="I79" t="n">
        <v>2.727035714285714</v>
      </c>
      <c r="J79" t="n">
        <v>4.314642857142857</v>
      </c>
      <c r="K79" t="n">
        <v>8.012892857142853</v>
      </c>
    </row>
    <row r="80">
      <c r="A80" s="11" t="n">
        <v>44621</v>
      </c>
      <c r="B80" t="n">
        <v>29.1521935483871</v>
      </c>
      <c r="C80" t="n">
        <v>24.87987096774194</v>
      </c>
      <c r="D80" t="inlineStr">
        <is>
          <t>EIA</t>
        </is>
      </c>
      <c r="E80" t="n">
        <v>-0.007129032258064516</v>
      </c>
      <c r="F80" t="n">
        <v>1.433064516129032</v>
      </c>
      <c r="G80" t="n">
        <v>1.425935483870968</v>
      </c>
      <c r="H80" t="n">
        <v>10.106</v>
      </c>
      <c r="I80" t="n">
        <v>2.667935483870968</v>
      </c>
      <c r="J80" t="n">
        <v>4.025096774193548</v>
      </c>
      <c r="K80" t="n">
        <v>8.073709677419357</v>
      </c>
    </row>
    <row r="81">
      <c r="A81" s="11" t="n">
        <v>44652</v>
      </c>
      <c r="B81" t="n">
        <v>29.6837</v>
      </c>
      <c r="C81" t="n">
        <v>25.36933333333333</v>
      </c>
      <c r="D81" t="inlineStr">
        <is>
          <t>EIA</t>
        </is>
      </c>
      <c r="E81" t="n">
        <v>-1.4904</v>
      </c>
      <c r="F81" t="n">
        <v>2.011033333333333</v>
      </c>
      <c r="G81" t="n">
        <v>0.5206000000000001</v>
      </c>
      <c r="H81" t="n">
        <v>9.650833333333335</v>
      </c>
      <c r="I81" t="n">
        <v>2.7244</v>
      </c>
      <c r="J81" t="n">
        <v>3.255566666666667</v>
      </c>
      <c r="K81" t="n">
        <v>8.248133333333332</v>
      </c>
    </row>
    <row r="82">
      <c r="A82" s="11" t="n">
        <v>44682</v>
      </c>
      <c r="B82" t="n">
        <v>29.06916129032258</v>
      </c>
      <c r="C82" t="n">
        <v>24.7518064516129</v>
      </c>
      <c r="D82" t="inlineStr">
        <is>
          <t>EIA</t>
        </is>
      </c>
      <c r="E82" t="n">
        <v>-0.996</v>
      </c>
      <c r="F82" t="n">
        <v>1.664612903225806</v>
      </c>
      <c r="G82" t="n">
        <v>0.6686129032258065</v>
      </c>
      <c r="H82" t="n">
        <v>10.76425806451613</v>
      </c>
      <c r="I82" t="n">
        <v>2.805161290322581</v>
      </c>
      <c r="J82" t="n">
        <v>4.050709677419355</v>
      </c>
      <c r="K82" t="n">
        <v>6.135677419354837</v>
      </c>
    </row>
    <row r="83">
      <c r="A83" s="11" t="n">
        <v>44713</v>
      </c>
      <c r="B83" t="n">
        <v>28.8727</v>
      </c>
      <c r="C83" t="n">
        <v>24.54246666666667</v>
      </c>
      <c r="D83" t="inlineStr">
        <is>
          <t>EIA</t>
        </is>
      </c>
      <c r="E83" t="n">
        <v>-0.6713666666666667</v>
      </c>
      <c r="F83" t="n">
        <v>1.453166666666667</v>
      </c>
      <c r="G83" t="n">
        <v>0.7817999999999999</v>
      </c>
      <c r="H83" t="n">
        <v>12.13486666666667</v>
      </c>
      <c r="I83" t="n">
        <v>2.674066666666667</v>
      </c>
      <c r="J83" t="n">
        <v>2.704733333333333</v>
      </c>
      <c r="K83" t="n">
        <v>6.357433333333331</v>
      </c>
    </row>
    <row r="84">
      <c r="A84" s="11" t="n">
        <v>44743</v>
      </c>
      <c r="B84" t="n">
        <v>28.84554838709677</v>
      </c>
      <c r="C84" t="n">
        <v>24.48077419354838</v>
      </c>
      <c r="D84" t="inlineStr">
        <is>
          <t>EIA</t>
        </is>
      </c>
      <c r="E84" t="n">
        <v>0.1858387096774194</v>
      </c>
      <c r="F84" t="n">
        <v>1.202129032258065</v>
      </c>
      <c r="G84" t="n">
        <v>1.388</v>
      </c>
      <c r="H84" t="n">
        <v>13.17945161290323</v>
      </c>
      <c r="I84" t="n">
        <v>2.817677419354839</v>
      </c>
      <c r="J84" t="n">
        <v>2.037096774193548</v>
      </c>
      <c r="K84" t="n">
        <v>6.632387096774192</v>
      </c>
    </row>
    <row r="85">
      <c r="A85" s="11" t="n">
        <v>44774</v>
      </c>
      <c r="B85" t="n">
        <v>29.41538709677419</v>
      </c>
      <c r="C85" t="n">
        <v>25.02229032258064</v>
      </c>
      <c r="D85" t="inlineStr">
        <is>
          <t>EIA</t>
        </is>
      </c>
      <c r="E85" t="n">
        <v>0.01219354838709677</v>
      </c>
      <c r="F85" t="n">
        <v>1.73141935483871</v>
      </c>
      <c r="G85" t="n">
        <v>1.743612903225806</v>
      </c>
      <c r="H85" t="n">
        <v>12.92409677419355</v>
      </c>
      <c r="I85" t="n">
        <v>2.790903225806451</v>
      </c>
      <c r="J85" t="n">
        <v>2.048258064516129</v>
      </c>
      <c r="K85" t="n">
        <v>7.271225806451612</v>
      </c>
    </row>
    <row r="86">
      <c r="A86" s="11" t="n">
        <v>44805</v>
      </c>
      <c r="B86" t="n">
        <v>30.11273333333333</v>
      </c>
      <c r="C86" t="n">
        <v>25.65153333333333</v>
      </c>
      <c r="D86" t="inlineStr">
        <is>
          <t>EIA</t>
        </is>
      </c>
      <c r="E86" t="n">
        <v>-1.464466666666667</v>
      </c>
      <c r="F86" t="n">
        <v>2.6006</v>
      </c>
      <c r="G86" t="n">
        <v>1.136133333333333</v>
      </c>
      <c r="H86" t="n">
        <v>11.7547</v>
      </c>
      <c r="I86" t="n">
        <v>2.759933333333333</v>
      </c>
      <c r="J86" t="n">
        <v>1.996833333333333</v>
      </c>
      <c r="K86" t="n">
        <v>7.675599999999999</v>
      </c>
    </row>
    <row r="87">
      <c r="A87" s="11" t="n">
        <v>44835</v>
      </c>
      <c r="B87" t="n">
        <v>29.7851935483871</v>
      </c>
      <c r="C87" t="n">
        <v>25.33190322580645</v>
      </c>
      <c r="D87" t="inlineStr">
        <is>
          <t>EIA</t>
        </is>
      </c>
      <c r="E87" t="n">
        <v>-2.014032258064516</v>
      </c>
      <c r="F87" t="n">
        <v>2.467064516129032</v>
      </c>
      <c r="G87" t="n">
        <v>0.4530645161290323</v>
      </c>
      <c r="H87" t="n">
        <v>10.47748387096774</v>
      </c>
      <c r="I87" t="n">
        <v>2.740677419354839</v>
      </c>
      <c r="J87" t="n">
        <v>2.16</v>
      </c>
      <c r="K87" t="n">
        <v>7.939709677419351</v>
      </c>
    </row>
    <row r="88">
      <c r="A88" s="11" t="n">
        <v>44866</v>
      </c>
      <c r="B88" t="n">
        <v>29.8353</v>
      </c>
      <c r="C88" t="n">
        <v>25.37643333333333</v>
      </c>
      <c r="D88" t="inlineStr">
        <is>
          <t>EIA</t>
        </is>
      </c>
      <c r="E88" t="n">
        <v>-0.137</v>
      </c>
      <c r="F88" t="n">
        <v>1.554566666666667</v>
      </c>
      <c r="G88" t="n">
        <v>1.4176</v>
      </c>
      <c r="H88" t="n">
        <v>11.34083333333333</v>
      </c>
      <c r="I88" t="n">
        <v>2.750966666666667</v>
      </c>
      <c r="J88" t="n">
        <v>1.905933333333333</v>
      </c>
      <c r="K88" t="n">
        <v>9.2417</v>
      </c>
    </row>
    <row r="89">
      <c r="A89" s="11" t="n">
        <v>44896</v>
      </c>
      <c r="B89" t="n">
        <v>29.94512903225807</v>
      </c>
      <c r="C89" t="n">
        <v>25.55032258064516</v>
      </c>
      <c r="D89" t="inlineStr">
        <is>
          <t>EIA</t>
        </is>
      </c>
      <c r="E89" t="n">
        <v>0.8881935483870969</v>
      </c>
      <c r="F89" t="n">
        <v>1.395903225806452</v>
      </c>
      <c r="G89" t="n">
        <v>2.284096774193548</v>
      </c>
      <c r="H89" t="n">
        <v>11.76351612903226</v>
      </c>
      <c r="I89" t="n">
        <v>2.523516129032258</v>
      </c>
      <c r="J89" t="n">
        <v>2.073548387096774</v>
      </c>
      <c r="K89" t="n">
        <v>10.07793548387097</v>
      </c>
    </row>
    <row r="90">
      <c r="A90" s="11" t="n">
        <v>44927</v>
      </c>
      <c r="B90" t="n">
        <v>29.99625806451613</v>
      </c>
      <c r="C90" t="n">
        <v>25.18170967741936</v>
      </c>
      <c r="D90" t="inlineStr">
        <is>
          <t>EIA</t>
        </is>
      </c>
      <c r="E90" t="n">
        <v>0.7423870967741936</v>
      </c>
      <c r="F90" t="n">
        <v>1.189967741935484</v>
      </c>
      <c r="G90" t="n">
        <v>1.932354838709677</v>
      </c>
      <c r="H90" t="n">
        <v>11.61961290322581</v>
      </c>
      <c r="I90" t="n">
        <v>2.707741935483871</v>
      </c>
      <c r="J90" t="n">
        <v>2.022612903225806</v>
      </c>
      <c r="K90" t="n">
        <v>9.574129032258067</v>
      </c>
    </row>
    <row r="91">
      <c r="A91" s="11" t="n">
        <v>44958</v>
      </c>
      <c r="B91" t="n">
        <v>30.02260714285714</v>
      </c>
      <c r="C91" t="n">
        <v>25.22707142857143</v>
      </c>
      <c r="D91" t="inlineStr">
        <is>
          <t>EIA</t>
        </is>
      </c>
      <c r="E91" t="n">
        <v>0.5748214285714286</v>
      </c>
      <c r="F91" t="n">
        <v>1.318821428571429</v>
      </c>
      <c r="G91" t="n">
        <v>1.893642857142857</v>
      </c>
      <c r="H91" t="n">
        <v>11.82910714285714</v>
      </c>
      <c r="I91" t="n">
        <v>2.707571428571429</v>
      </c>
      <c r="J91" t="n">
        <v>2.706285714285714</v>
      </c>
      <c r="K91" t="n">
        <v>8.55892857142857</v>
      </c>
    </row>
    <row r="92">
      <c r="A92" s="11" t="n">
        <v>44986</v>
      </c>
      <c r="B92" t="n">
        <v>31.55867741935484</v>
      </c>
      <c r="C92" t="n">
        <v>26.69438709677419</v>
      </c>
      <c r="D92" t="inlineStr">
        <is>
          <t>EIA</t>
        </is>
      </c>
      <c r="E92" t="n">
        <v>-0.5205161290322581</v>
      </c>
      <c r="F92" t="n">
        <v>1.539709677419355</v>
      </c>
      <c r="G92" t="n">
        <v>1.019161290322581</v>
      </c>
      <c r="H92" t="n">
        <v>10.60835483870968</v>
      </c>
      <c r="I92" t="n">
        <v>2.856064516129032</v>
      </c>
      <c r="J92" t="n">
        <v>3.10383870967742</v>
      </c>
      <c r="K92" t="n">
        <v>9.605612903225804</v>
      </c>
    </row>
    <row r="93">
      <c r="A93" s="11" t="n">
        <v>45017</v>
      </c>
      <c r="B93" t="n">
        <v>30.91673333333333</v>
      </c>
      <c r="C93" t="n">
        <v>26.09276666666667</v>
      </c>
      <c r="D93" t="inlineStr">
        <is>
          <t>EIA</t>
        </is>
      </c>
      <c r="E93" t="n">
        <v>-0.7463</v>
      </c>
      <c r="F93" t="n">
        <v>1.441633333333334</v>
      </c>
      <c r="G93" t="n">
        <v>0.6953333333333334</v>
      </c>
      <c r="H93" t="n">
        <v>10.31606666666667</v>
      </c>
      <c r="I93" t="n">
        <v>2.752766666666667</v>
      </c>
      <c r="J93" t="n">
        <v>3.937566666666667</v>
      </c>
      <c r="K93" t="n">
        <v>8.340066666666663</v>
      </c>
    </row>
    <row r="94">
      <c r="A94" s="11" t="n">
        <v>45047</v>
      </c>
      <c r="B94" t="n">
        <v>31.16616129032258</v>
      </c>
      <c r="C94" t="n">
        <v>26.302</v>
      </c>
      <c r="D94" t="inlineStr">
        <is>
          <t>EIA</t>
        </is>
      </c>
      <c r="E94" t="n">
        <v>-1.111741935483871</v>
      </c>
      <c r="F94" t="n">
        <v>1.817225806451613</v>
      </c>
      <c r="G94" t="n">
        <v>0.7054838709677419</v>
      </c>
      <c r="H94" t="n">
        <v>11.55945161290323</v>
      </c>
      <c r="I94" t="n">
        <v>2.939967741935484</v>
      </c>
      <c r="J94" t="n">
        <v>4.070064516129031</v>
      </c>
      <c r="K94" t="n">
        <v>6.620774193548387</v>
      </c>
    </row>
    <row r="95">
      <c r="A95" s="11" t="n">
        <v>45078</v>
      </c>
      <c r="B95" t="n">
        <v>30.79596666666667</v>
      </c>
      <c r="C95" t="n">
        <v>25.9884</v>
      </c>
      <c r="D95" t="inlineStr">
        <is>
          <t>EIA</t>
        </is>
      </c>
      <c r="E95" t="n">
        <v>-0.3574666666666667</v>
      </c>
      <c r="F95" t="n">
        <v>1.372766666666667</v>
      </c>
      <c r="G95" t="n">
        <v>1.0153</v>
      </c>
      <c r="H95" t="n">
        <v>12.99353333333333</v>
      </c>
      <c r="I95" t="n">
        <v>3.368</v>
      </c>
      <c r="J95" t="n">
        <v>4.192366666666667</v>
      </c>
      <c r="K95" t="n">
        <v>5.077033333333334</v>
      </c>
    </row>
    <row r="96">
      <c r="A96" s="11" t="n">
        <v>45108</v>
      </c>
      <c r="B96" t="n">
        <v>31.08687096774193</v>
      </c>
      <c r="C96" t="n">
        <v>26.24264516129032</v>
      </c>
      <c r="D96" t="inlineStr">
        <is>
          <t>EIA</t>
        </is>
      </c>
      <c r="E96" t="n">
        <v>0.5639999999999999</v>
      </c>
      <c r="F96" t="n">
        <v>0.9224516129032259</v>
      </c>
      <c r="G96" t="n">
        <v>1.486451612903226</v>
      </c>
      <c r="H96" t="n">
        <v>13.53758064516129</v>
      </c>
      <c r="I96" t="n">
        <v>3.123096774193549</v>
      </c>
      <c r="J96" t="n">
        <v>3.812451612903226</v>
      </c>
      <c r="K96" t="n">
        <v>6.333516129032258</v>
      </c>
    </row>
    <row r="97">
      <c r="A97" s="11" t="n">
        <v>45139</v>
      </c>
      <c r="B97" t="n">
        <v>31.46732258064516</v>
      </c>
      <c r="C97" t="n">
        <v>26.59361290322581</v>
      </c>
      <c r="D97" t="inlineStr">
        <is>
          <t>EIA</t>
        </is>
      </c>
      <c r="E97" t="n">
        <v>1.413903225806452</v>
      </c>
      <c r="F97" t="n">
        <v>1.958129032258065</v>
      </c>
      <c r="G97" t="n">
        <v>3.372032258064516</v>
      </c>
      <c r="H97" t="n">
        <v>14.67709677419355</v>
      </c>
      <c r="I97" t="n">
        <v>3.173225806451613</v>
      </c>
      <c r="J97" t="n">
        <v>3.996419354838709</v>
      </c>
      <c r="K97" t="n">
        <v>6.160774193548386</v>
      </c>
    </row>
    <row r="98">
      <c r="A98" s="11" t="n">
        <v>45170</v>
      </c>
      <c r="B98" t="n">
        <v>31.83276666666667</v>
      </c>
      <c r="C98" t="n">
        <v>26.9492</v>
      </c>
      <c r="D98" t="inlineStr">
        <is>
          <t>EIA</t>
        </is>
      </c>
      <c r="E98" t="n">
        <v>-0.2360333333333333</v>
      </c>
      <c r="F98" t="n">
        <v>3.023566666666667</v>
      </c>
      <c r="G98" t="n">
        <v>2.7875</v>
      </c>
      <c r="H98" t="n">
        <v>13.15623333333333</v>
      </c>
      <c r="I98" t="n">
        <v>3.124733333333333</v>
      </c>
      <c r="J98" t="n">
        <v>3.7805</v>
      </c>
      <c r="K98" t="n">
        <v>6.6517</v>
      </c>
    </row>
    <row r="99">
      <c r="A99" s="11" t="n">
        <v>45200</v>
      </c>
      <c r="B99" t="n">
        <v>31.85374193548387</v>
      </c>
      <c r="C99" t="n">
        <v>26.96512903225807</v>
      </c>
      <c r="D99" t="inlineStr">
        <is>
          <t>EIA</t>
        </is>
      </c>
      <c r="E99" t="n">
        <v>-1.547774193548387</v>
      </c>
      <c r="F99" t="n">
        <v>2.598548387096774</v>
      </c>
      <c r="G99" t="n">
        <v>1.050774193548387</v>
      </c>
      <c r="H99" t="n">
        <v>11.15516129032258</v>
      </c>
      <c r="I99" t="n">
        <v>3.054387096774194</v>
      </c>
      <c r="J99" t="n">
        <v>4.108516129032258</v>
      </c>
      <c r="K99" t="n">
        <v>7.099290322580643</v>
      </c>
    </row>
    <row r="100">
      <c r="A100" s="11" t="n">
        <v>45231</v>
      </c>
      <c r="B100" t="n">
        <v>32.13006666666666</v>
      </c>
      <c r="C100" t="n">
        <v>27.1668</v>
      </c>
      <c r="D100" t="inlineStr">
        <is>
          <t>EIA</t>
        </is>
      </c>
      <c r="E100" t="n">
        <v>-0.3685666666666667</v>
      </c>
      <c r="F100" t="n">
        <v>1.747533333333333</v>
      </c>
      <c r="G100" t="n">
        <v>1.378966666666667</v>
      </c>
      <c r="H100" t="n">
        <v>11.66476666666667</v>
      </c>
      <c r="I100" t="n">
        <v>2.908766666666667</v>
      </c>
      <c r="J100" t="n">
        <v>4.152666666666667</v>
      </c>
      <c r="K100" t="n">
        <v>8.072033333333332</v>
      </c>
    </row>
    <row r="101">
      <c r="A101" s="11" t="n">
        <v>45261</v>
      </c>
      <c r="B101" t="n">
        <v>32.01570967741936</v>
      </c>
      <c r="C101" t="n">
        <v>27.04570967741936</v>
      </c>
      <c r="D101" t="inlineStr">
        <is>
          <t>EIA</t>
        </is>
      </c>
      <c r="E101" t="n">
        <v>0.08912903225806451</v>
      </c>
      <c r="F101" t="n">
        <v>1.347290322580645</v>
      </c>
      <c r="G101" t="n">
        <v>1.436451612903226</v>
      </c>
      <c r="H101" t="n">
        <v>11.97922580645161</v>
      </c>
      <c r="I101" t="n">
        <v>2.73416129032258</v>
      </c>
      <c r="J101" t="n">
        <v>4.368806451612904</v>
      </c>
      <c r="K101" t="n">
        <v>8.052645161290322</v>
      </c>
    </row>
    <row r="102">
      <c r="A102" s="11" t="n">
        <v>45292</v>
      </c>
      <c r="B102" t="n">
        <v>30.42906451612903</v>
      </c>
      <c r="C102" t="n">
        <v>25.127</v>
      </c>
      <c r="D102" t="inlineStr">
        <is>
          <t>EIA</t>
        </is>
      </c>
      <c r="E102" t="n">
        <v>3.036677419354838</v>
      </c>
      <c r="F102" t="n">
        <v>0.917741935483871</v>
      </c>
      <c r="G102" t="n">
        <v>3.95441935483871</v>
      </c>
      <c r="H102" t="n">
        <v>13.93796774193548</v>
      </c>
      <c r="I102" t="n">
        <v>3.045290322580645</v>
      </c>
      <c r="J102" t="n">
        <v>3.673064516129033</v>
      </c>
      <c r="K102" t="n">
        <v>7.507354838709675</v>
      </c>
    </row>
    <row r="103">
      <c r="A103" s="11" t="n">
        <v>45323</v>
      </c>
      <c r="B103" t="n">
        <v>31.91979310344827</v>
      </c>
      <c r="C103" t="n">
        <v>26.47165517241379</v>
      </c>
      <c r="D103" t="inlineStr">
        <is>
          <t>EIA</t>
        </is>
      </c>
      <c r="E103" t="n">
        <v>-0.4068620689655172</v>
      </c>
      <c r="F103" t="n">
        <v>2.00796551724138</v>
      </c>
      <c r="G103" t="n">
        <v>1.601103448275862</v>
      </c>
      <c r="H103" t="n">
        <v>11.41420689655173</v>
      </c>
      <c r="I103" t="n">
        <v>2.881137931034483</v>
      </c>
      <c r="J103" t="n">
        <v>3.353172413793104</v>
      </c>
      <c r="K103" t="n">
        <v>8.416275862068964</v>
      </c>
    </row>
    <row r="104">
      <c r="A104" s="11" t="n">
        <v>45352</v>
      </c>
      <c r="B104" t="n">
        <v>32.04229032258064</v>
      </c>
      <c r="C104" t="n">
        <v>26.71183870967742</v>
      </c>
      <c r="D104" t="inlineStr">
        <is>
          <t>EIA</t>
        </is>
      </c>
      <c r="E104" t="n">
        <v>-1.185387096774194</v>
      </c>
      <c r="F104" t="n">
        <v>2.315548387096774</v>
      </c>
      <c r="G104" t="n">
        <v>1.130161290322581</v>
      </c>
      <c r="H104" t="n">
        <v>11.21325806451613</v>
      </c>
      <c r="I104" t="n">
        <v>2.966548387096774</v>
      </c>
      <c r="J104" t="n">
        <v>2.823741935483871</v>
      </c>
      <c r="K104" t="n">
        <v>8.522903225806452</v>
      </c>
    </row>
    <row r="105">
      <c r="A105" s="11" t="n">
        <v>45383</v>
      </c>
      <c r="B105" t="n">
        <v>31.96823333333333</v>
      </c>
      <c r="C105" t="n">
        <v>26.68763333333333</v>
      </c>
      <c r="D105" t="inlineStr">
        <is>
          <t>EIA</t>
        </is>
      </c>
      <c r="E105" t="n">
        <v>-0.9785333333333333</v>
      </c>
      <c r="F105" t="n">
        <v>2.3053</v>
      </c>
      <c r="G105" t="n">
        <v>1.326766666666667</v>
      </c>
      <c r="H105" t="n">
        <v>10.7466</v>
      </c>
      <c r="I105" t="n">
        <v>3.1878</v>
      </c>
      <c r="J105" t="n">
        <v>2.0293</v>
      </c>
      <c r="K105" t="n">
        <v>9.7454</v>
      </c>
    </row>
    <row r="106">
      <c r="A106" s="11" t="n">
        <v>45413</v>
      </c>
      <c r="B106" t="n">
        <v>32.86045161290323</v>
      </c>
      <c r="C106" t="n">
        <v>27.57170967741936</v>
      </c>
      <c r="D106" t="inlineStr">
        <is>
          <t>EIA</t>
        </is>
      </c>
      <c r="E106" t="n">
        <v>-0.6620645161290323</v>
      </c>
      <c r="F106" t="n">
        <v>1.905258064516129</v>
      </c>
      <c r="G106" t="n">
        <v>1.243225806451613</v>
      </c>
      <c r="H106" t="n">
        <v>11.91341935483871</v>
      </c>
      <c r="I106" t="n">
        <v>3.257677419354839</v>
      </c>
      <c r="J106" t="n">
        <v>3.766419354838709</v>
      </c>
      <c r="K106" t="n">
        <v>7.972129032258064</v>
      </c>
    </row>
    <row r="107">
      <c r="A107" s="11" t="n">
        <v>45444</v>
      </c>
      <c r="B107" t="n">
        <v>33.14356666666666</v>
      </c>
      <c r="C107" t="n">
        <v>27.7913</v>
      </c>
      <c r="D107" t="inlineStr">
        <is>
          <t>EIA</t>
        </is>
      </c>
      <c r="E107" t="n">
        <v>-0.2201666666666666</v>
      </c>
      <c r="F107" t="n">
        <v>1.550366666666667</v>
      </c>
      <c r="G107" t="n">
        <v>1.3302</v>
      </c>
      <c r="H107" t="n">
        <v>13.05013333333333</v>
      </c>
      <c r="I107" t="n">
        <v>3.117133333333333</v>
      </c>
      <c r="J107" t="n">
        <v>4.317966666666667</v>
      </c>
      <c r="K107" t="n">
        <v>7.085899999999999</v>
      </c>
    </row>
    <row r="108">
      <c r="A108" s="11" t="n">
        <v>45474</v>
      </c>
      <c r="B108" t="n">
        <v>33.14932258064516</v>
      </c>
      <c r="C108" t="n">
        <v>27.72906451612904</v>
      </c>
      <c r="D108" t="inlineStr">
        <is>
          <t>EIA</t>
        </is>
      </c>
      <c r="E108" t="n">
        <v>0.5348709677419354</v>
      </c>
      <c r="F108" t="n">
        <v>1.135903225806452</v>
      </c>
      <c r="G108" t="n">
        <v>1.670774193548387</v>
      </c>
      <c r="H108" t="n">
        <v>13.42690322580645</v>
      </c>
      <c r="I108" t="n">
        <v>3.147096774193549</v>
      </c>
      <c r="J108" t="n">
        <v>2.650419354838709</v>
      </c>
      <c r="K108" t="n">
        <v>9.039516129032263</v>
      </c>
    </row>
    <row r="109">
      <c r="A109" s="11" t="n">
        <v>45505</v>
      </c>
      <c r="B109" t="n">
        <v>33.2896129032258</v>
      </c>
      <c r="C109" t="n">
        <v>27.9198064516129</v>
      </c>
      <c r="D109" t="inlineStr">
        <is>
          <t>EIA</t>
        </is>
      </c>
      <c r="E109" t="n">
        <v>1.59941935483871</v>
      </c>
      <c r="F109" t="n">
        <v>1.875322580645161</v>
      </c>
      <c r="G109" t="n">
        <v>3.474741935483871</v>
      </c>
      <c r="H109" t="n">
        <v>14.60748387096774</v>
      </c>
      <c r="I109" t="n">
        <v>3.193548387096774</v>
      </c>
      <c r="J109" t="n">
        <v>4.078967741935483</v>
      </c>
      <c r="K109" t="n">
        <v>7.639225806451612</v>
      </c>
    </row>
    <row r="110">
      <c r="A110" s="11" t="n">
        <v>45536</v>
      </c>
      <c r="B110" t="n">
        <v>33.5967</v>
      </c>
      <c r="C110" t="n">
        <v>28.2645</v>
      </c>
      <c r="D110" t="inlineStr">
        <is>
          <t>EIA</t>
        </is>
      </c>
      <c r="E110" t="n">
        <v>-0.2959666666666667</v>
      </c>
      <c r="F110" t="n">
        <v>2.5233</v>
      </c>
      <c r="G110" t="n">
        <v>2.227366666666667</v>
      </c>
      <c r="H110" t="n">
        <v>13.06096666666667</v>
      </c>
      <c r="I110" t="n">
        <v>3.0912</v>
      </c>
      <c r="J110" t="n">
        <v>4.2542</v>
      </c>
      <c r="K110" t="n">
        <v>7.562166666666671</v>
      </c>
    </row>
    <row r="111">
      <c r="A111" s="11" t="n">
        <v>45566</v>
      </c>
      <c r="B111" t="n">
        <v>33.96545161290323</v>
      </c>
      <c r="C111" t="n">
        <v>28.559</v>
      </c>
      <c r="D111" t="inlineStr">
        <is>
          <t>EIA</t>
        </is>
      </c>
      <c r="E111" t="n">
        <v>-1.795548387096774</v>
      </c>
      <c r="F111" t="n">
        <v>2.784935483870968</v>
      </c>
      <c r="G111" t="n">
        <v>0.9893548387096774</v>
      </c>
      <c r="H111" t="n">
        <v>11.90767741935484</v>
      </c>
      <c r="I111" t="n">
        <v>2.869387096774194</v>
      </c>
      <c r="J111" t="n">
        <v>4.381</v>
      </c>
      <c r="K111" t="n">
        <v>7.605387096774196</v>
      </c>
    </row>
    <row r="112">
      <c r="A112" s="11" t="n">
        <v>45597</v>
      </c>
      <c r="B112" t="n">
        <v>33.69269999999999</v>
      </c>
      <c r="C112" t="n">
        <v>28.28536666666666</v>
      </c>
      <c r="D112" t="inlineStr">
        <is>
          <t>EIA</t>
        </is>
      </c>
      <c r="E112" t="n">
        <v>-0.5599333333333333</v>
      </c>
      <c r="F112" t="n">
        <v>1.816766666666667</v>
      </c>
      <c r="G112" t="n">
        <v>1.256833333333333</v>
      </c>
      <c r="H112" t="n">
        <v>11.44886666666667</v>
      </c>
      <c r="I112" t="n">
        <v>2.7428</v>
      </c>
      <c r="J112" t="n">
        <v>4.037033333333333</v>
      </c>
      <c r="K112" t="n">
        <v>9.496733333333331</v>
      </c>
    </row>
    <row r="113">
      <c r="A113" s="11" t="n">
        <v>45627</v>
      </c>
      <c r="B113" t="n">
        <v>34.00558064516129</v>
      </c>
      <c r="C113" t="n">
        <v>28.49945161290323</v>
      </c>
      <c r="D113" t="inlineStr">
        <is>
          <t>EIA</t>
        </is>
      </c>
      <c r="E113" t="n">
        <v>0.4250322580645162</v>
      </c>
      <c r="F113" t="n">
        <v>1.449032258064516</v>
      </c>
      <c r="G113" t="n">
        <v>1.874064516129032</v>
      </c>
      <c r="H113" t="n">
        <v>12.28451612903226</v>
      </c>
      <c r="I113" t="n">
        <v>2.697645161290323</v>
      </c>
      <c r="J113" t="n">
        <v>4.366612903225807</v>
      </c>
      <c r="K113" t="n">
        <v>9.575709677419356</v>
      </c>
    </row>
    <row r="114">
      <c r="A114" s="11" t="n">
        <v>45658</v>
      </c>
      <c r="B114" t="n">
        <v>33.77132258064516</v>
      </c>
      <c r="C114" t="n">
        <v>28.24405679752158</v>
      </c>
      <c r="D114" t="inlineStr">
        <is>
          <t>estimated (extraction loss 16.4% of marketed, mean of last 12 published months)</t>
        </is>
      </c>
      <c r="E114" t="n">
        <v>3.646935483870968</v>
      </c>
      <c r="F114" t="n">
        <v>1.033096774193548</v>
      </c>
      <c r="G114" t="n">
        <v>4.680032258064516</v>
      </c>
      <c r="H114" t="n">
        <v>14.83267741935484</v>
      </c>
      <c r="I114" t="n">
        <v>3.12958064516129</v>
      </c>
      <c r="J114" t="n">
        <v>3.811258064516129</v>
      </c>
      <c r="K114" t="n">
        <v>10.11747615236029</v>
      </c>
    </row>
    <row r="115">
      <c r="A115" s="11" t="n">
        <v>45689</v>
      </c>
      <c r="B115" t="n">
        <v>33.87828571428572</v>
      </c>
      <c r="C115" t="n">
        <v>28.33351354931359</v>
      </c>
      <c r="D115" t="inlineStr">
        <is>
          <t>estimated (extraction loss 16.4% of marketed, mean of last 12 published months)</t>
        </is>
      </c>
      <c r="E115" t="n">
        <v>2.769392857142857</v>
      </c>
      <c r="F115" t="n">
        <v>1.292535714285714</v>
      </c>
      <c r="G115" t="n">
        <v>4.061928571428572</v>
      </c>
      <c r="H115" t="n">
        <v>13.56896428571429</v>
      </c>
      <c r="I115" t="n">
        <v>3.037857142857143</v>
      </c>
      <c r="J115" t="n">
        <v>4.574178571428572</v>
      </c>
      <c r="K115" t="n">
        <v>9.921906406456447</v>
      </c>
    </row>
    <row r="116">
      <c r="A116" s="11" t="n">
        <v>45717</v>
      </c>
      <c r="B116" t="n">
        <v>33.98274193548387</v>
      </c>
      <c r="C116" t="n">
        <v>28.42087368859537</v>
      </c>
      <c r="D116" t="inlineStr">
        <is>
          <t>estimated (extraction loss 16.4% of marketed, mean of last 12 published months)</t>
        </is>
      </c>
      <c r="E116" t="n">
        <v>-1.414387096774194</v>
      </c>
      <c r="F116" t="n">
        <v>2.661516129032258</v>
      </c>
      <c r="G116" t="n">
        <v>1.247129032258065</v>
      </c>
      <c r="H116" t="n">
        <v>10.40090322580645</v>
      </c>
      <c r="I116" t="n">
        <v>2.864387096774194</v>
      </c>
      <c r="J116" t="n">
        <v>4.218774193548387</v>
      </c>
      <c r="K116" t="n">
        <v>9.522422075692145</v>
      </c>
    </row>
    <row r="117">
      <c r="A117" s="11" t="n">
        <v>45748</v>
      </c>
      <c r="B117" t="n">
        <v>34.2791</v>
      </c>
      <c r="C117" t="n">
        <v>28.66872758850139</v>
      </c>
      <c r="D117" t="inlineStr">
        <is>
          <t>estimated (extraction loss 16.4% of marketed, mean of last 12 published months)</t>
        </is>
      </c>
      <c r="E117" t="n">
        <v>-1.4014</v>
      </c>
      <c r="F117" t="n">
        <v>2.422766666666667</v>
      </c>
      <c r="G117" t="n">
        <v>1.021366666666667</v>
      </c>
      <c r="H117" t="n">
        <v>10.7925</v>
      </c>
      <c r="I117" t="n">
        <v>3.252</v>
      </c>
      <c r="J117" t="n">
        <v>4.420999999999999</v>
      </c>
      <c r="K117" t="n">
        <v>8.801827588501393</v>
      </c>
    </row>
    <row r="118">
      <c r="A118" s="11" t="n">
        <v>45778</v>
      </c>
      <c r="B118" t="n">
        <v>33.95767741935484</v>
      </c>
      <c r="C118" t="n">
        <v>28.39991141756023</v>
      </c>
      <c r="D118" t="inlineStr">
        <is>
          <t>estimated (extraction loss 16.4% of marketed, mean of last 12 published months)</t>
        </is>
      </c>
      <c r="E118" t="n">
        <v>-1.598645161290323</v>
      </c>
      <c r="F118" t="n">
        <v>2.441677419354839</v>
      </c>
      <c r="G118" t="n">
        <v>0.8430322580645161</v>
      </c>
      <c r="H118" t="n">
        <v>11.9518064516129</v>
      </c>
      <c r="I118" t="n">
        <v>3.523838709677419</v>
      </c>
      <c r="J118" t="n">
        <v>4.124516129032259</v>
      </c>
      <c r="K118" t="n">
        <v>7.201104965947325</v>
      </c>
    </row>
    <row r="119">
      <c r="A119" s="11" t="n">
        <v>45809</v>
      </c>
      <c r="B119" t="n">
        <v>34.42446666666667</v>
      </c>
      <c r="C119" t="n">
        <v>28.79030246552894</v>
      </c>
      <c r="D119" t="inlineStr">
        <is>
          <t>estimated (extraction loss 16.4% of marketed, mean of last 12 published months)</t>
        </is>
      </c>
      <c r="E119" t="n">
        <v>-1.214466666666667</v>
      </c>
      <c r="F119" t="n">
        <v>2.011666666666667</v>
      </c>
      <c r="G119" t="n">
        <v>0.7972</v>
      </c>
      <c r="H119" t="n">
        <v>12.51576666666667</v>
      </c>
      <c r="I119" t="n">
        <v>3.446133333333333</v>
      </c>
      <c r="J119" t="n">
        <v>4.312166666666666</v>
      </c>
      <c r="K119" t="n">
        <v>7.301769132195609</v>
      </c>
    </row>
    <row r="120">
      <c r="A120" s="11" t="n">
        <v>45839</v>
      </c>
      <c r="B120" t="n">
        <v>34.88470967741936</v>
      </c>
      <c r="C120" t="n">
        <v>29.17521868269277</v>
      </c>
      <c r="D120" t="inlineStr">
        <is>
          <t>estimated (extraction loss 16.4% of marketed, mean of last 12 published months)</t>
        </is>
      </c>
      <c r="E120" t="n">
        <v>-0.2253870967741935</v>
      </c>
      <c r="F120" t="n">
        <v>1.676290322580645</v>
      </c>
      <c r="G120" t="n">
        <v>1.450903225806452</v>
      </c>
      <c r="H120" t="n">
        <v>13.17793548387097</v>
      </c>
      <c r="I120" t="n">
        <v>3.09458064516129</v>
      </c>
      <c r="J120" t="n">
        <v>4.125870967741935</v>
      </c>
      <c r="K120" t="n">
        <v>8.551444489144387</v>
      </c>
    </row>
    <row r="121">
      <c r="A121" s="11" t="n">
        <v>45870</v>
      </c>
      <c r="B121" t="n">
        <v>35.25983870967742</v>
      </c>
      <c r="C121" t="n">
        <v>29.48895130800512</v>
      </c>
      <c r="D121" t="inlineStr">
        <is>
          <t>estimated (extraction loss 16.4% of marketed, mean of last 12 published months)</t>
        </is>
      </c>
      <c r="E121" t="n">
        <v>0.412</v>
      </c>
      <c r="F121" t="n">
        <v>1.391838709677419</v>
      </c>
      <c r="G121" t="n">
        <v>1.803870967741935</v>
      </c>
      <c r="H121" t="n">
        <v>13.83638709677419</v>
      </c>
      <c r="I121" t="n">
        <v>3.350290322580645</v>
      </c>
      <c r="J121" t="n">
        <v>4.099225806451613</v>
      </c>
      <c r="K121" t="n">
        <v>8.615048082198665</v>
      </c>
    </row>
    <row r="122">
      <c r="A122" s="11" t="n">
        <v>45901</v>
      </c>
      <c r="B122" t="n">
        <v>35.21926666666667</v>
      </c>
      <c r="C122" t="n">
        <v>29.45501958725445</v>
      </c>
      <c r="D122" t="inlineStr">
        <is>
          <t>estimated (extraction loss 16.4% of marketed, mean of last 12 published months)</t>
        </is>
      </c>
      <c r="E122" t="n">
        <v>-0.3898333333333333</v>
      </c>
      <c r="F122" t="n">
        <v>1.689533333333333</v>
      </c>
      <c r="G122" t="n">
        <v>1.2997</v>
      </c>
      <c r="H122" t="n">
        <v>13.08006666666667</v>
      </c>
      <c r="I122" t="n">
        <v>2.949933333333334</v>
      </c>
      <c r="J122" t="n">
        <v>4.334633333333334</v>
      </c>
      <c r="K122" t="n">
        <v>8.700552920587789</v>
      </c>
    </row>
    <row r="123">
      <c r="A123" s="11" t="n">
        <v>45931</v>
      </c>
      <c r="B123" t="n">
        <v>34.84435483870968</v>
      </c>
      <c r="C123" t="n">
        <v>29.14146861697209</v>
      </c>
      <c r="D123" t="inlineStr">
        <is>
          <t>estimated (extraction loss 16.4% of marketed, mean of last 12 published months)</t>
        </is>
      </c>
      <c r="E123" t="n">
        <v>-1.056774193548387</v>
      </c>
      <c r="F123" t="n">
        <v>2.187</v>
      </c>
      <c r="G123" t="n">
        <v>1.130225806451613</v>
      </c>
      <c r="H123" t="n">
        <v>11.65106451612903</v>
      </c>
      <c r="I123" t="n">
        <v>2.833483870967742</v>
      </c>
      <c r="J123" t="n">
        <v>4.719129032258065</v>
      </c>
      <c r="K123" t="n">
        <v>8.881017004068866</v>
      </c>
    </row>
    <row r="124">
      <c r="A124" s="11" t="n">
        <v>45962</v>
      </c>
      <c r="B124" t="n">
        <v>35.58796666666667</v>
      </c>
      <c r="C124" t="n">
        <v>29.76337540353552</v>
      </c>
      <c r="D124" t="inlineStr">
        <is>
          <t>estimated (extraction loss 16.4% of marketed, mean of last 12 published months)</t>
        </is>
      </c>
      <c r="E124" t="n">
        <v>-0.8538333333333333</v>
      </c>
      <c r="F124" t="n">
        <v>2.081066666666667</v>
      </c>
      <c r="G124" t="n">
        <v>1.227233333333333</v>
      </c>
      <c r="H124" t="n">
        <v>11.42233333333333</v>
      </c>
      <c r="I124" t="n">
        <v>2.9201</v>
      </c>
      <c r="J124" t="n">
        <v>4.972966666666666</v>
      </c>
      <c r="K124" t="n">
        <v>9.594142070202189</v>
      </c>
    </row>
    <row r="125">
      <c r="A125" s="11" t="n">
        <v>45992</v>
      </c>
      <c r="B125" t="n">
        <v>35.96516129032258</v>
      </c>
      <c r="C125" t="n">
        <v>30.07883555019745</v>
      </c>
      <c r="D125" t="inlineStr">
        <is>
          <t>estimated (extraction loss 16.4% of marketed, mean of last 12 published months)</t>
        </is>
      </c>
      <c r="E125" t="n">
        <v>1.824516129032258</v>
      </c>
      <c r="F125" t="n">
        <v>1.341290322580645</v>
      </c>
      <c r="G125" t="n">
        <v>3.165806451612903</v>
      </c>
      <c r="H125" t="n">
        <v>12.45961290322581</v>
      </c>
      <c r="I125" t="n">
        <v>2.764451612903226</v>
      </c>
      <c r="J125" t="n">
        <v>5.162</v>
      </c>
      <c r="K125" t="n">
        <v>11.51728716310067</v>
      </c>
    </row>
    <row r="126">
      <c r="A126" s="11" t="n">
        <v>46023</v>
      </c>
      <c r="B126" t="n">
        <v>34.71883870967741</v>
      </c>
      <c r="C126" t="n">
        <v>29.03649539097756</v>
      </c>
      <c r="D126" t="inlineStr">
        <is>
          <t>estimated (extraction loss 16.4% of marketed, mean of last 12 published months)</t>
        </is>
      </c>
      <c r="E126" t="n">
        <v>3.636483870967742</v>
      </c>
      <c r="F126" t="n">
        <v>1.035096774193548</v>
      </c>
      <c r="G126" t="n">
        <v>4.671580645161291</v>
      </c>
      <c r="H126" t="n">
        <v>13.65038709677419</v>
      </c>
      <c r="I126" t="n">
        <v>2.873354838709677</v>
      </c>
      <c r="J126" t="n">
        <v>4.75</v>
      </c>
      <c r="K126" t="n">
        <v>11.39923732646143</v>
      </c>
    </row>
    <row r="127">
      <c r="A127" s="11" t="n">
        <v>46054</v>
      </c>
      <c r="B127" t="n">
        <v>35.748</v>
      </c>
      <c r="C127" t="n">
        <v>29.89721649149912</v>
      </c>
      <c r="D127" t="inlineStr">
        <is>
          <t>estimated (extraction loss 16.4% of marketed, mean of last 12 published months)</t>
        </is>
      </c>
      <c r="E127" t="n">
        <v>1.282357142857143</v>
      </c>
      <c r="F127" t="n">
        <v>1.613321428571429</v>
      </c>
      <c r="G127" t="n">
        <v>2.895678571428572</v>
      </c>
      <c r="H127" t="n">
        <v>11.87410714285714</v>
      </c>
      <c r="I127" t="n">
        <v>2.989107142857143</v>
      </c>
      <c r="J127" t="n">
        <v>5.282392857142858</v>
      </c>
      <c r="K127" t="n">
        <v>11.03396649149912</v>
      </c>
    </row>
    <row r="128">
      <c r="A128" s="11" t="n">
        <v>46082</v>
      </c>
      <c r="B128" t="n">
        <v>35.92364516129032</v>
      </c>
      <c r="C128" t="n">
        <v>30.04411425956394</v>
      </c>
      <c r="D128" t="inlineStr">
        <is>
          <t>estimated (extraction loss 16.4% of marketed, mean of last 12 published months)</t>
        </is>
      </c>
      <c r="E128" t="n">
        <v>-1.014967741935484</v>
      </c>
      <c r="F128" t="n">
        <v>2.199451612903226</v>
      </c>
      <c r="G128" t="n">
        <v>1.184516129032258</v>
      </c>
      <c r="H128" t="n">
        <v>10.87938709677419</v>
      </c>
      <c r="I128" t="n">
        <v>2.768580645161291</v>
      </c>
      <c r="J128" t="n">
        <v>5.335451612903226</v>
      </c>
      <c r="K128" t="n">
        <v>10.04572716278975</v>
      </c>
    </row>
    <row r="129">
      <c r="A129" s="11" t="n">
        <v>46113</v>
      </c>
      <c r="B129" t="n">
        <v>36.20336666666667</v>
      </c>
      <c r="C129" t="n">
        <v>30.27805446331141</v>
      </c>
      <c r="D129" t="inlineStr">
        <is>
          <t>estimated (extraction loss 16.4% of marketed, mean of last 12 published months)</t>
        </is>
      </c>
      <c r="E129" t="n">
        <v>-0.9568333333333334</v>
      </c>
      <c r="F129" t="n">
        <v>2.0877</v>
      </c>
      <c r="G129" t="n">
        <v>1.130866666666666</v>
      </c>
      <c r="H129" t="n">
        <v>11.3438</v>
      </c>
      <c r="I129" t="n">
        <v>2.837666666666667</v>
      </c>
      <c r="J129" t="n">
        <v>5.317466666666666</v>
      </c>
      <c r="K129" t="n">
        <v>9.822287796644749</v>
      </c>
    </row>
    <row r="130">
      <c r="A130" s="11" t="n">
        <v>46143</v>
      </c>
      <c r="B130" t="n">
        <v>35.91348387096775</v>
      </c>
      <c r="C130" t="n">
        <v>30.03561604157672</v>
      </c>
      <c r="D130" t="inlineStr">
        <is>
          <t>estimated (extraction loss 16.4% of marketed, mean of last 12 published months)</t>
        </is>
      </c>
      <c r="E130" t="n">
        <v>-0.9079677419354839</v>
      </c>
      <c r="F130" t="n">
        <v>2.190806451612903</v>
      </c>
      <c r="G130" t="n">
        <v>1.282838709677419</v>
      </c>
      <c r="H130" t="n">
        <v>12.00083870967742</v>
      </c>
      <c r="I130" t="n">
        <v>3.316451612903226</v>
      </c>
      <c r="J130" t="n">
        <v>4.804548387096774</v>
      </c>
      <c r="K130" t="n">
        <v>9.005809589963821</v>
      </c>
    </row>
    <row r="131">
      <c r="A131" s="11" t="n">
        <v>46174</v>
      </c>
      <c r="B131" t="n">
        <v>36.40676666666667</v>
      </c>
      <c r="C131" t="n">
        <v>30.44816450679276</v>
      </c>
      <c r="D131" t="inlineStr">
        <is>
          <t>estimated (extraction loss 16.4% of marketed, mean of last 12 published months)</t>
        </is>
      </c>
      <c r="E131" t="n">
        <v>-0.6241</v>
      </c>
      <c r="F131" t="n">
        <v>1.944366666666667</v>
      </c>
      <c r="G131" t="n">
        <v>1.320233333333333</v>
      </c>
      <c r="H131" t="n">
        <v>13.13166666666667</v>
      </c>
      <c r="I131" t="n">
        <v>3.3545</v>
      </c>
      <c r="J131" t="n">
        <v>5.097133333333334</v>
      </c>
      <c r="K131" t="n">
        <v>8.240764506792758</v>
      </c>
    </row>
    <row r="132">
      <c r="A132" s="11" t="n">
        <v>46204</v>
      </c>
      <c r="B132" t="n">
        <v>37.34825806451613</v>
      </c>
      <c r="C132" t="n">
        <v>31.2355644213723</v>
      </c>
      <c r="D132" t="inlineStr">
        <is>
          <t>estimated (extraction loss 16.4% of marketed, mean of last 12 published months)</t>
        </is>
      </c>
      <c r="E132" t="n">
        <v>-0.08051612903225806</v>
      </c>
      <c r="F132" t="n">
        <v>1.523032258064516</v>
      </c>
      <c r="G132" t="n">
        <v>1.442483870967742</v>
      </c>
      <c r="H132" t="n">
        <v>13.7391935483871</v>
      </c>
      <c r="I132" t="n">
        <v>3.236774193548387</v>
      </c>
      <c r="J132" t="n">
        <v>5.029806451612903</v>
      </c>
      <c r="K132" t="n">
        <v>9.149274098791654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Series</t>
        </is>
      </c>
      <c r="C1" t="inlineStr">
        <is>
          <t>Latest month</t>
        </is>
      </c>
      <c r="D1" t="inlineStr">
        <is>
          <t>May/26 Bcf/d</t>
        </is>
      </c>
      <c r="E1" t="inlineStr">
        <is>
          <t>Jun/26 Bcf/d</t>
        </is>
      </c>
      <c r="F1" t="inlineStr">
        <is>
          <t>Jul/26 Bcf/d</t>
        </is>
      </c>
      <c r="G1" t="inlineStr">
        <is>
          <t>YoY %</t>
        </is>
      </c>
    </row>
    <row r="2">
      <c r="A2" t="inlineStr">
        <is>
          <t>Consumption</t>
        </is>
      </c>
      <c r="B2" t="inlineStr">
        <is>
          <t>Electric power</t>
        </is>
      </c>
      <c r="C2" t="inlineStr">
        <is>
          <t>Jul/26</t>
        </is>
      </c>
      <c r="D2" t="n">
        <v>5.746419354838709</v>
      </c>
      <c r="E2" t="n">
        <v>6.806066666666666</v>
      </c>
      <c r="F2" t="n">
        <v>7.621806451612904</v>
      </c>
      <c r="G2" t="n">
        <v>6.762459897880824</v>
      </c>
    </row>
    <row r="3">
      <c r="A3" t="inlineStr">
        <is>
          <t>Consumption</t>
        </is>
      </c>
      <c r="B3" t="inlineStr">
        <is>
          <t>Industrial</t>
        </is>
      </c>
      <c r="C3" t="inlineStr">
        <is>
          <t>Jul/26</t>
        </is>
      </c>
      <c r="D3" t="n">
        <v>5.633806451612903</v>
      </c>
      <c r="E3" t="n">
        <v>5.6723</v>
      </c>
      <c r="F3" t="n">
        <v>5.519354838709677</v>
      </c>
      <c r="G3" t="n">
        <v>2.007965087162833</v>
      </c>
    </row>
    <row r="4">
      <c r="A4" t="inlineStr">
        <is>
          <t>Consumption</t>
        </is>
      </c>
      <c r="B4" t="inlineStr">
        <is>
          <t>Residential</t>
        </is>
      </c>
      <c r="C4" t="inlineStr">
        <is>
          <t>Jul/26</t>
        </is>
      </c>
      <c r="D4" t="n">
        <v>0.2309032258064516</v>
      </c>
      <c r="E4" t="n">
        <v>0.2417</v>
      </c>
      <c r="F4" t="n">
        <v>0.2176451612903226</v>
      </c>
      <c r="G4" t="n">
        <v>-0.1923076923076805</v>
      </c>
    </row>
    <row r="5">
      <c r="A5" t="inlineStr">
        <is>
          <t>Consumption</t>
        </is>
      </c>
      <c r="B5" t="inlineStr">
        <is>
          <t>Commercial</t>
        </is>
      </c>
      <c r="C5" t="inlineStr">
        <is>
          <t>Jul/26</t>
        </is>
      </c>
      <c r="D5" t="n">
        <v>0.3834838709677419</v>
      </c>
      <c r="E5" t="n">
        <v>0.4054</v>
      </c>
      <c r="F5" t="n">
        <v>0.3741290322580645</v>
      </c>
      <c r="G5" t="n">
        <v>-7.371615685648115</v>
      </c>
    </row>
    <row r="6">
      <c r="A6" t="inlineStr">
        <is>
          <t>Consumption</t>
        </is>
      </c>
      <c r="B6" t="inlineStr">
        <is>
          <t>Vehicle fuel</t>
        </is>
      </c>
      <c r="C6" t="inlineStr">
        <is>
          <t>Jul/26</t>
        </is>
      </c>
      <c r="D6" t="n">
        <v>0.006193548387096774</v>
      </c>
      <c r="E6" t="n">
        <v>0.0062</v>
      </c>
      <c r="F6" t="n">
        <v>0.006193548387096774</v>
      </c>
      <c r="G6" t="n">
        <v>0</v>
      </c>
    </row>
    <row r="7">
      <c r="A7" t="inlineStr">
        <is>
          <t>Consumption</t>
        </is>
      </c>
      <c r="B7" t="inlineStr">
        <is>
          <t>Reported total (delivered to consumers)</t>
        </is>
      </c>
      <c r="C7" t="inlineStr">
        <is>
          <t>Jul/26</t>
        </is>
      </c>
      <c r="D7" t="n">
        <v>12.00083870967742</v>
      </c>
      <c r="E7" t="n">
        <v>13.13166666666667</v>
      </c>
      <c r="F7" t="n">
        <v>13.7391935483871</v>
      </c>
      <c r="G7" t="n">
        <v>4.259074307983024</v>
      </c>
    </row>
    <row r="8">
      <c r="A8" t="inlineStr">
        <is>
          <t>Consumption</t>
        </is>
      </c>
      <c r="B8" t="inlineStr">
        <is>
          <t>Sum of published sectors</t>
        </is>
      </c>
      <c r="C8" t="inlineStr">
        <is>
          <t>Jul/26</t>
        </is>
      </c>
      <c r="D8" t="n">
        <v>12.0008064516129</v>
      </c>
      <c r="E8" t="n">
        <v>13.13166666666667</v>
      </c>
      <c r="F8" t="n">
        <v>13.73912903225806</v>
      </c>
      <c r="G8" t="n">
        <v>4.258839944677661</v>
      </c>
    </row>
    <row r="9">
      <c r="A9" t="inlineStr">
        <is>
          <t>Exports</t>
        </is>
      </c>
      <c r="B9" t="inlineStr">
        <is>
          <t>Pipeline exports to Mexico (Texas crossings)</t>
        </is>
      </c>
      <c r="C9" t="inlineStr">
        <is>
          <t>Jul/26</t>
        </is>
      </c>
      <c r="D9" t="n">
        <v>3.316451612903226</v>
      </c>
      <c r="E9" t="n">
        <v>3.3545</v>
      </c>
      <c r="F9" t="n">
        <v>3.236774193548387</v>
      </c>
      <c r="G9" t="n">
        <v>4.594921402660224</v>
      </c>
    </row>
    <row r="10">
      <c r="A10" t="inlineStr">
        <is>
          <t>Exports</t>
        </is>
      </c>
      <c r="B10" t="inlineStr">
        <is>
          <t>LNG - Corpus Christi</t>
        </is>
      </c>
      <c r="C10" t="inlineStr">
        <is>
          <t>Jul/26</t>
        </is>
      </c>
      <c r="D10" t="n">
        <v>2.864483870967742</v>
      </c>
      <c r="E10" t="n">
        <v>3.0009</v>
      </c>
      <c r="F10" t="n">
        <v>3.133193548387097</v>
      </c>
      <c r="G10" t="n">
        <v>43.00079502959275</v>
      </c>
    </row>
    <row r="11">
      <c r="A11" t="inlineStr">
        <is>
          <t>Exports</t>
        </is>
      </c>
      <c r="B11" t="inlineStr">
        <is>
          <t>LNG - Freeport</t>
        </is>
      </c>
      <c r="C11" t="inlineStr">
        <is>
          <t>Jul/26</t>
        </is>
      </c>
      <c r="D11" t="n">
        <v>1.828322580645161</v>
      </c>
      <c r="E11" t="n">
        <v>1.981266666666667</v>
      </c>
      <c r="F11" t="n">
        <v>1.678161290322581</v>
      </c>
      <c r="G11" t="n">
        <v>-13.26608869623208</v>
      </c>
    </row>
    <row r="12">
      <c r="A12" t="inlineStr">
        <is>
          <t>Exports</t>
        </is>
      </c>
      <c r="B12" t="inlineStr">
        <is>
          <t>LNG - Golden Pass</t>
        </is>
      </c>
      <c r="C12" t="inlineStr">
        <is>
          <t>Jul/26</t>
        </is>
      </c>
      <c r="D12" t="n">
        <v>0.111741935483871</v>
      </c>
      <c r="E12" t="n">
        <v>0.1149666666666667</v>
      </c>
      <c r="F12" t="n">
        <v>0.2184516129032258</v>
      </c>
    </row>
    <row r="13">
      <c r="A13" t="inlineStr">
        <is>
          <t>Exports</t>
        </is>
      </c>
      <c r="B13" t="inlineStr">
        <is>
          <t>LNG exports (Texas terminals)</t>
        </is>
      </c>
      <c r="C13" t="inlineStr">
        <is>
          <t>Jul/26</t>
        </is>
      </c>
      <c r="D13" t="n">
        <v>4.804548387096774</v>
      </c>
      <c r="E13" t="n">
        <v>5.097133333333334</v>
      </c>
      <c r="F13" t="n">
        <v>5.029806451612903</v>
      </c>
      <c r="G13" t="n">
        <v>21.90896154868571</v>
      </c>
    </row>
    <row r="14">
      <c r="A14" t="inlineStr">
        <is>
          <t>Exports</t>
        </is>
      </c>
      <c r="B14" t="inlineStr">
        <is>
          <t>Total Texas exports</t>
        </is>
      </c>
      <c r="C14" t="inlineStr">
        <is>
          <t>Jul/26</t>
        </is>
      </c>
      <c r="D14" t="n">
        <v>8.120999999999999</v>
      </c>
      <c r="E14" t="n">
        <v>8.451633333333334</v>
      </c>
      <c r="F14" t="n">
        <v>8.266580645161291</v>
      </c>
      <c r="G14" t="n">
        <v>14.48841552221736</v>
      </c>
    </row>
    <row r="15">
      <c r="A15" t="inlineStr">
        <is>
          <t>Balance</t>
        </is>
      </c>
      <c r="B15" t="inlineStr">
        <is>
          <t>Marketed production</t>
        </is>
      </c>
      <c r="C15" t="inlineStr">
        <is>
          <t>Jul/26</t>
        </is>
      </c>
      <c r="D15" t="n">
        <v>35.91348387096775</v>
      </c>
      <c r="E15" t="n">
        <v>36.40676666666667</v>
      </c>
      <c r="F15" t="n">
        <v>37.34825806451613</v>
      </c>
      <c r="G15" t="n">
        <v>7.061971877872364</v>
      </c>
    </row>
    <row r="16">
      <c r="A16" t="inlineStr">
        <is>
          <t>Balance</t>
        </is>
      </c>
      <c r="B16" t="inlineStr">
        <is>
          <t>Dry production</t>
        </is>
      </c>
      <c r="C16" t="inlineStr">
        <is>
          <t>Jul/26</t>
        </is>
      </c>
      <c r="D16" t="n">
        <v>30.03561604157672</v>
      </c>
      <c r="E16" t="n">
        <v>30.44816450679276</v>
      </c>
      <c r="F16" t="n">
        <v>31.2355644213723</v>
      </c>
      <c r="G16" t="n">
        <v>7.061971877872364</v>
      </c>
    </row>
    <row r="17">
      <c r="A17" t="inlineStr">
        <is>
          <t>Balance</t>
        </is>
      </c>
      <c r="B17" t="inlineStr">
        <is>
          <t>Net storage withdrawal (+)</t>
        </is>
      </c>
      <c r="C17" t="inlineStr">
        <is>
          <t>Jul/26</t>
        </is>
      </c>
      <c r="D17" t="n">
        <v>-0.9079677419354839</v>
      </c>
      <c r="E17" t="n">
        <v>-0.6241</v>
      </c>
      <c r="F17" t="n">
        <v>-0.08051612903225806</v>
      </c>
      <c r="G17" t="n">
        <v>-64.27651352511808</v>
      </c>
    </row>
    <row r="18">
      <c r="A18" t="inlineStr">
        <is>
          <t>Balance</t>
        </is>
      </c>
      <c r="B18" t="inlineStr">
        <is>
          <t>Storage injections (gross)</t>
        </is>
      </c>
      <c r="C18" t="inlineStr">
        <is>
          <t>Jul/26</t>
        </is>
      </c>
      <c r="D18" t="n">
        <v>2.190806451612903</v>
      </c>
      <c r="E18" t="n">
        <v>1.944366666666667</v>
      </c>
      <c r="F18" t="n">
        <v>1.523032258064516</v>
      </c>
      <c r="G18" t="n">
        <v>-9.142692196670833</v>
      </c>
    </row>
    <row r="19">
      <c r="A19" t="inlineStr">
        <is>
          <t>Balance</t>
        </is>
      </c>
      <c r="B19" t="inlineStr">
        <is>
          <t>Storage withdrawals (gross)</t>
        </is>
      </c>
      <c r="C19" t="inlineStr">
        <is>
          <t>Jul/26</t>
        </is>
      </c>
      <c r="D19" t="n">
        <v>1.282838709677419</v>
      </c>
      <c r="E19" t="n">
        <v>1.320233333333333</v>
      </c>
      <c r="F19" t="n">
        <v>1.442483870967742</v>
      </c>
      <c r="G19" t="n">
        <v>-0.5802836942505274</v>
      </c>
    </row>
    <row r="20">
      <c r="A20" t="inlineStr">
        <is>
          <t>Balance</t>
        </is>
      </c>
      <c r="B20" t="inlineStr">
        <is>
          <t>Consumption (published sectors)</t>
        </is>
      </c>
      <c r="C20" t="inlineStr">
        <is>
          <t>Jul/26</t>
        </is>
      </c>
      <c r="D20" t="n">
        <v>12.00083870967742</v>
      </c>
      <c r="E20" t="n">
        <v>13.13166666666667</v>
      </c>
      <c r="F20" t="n">
        <v>13.7391935483871</v>
      </c>
      <c r="G20" t="n">
        <v>4.259074307983024</v>
      </c>
    </row>
    <row r="21">
      <c r="A21" t="inlineStr">
        <is>
          <t>Balance</t>
        </is>
      </c>
      <c r="B21" t="inlineStr">
        <is>
          <t>Pipeline exports to Mexico</t>
        </is>
      </c>
      <c r="C21" t="inlineStr">
        <is>
          <t>Jul/26</t>
        </is>
      </c>
      <c r="D21" t="n">
        <v>3.316451612903226</v>
      </c>
      <c r="E21" t="n">
        <v>3.3545</v>
      </c>
      <c r="F21" t="n">
        <v>3.236774193548387</v>
      </c>
      <c r="G21" t="n">
        <v>4.594921402660224</v>
      </c>
    </row>
    <row r="22">
      <c r="A22" t="inlineStr">
        <is>
          <t>Balance</t>
        </is>
      </c>
      <c r="B22" t="inlineStr">
        <is>
          <t>LNG exports</t>
        </is>
      </c>
      <c r="C22" t="inlineStr">
        <is>
          <t>Jul/26</t>
        </is>
      </c>
      <c r="D22" t="n">
        <v>4.804548387096774</v>
      </c>
      <c r="E22" t="n">
        <v>5.097133333333334</v>
      </c>
      <c r="F22" t="n">
        <v>5.029806451612903</v>
      </c>
      <c r="G22" t="n">
        <v>21.90896154868571</v>
      </c>
    </row>
    <row r="23">
      <c r="A23" t="inlineStr">
        <is>
          <t>Balance</t>
        </is>
      </c>
      <c r="B23" t="inlineStr">
        <is>
          <t>Residual: net interstate outflow + withheld fuel uses</t>
        </is>
      </c>
      <c r="C23" t="inlineStr">
        <is>
          <t>Jul/26</t>
        </is>
      </c>
      <c r="D23" t="n">
        <v>9.005809589963821</v>
      </c>
      <c r="E23" t="n">
        <v>8.240764506792758</v>
      </c>
      <c r="F23" t="n">
        <v>9.149274098791654</v>
      </c>
      <c r="G23" t="n">
        <v>6.990978078688115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Actual / forecast</t>
        </is>
      </c>
      <c r="C1" t="inlineStr">
        <is>
          <t>LNG feedgas Corpus Christi - base</t>
        </is>
      </c>
      <c r="D1" t="inlineStr">
        <is>
          <t>LNG feedgas Freeport - base</t>
        </is>
      </c>
      <c r="E1" t="inlineStr">
        <is>
          <t>LNG feedgas Golden Pass - base</t>
        </is>
      </c>
      <c r="F1" t="inlineStr">
        <is>
          <t>LNG feedgas Rio Grande - base</t>
        </is>
      </c>
      <c r="G1" t="inlineStr">
        <is>
          <t>LNG feedgas Port Arthur - base</t>
        </is>
      </c>
      <c r="H1" t="inlineStr">
        <is>
          <t>LNG feedgas other new plants - base</t>
        </is>
      </c>
      <c r="I1" t="inlineStr">
        <is>
          <t>LNG feedgas total - base</t>
        </is>
      </c>
      <c r="J1" t="inlineStr">
        <is>
          <t>LNG feedgas Corpus Christi - delayed</t>
        </is>
      </c>
      <c r="K1" t="inlineStr">
        <is>
          <t>LNG feedgas Freeport - delayed</t>
        </is>
      </c>
      <c r="L1" t="inlineStr">
        <is>
          <t>LNG feedgas Golden Pass - delayed</t>
        </is>
      </c>
      <c r="M1" t="inlineStr">
        <is>
          <t>LNG feedgas Rio Grande - delayed</t>
        </is>
      </c>
      <c r="N1" t="inlineStr">
        <is>
          <t>LNG feedgas Port Arthur - delayed</t>
        </is>
      </c>
      <c r="O1" t="inlineStr">
        <is>
          <t>LNG feedgas other new plants - delayed</t>
        </is>
      </c>
      <c r="P1" t="inlineStr">
        <is>
          <t>LNG feedgas total - delayed</t>
        </is>
      </c>
      <c r="Q1" t="inlineStr">
        <is>
          <t>LNG exports (plain, = feedgas / ratio) - base</t>
        </is>
      </c>
      <c r="R1" t="inlineStr">
        <is>
          <t>LNG exports (plain) - delayed</t>
        </is>
      </c>
      <c r="S1" t="inlineStr">
        <is>
          <t>Electric power</t>
        </is>
      </c>
      <c r="T1" t="inlineStr">
        <is>
          <t>Industrial</t>
        </is>
      </c>
      <c r="U1" t="inlineStr">
        <is>
          <t>Residential</t>
        </is>
      </c>
      <c r="V1" t="inlineStr">
        <is>
          <t>Commercial</t>
        </is>
      </c>
      <c r="W1" t="inlineStr">
        <is>
          <t>Vehicle fuel</t>
        </is>
      </c>
      <c r="X1" t="inlineStr">
        <is>
          <t>Consumption, published sectors</t>
        </is>
      </c>
      <c r="Y1" t="inlineStr">
        <is>
          <t>Pipeline exports to Mexico</t>
        </is>
      </c>
      <c r="Z1" t="inlineStr">
        <is>
          <t>Total demand incl. LNG feedgas - base</t>
        </is>
      </c>
      <c r="AA1" t="inlineStr">
        <is>
          <t>Total demand incl. LNG feedgas - delayed</t>
        </is>
      </c>
      <c r="AB1" t="inlineStr">
        <is>
          <t>EIA LNG exports Corpus Christi</t>
        </is>
      </c>
      <c r="AC1" t="inlineStr">
        <is>
          <t>EIA LNG exports Freeport</t>
        </is>
      </c>
      <c r="AD1" t="inlineStr">
        <is>
          <t>EIA LNG exports Golden Pass</t>
        </is>
      </c>
    </row>
    <row r="2">
      <c r="A2" s="11" t="n">
        <v>44197</v>
      </c>
      <c r="B2" t="inlineStr">
        <is>
          <t>Actual</t>
        </is>
      </c>
      <c r="C2" t="n">
        <v>2.011788387096774</v>
      </c>
      <c r="D2" t="n">
        <v>2.148460322580645</v>
      </c>
      <c r="E2" t="n">
        <v>0</v>
      </c>
      <c r="F2" t="n">
        <v>0</v>
      </c>
      <c r="G2" t="n">
        <v>0</v>
      </c>
      <c r="H2" t="n">
        <v>0</v>
      </c>
      <c r="I2" t="n">
        <v>4.16024870967742</v>
      </c>
      <c r="J2" t="n">
        <v>2.011788387096774</v>
      </c>
      <c r="K2" t="n">
        <v>2.148460322580645</v>
      </c>
      <c r="L2" t="n">
        <v>0</v>
      </c>
      <c r="M2" t="n">
        <v>0</v>
      </c>
      <c r="N2" t="n">
        <v>0</v>
      </c>
      <c r="O2" t="n">
        <v>0</v>
      </c>
      <c r="P2" t="n">
        <v>4.16024870967742</v>
      </c>
      <c r="Q2" t="n">
        <v>3.816741935483871</v>
      </c>
      <c r="R2" t="n">
        <v>3.816741935483871</v>
      </c>
      <c r="S2" t="n">
        <v>3.671612903225806</v>
      </c>
      <c r="T2" t="n">
        <v>5.748096774193549</v>
      </c>
      <c r="U2" t="n">
        <v>1.457193548387097</v>
      </c>
      <c r="V2" t="n">
        <v>0.7947741935483871</v>
      </c>
      <c r="W2" t="n">
        <v>0.002580645161290323</v>
      </c>
      <c r="X2" t="n">
        <v>11.67425806451613</v>
      </c>
      <c r="Y2" t="n">
        <v>2.552483870967742</v>
      </c>
      <c r="Z2" t="n">
        <v>15.83450677419355</v>
      </c>
      <c r="AA2" t="n">
        <v>15.83450677419355</v>
      </c>
      <c r="AB2" t="n">
        <v>1.845677419354839</v>
      </c>
      <c r="AC2" t="n">
        <v>1.971064516129032</v>
      </c>
    </row>
    <row r="3">
      <c r="A3" s="11" t="n">
        <v>44228</v>
      </c>
      <c r="B3" t="inlineStr">
        <is>
          <t>Actual</t>
        </is>
      </c>
      <c r="C3" t="n">
        <v>1.297489285714286</v>
      </c>
      <c r="D3" t="n">
        <v>1.1861925</v>
      </c>
      <c r="E3" t="n">
        <v>0</v>
      </c>
      <c r="F3" t="n">
        <v>0</v>
      </c>
      <c r="G3" t="n">
        <v>0</v>
      </c>
      <c r="H3" t="n">
        <v>0</v>
      </c>
      <c r="I3" t="n">
        <v>2.483681785714286</v>
      </c>
      <c r="J3" t="n">
        <v>1.297489285714286</v>
      </c>
      <c r="K3" t="n">
        <v>1.1861925</v>
      </c>
      <c r="L3" t="n">
        <v>0</v>
      </c>
      <c r="M3" t="n">
        <v>0</v>
      </c>
      <c r="N3" t="n">
        <v>0</v>
      </c>
      <c r="O3" t="n">
        <v>0</v>
      </c>
      <c r="P3" t="n">
        <v>2.483681785714286</v>
      </c>
      <c r="Q3" t="n">
        <v>2.278607142857143</v>
      </c>
      <c r="R3" t="n">
        <v>2.278607142857143</v>
      </c>
      <c r="S3" t="n">
        <v>4.4955</v>
      </c>
      <c r="T3" t="n">
        <v>4.749571428571429</v>
      </c>
      <c r="U3" t="n">
        <v>1.7995</v>
      </c>
      <c r="V3" t="n">
        <v>0.9247857142857143</v>
      </c>
      <c r="W3" t="n">
        <v>0.002571428571428572</v>
      </c>
      <c r="X3" t="n">
        <v>11.97192857142857</v>
      </c>
      <c r="Y3" t="n">
        <v>2.252428571428571</v>
      </c>
      <c r="Z3" t="n">
        <v>14.45561035714286</v>
      </c>
      <c r="AA3" t="n">
        <v>14.45561035714286</v>
      </c>
      <c r="AB3" t="n">
        <v>1.190357142857143</v>
      </c>
      <c r="AC3" t="n">
        <v>1.08825</v>
      </c>
    </row>
    <row r="4">
      <c r="A4" s="11" t="n">
        <v>44256</v>
      </c>
      <c r="B4" t="inlineStr">
        <is>
          <t>Actual</t>
        </is>
      </c>
      <c r="C4" t="n">
        <v>2.200780322580645</v>
      </c>
      <c r="D4" t="n">
        <v>2.237137096774194</v>
      </c>
      <c r="E4" t="n">
        <v>0</v>
      </c>
      <c r="F4" t="n">
        <v>0</v>
      </c>
      <c r="G4" t="n">
        <v>0</v>
      </c>
      <c r="H4" t="n">
        <v>0</v>
      </c>
      <c r="I4" t="n">
        <v>4.437917419354839</v>
      </c>
      <c r="J4" t="n">
        <v>2.200780322580645</v>
      </c>
      <c r="K4" t="n">
        <v>2.237137096774194</v>
      </c>
      <c r="L4" t="n">
        <v>0</v>
      </c>
      <c r="M4" t="n">
        <v>0</v>
      </c>
      <c r="N4" t="n">
        <v>0</v>
      </c>
      <c r="O4" t="n">
        <v>0</v>
      </c>
      <c r="P4" t="n">
        <v>4.437917419354839</v>
      </c>
      <c r="Q4" t="n">
        <v>4.071483870967742</v>
      </c>
      <c r="R4" t="n">
        <v>4.071483870967742</v>
      </c>
      <c r="S4" t="n">
        <v>2.87358064516129</v>
      </c>
      <c r="T4" t="n">
        <v>4.849387096774193</v>
      </c>
      <c r="U4" t="n">
        <v>0.8512580645161291</v>
      </c>
      <c r="V4" t="n">
        <v>0.547741935483871</v>
      </c>
      <c r="W4" t="n">
        <v>0.002580645161290323</v>
      </c>
      <c r="X4" t="n">
        <v>9.124548387096773</v>
      </c>
      <c r="Y4" t="n">
        <v>2.643935483870968</v>
      </c>
      <c r="Z4" t="n">
        <v>13.56246580645161</v>
      </c>
      <c r="AA4" t="n">
        <v>13.56246580645161</v>
      </c>
      <c r="AB4" t="n">
        <v>2.019064516129032</v>
      </c>
      <c r="AC4" t="n">
        <v>2.05241935483871</v>
      </c>
    </row>
    <row r="5">
      <c r="A5" s="11" t="n">
        <v>44287</v>
      </c>
      <c r="B5" t="inlineStr">
        <is>
          <t>Actual</t>
        </is>
      </c>
      <c r="C5" t="n">
        <v>2.174949666666667</v>
      </c>
      <c r="D5" t="n">
        <v>2.202708333333333</v>
      </c>
      <c r="E5" t="n">
        <v>0</v>
      </c>
      <c r="F5" t="n">
        <v>0</v>
      </c>
      <c r="G5" t="n">
        <v>0</v>
      </c>
      <c r="H5" t="n">
        <v>0</v>
      </c>
      <c r="I5" t="n">
        <v>4.377658</v>
      </c>
      <c r="J5" t="n">
        <v>2.174949666666667</v>
      </c>
      <c r="K5" t="n">
        <v>2.202708333333333</v>
      </c>
      <c r="L5" t="n">
        <v>0</v>
      </c>
      <c r="M5" t="n">
        <v>0</v>
      </c>
      <c r="N5" t="n">
        <v>0</v>
      </c>
      <c r="O5" t="n">
        <v>0</v>
      </c>
      <c r="P5" t="n">
        <v>4.377658</v>
      </c>
      <c r="Q5" t="n">
        <v>4.0162</v>
      </c>
      <c r="R5" t="n">
        <v>4.0162</v>
      </c>
      <c r="S5" t="n">
        <v>3.746233333333333</v>
      </c>
      <c r="T5" t="n">
        <v>5.287166666666667</v>
      </c>
      <c r="U5" t="n">
        <v>0.4110333333333334</v>
      </c>
      <c r="V5" t="n">
        <v>0.4744333333333333</v>
      </c>
      <c r="W5" t="n">
        <v>0.002566666666666667</v>
      </c>
      <c r="X5" t="n">
        <v>9.921433333333335</v>
      </c>
      <c r="Y5" t="n">
        <v>2.670233333333333</v>
      </c>
      <c r="Z5" t="n">
        <v>14.29909133333333</v>
      </c>
      <c r="AA5" t="n">
        <v>14.29909133333333</v>
      </c>
      <c r="AB5" t="n">
        <v>1.995366666666667</v>
      </c>
      <c r="AC5" t="n">
        <v>2.020833333333333</v>
      </c>
    </row>
    <row r="6">
      <c r="A6" s="11" t="n">
        <v>44317</v>
      </c>
      <c r="B6" t="inlineStr">
        <is>
          <t>Actual</t>
        </is>
      </c>
      <c r="C6" t="n">
        <v>2.06635870967742</v>
      </c>
      <c r="D6" t="n">
        <v>2.222685806451613</v>
      </c>
      <c r="E6" t="n">
        <v>0</v>
      </c>
      <c r="F6" t="n">
        <v>0</v>
      </c>
      <c r="G6" t="n">
        <v>0</v>
      </c>
      <c r="H6" t="n">
        <v>0</v>
      </c>
      <c r="I6" t="n">
        <v>4.289044516129032</v>
      </c>
      <c r="J6" t="n">
        <v>2.06635870967742</v>
      </c>
      <c r="K6" t="n">
        <v>2.222685806451613</v>
      </c>
      <c r="L6" t="n">
        <v>0</v>
      </c>
      <c r="M6" t="n">
        <v>0</v>
      </c>
      <c r="N6" t="n">
        <v>0</v>
      </c>
      <c r="O6" t="n">
        <v>0</v>
      </c>
      <c r="P6" t="n">
        <v>4.289044516129032</v>
      </c>
      <c r="Q6" t="n">
        <v>3.934903225806452</v>
      </c>
      <c r="R6" t="n">
        <v>3.934903225806452</v>
      </c>
      <c r="S6" t="n">
        <v>3.843774193548387</v>
      </c>
      <c r="T6" t="n">
        <v>5.234774193548387</v>
      </c>
      <c r="U6" t="n">
        <v>0.2831612903225807</v>
      </c>
      <c r="V6" t="n">
        <v>0.3512903225806452</v>
      </c>
      <c r="W6" t="n">
        <v>0.002580645161290323</v>
      </c>
      <c r="X6" t="n">
        <v>9.715580645161289</v>
      </c>
      <c r="Y6" t="n">
        <v>2.766322580645161</v>
      </c>
      <c r="Z6" t="n">
        <v>14.00462516129032</v>
      </c>
      <c r="AA6" t="n">
        <v>14.00462516129032</v>
      </c>
      <c r="AB6" t="n">
        <v>1.895741935483871</v>
      </c>
      <c r="AC6" t="n">
        <v>2.039161290322581</v>
      </c>
    </row>
    <row r="7">
      <c r="A7" s="11" t="n">
        <v>44348</v>
      </c>
      <c r="B7" t="inlineStr">
        <is>
          <t>Actual</t>
        </is>
      </c>
      <c r="C7" t="n">
        <v>2.235808</v>
      </c>
      <c r="D7" t="n">
        <v>2.126917</v>
      </c>
      <c r="E7" t="n">
        <v>0</v>
      </c>
      <c r="F7" t="n">
        <v>0</v>
      </c>
      <c r="G7" t="n">
        <v>0</v>
      </c>
      <c r="H7" t="n">
        <v>0</v>
      </c>
      <c r="I7" t="n">
        <v>4.362725</v>
      </c>
      <c r="J7" t="n">
        <v>2.235808</v>
      </c>
      <c r="K7" t="n">
        <v>2.126917</v>
      </c>
      <c r="L7" t="n">
        <v>0</v>
      </c>
      <c r="M7" t="n">
        <v>0</v>
      </c>
      <c r="N7" t="n">
        <v>0</v>
      </c>
      <c r="O7" t="n">
        <v>0</v>
      </c>
      <c r="P7" t="n">
        <v>4.362725</v>
      </c>
      <c r="Q7" t="n">
        <v>4.0025</v>
      </c>
      <c r="R7" t="n">
        <v>4.0025</v>
      </c>
      <c r="S7" t="n">
        <v>5.751166666666667</v>
      </c>
      <c r="T7" t="n">
        <v>5.296266666666666</v>
      </c>
      <c r="U7" t="n">
        <v>0.2299</v>
      </c>
      <c r="V7" t="n">
        <v>0.3627</v>
      </c>
      <c r="W7" t="n">
        <v>0.002566666666666667</v>
      </c>
      <c r="X7" t="n">
        <v>11.6426</v>
      </c>
      <c r="Y7" t="n">
        <v>2.929933333333334</v>
      </c>
      <c r="Z7" t="n">
        <v>16.005325</v>
      </c>
      <c r="AA7" t="n">
        <v>16.005325</v>
      </c>
      <c r="AB7" t="n">
        <v>2.0512</v>
      </c>
      <c r="AC7" t="n">
        <v>1.9513</v>
      </c>
    </row>
    <row r="8">
      <c r="A8" s="11" t="n">
        <v>44378</v>
      </c>
      <c r="B8" t="inlineStr">
        <is>
          <t>Actual</t>
        </is>
      </c>
      <c r="C8" t="n">
        <v>2.12644935483871</v>
      </c>
      <c r="D8" t="n">
        <v>2.141357741935484</v>
      </c>
      <c r="E8" t="n">
        <v>0</v>
      </c>
      <c r="F8" t="n">
        <v>0</v>
      </c>
      <c r="G8" t="n">
        <v>0</v>
      </c>
      <c r="H8" t="n">
        <v>0</v>
      </c>
      <c r="I8" t="n">
        <v>4.267807096774193</v>
      </c>
      <c r="J8" t="n">
        <v>2.12644935483871</v>
      </c>
      <c r="K8" t="n">
        <v>2.141357741935484</v>
      </c>
      <c r="L8" t="n">
        <v>0</v>
      </c>
      <c r="M8" t="n">
        <v>0</v>
      </c>
      <c r="N8" t="n">
        <v>0</v>
      </c>
      <c r="O8" t="n">
        <v>0</v>
      </c>
      <c r="P8" t="n">
        <v>4.267807096774193</v>
      </c>
      <c r="Q8" t="n">
        <v>3.91541935483871</v>
      </c>
      <c r="R8" t="n">
        <v>3.91541935483871</v>
      </c>
      <c r="S8" t="n">
        <v>6.234870967741935</v>
      </c>
      <c r="T8" t="n">
        <v>5.42283870967742</v>
      </c>
      <c r="U8" t="n">
        <v>0.215258064516129</v>
      </c>
      <c r="V8" t="n">
        <v>0.3711612903225807</v>
      </c>
      <c r="W8" t="n">
        <v>0.002580645161290323</v>
      </c>
      <c r="X8" t="n">
        <v>12.24670967741936</v>
      </c>
      <c r="Y8" t="n">
        <v>2.876193548387096</v>
      </c>
      <c r="Z8" t="n">
        <v>16.51451677419355</v>
      </c>
      <c r="AA8" t="n">
        <v>16.51451677419355</v>
      </c>
      <c r="AB8" t="n">
        <v>1.950870967741935</v>
      </c>
      <c r="AC8" t="n">
        <v>1.964548387096774</v>
      </c>
    </row>
    <row r="9">
      <c r="A9" s="11" t="n">
        <v>44409</v>
      </c>
      <c r="B9" t="inlineStr">
        <is>
          <t>Actual</t>
        </is>
      </c>
      <c r="C9" t="n">
        <v>2.171174516129033</v>
      </c>
      <c r="D9" t="n">
        <v>2.307494838709678</v>
      </c>
      <c r="E9" t="n">
        <v>0</v>
      </c>
      <c r="F9" t="n">
        <v>0</v>
      </c>
      <c r="G9" t="n">
        <v>0</v>
      </c>
      <c r="H9" t="n">
        <v>0</v>
      </c>
      <c r="I9" t="n">
        <v>4.47866935483871</v>
      </c>
      <c r="J9" t="n">
        <v>2.171174516129033</v>
      </c>
      <c r="K9" t="n">
        <v>2.307494838709678</v>
      </c>
      <c r="L9" t="n">
        <v>0</v>
      </c>
      <c r="M9" t="n">
        <v>0</v>
      </c>
      <c r="N9" t="n">
        <v>0</v>
      </c>
      <c r="O9" t="n">
        <v>0</v>
      </c>
      <c r="P9" t="n">
        <v>4.47866935483871</v>
      </c>
      <c r="Q9" t="n">
        <v>4.108870967741936</v>
      </c>
      <c r="R9" t="n">
        <v>4.108870967741936</v>
      </c>
      <c r="S9" t="n">
        <v>6.327096774193548</v>
      </c>
      <c r="T9" t="n">
        <v>5.458516129032258</v>
      </c>
      <c r="U9" t="n">
        <v>0.1994193548387097</v>
      </c>
      <c r="V9" t="n">
        <v>0.3660322580645162</v>
      </c>
      <c r="W9" t="n">
        <v>0.002580645161290323</v>
      </c>
      <c r="X9" t="n">
        <v>12.35364516129032</v>
      </c>
      <c r="Y9" t="n">
        <v>2.802806451612903</v>
      </c>
      <c r="Z9" t="n">
        <v>16.83231451612903</v>
      </c>
      <c r="AA9" t="n">
        <v>16.83231451612903</v>
      </c>
      <c r="AB9" t="n">
        <v>1.991903225806452</v>
      </c>
      <c r="AC9" t="n">
        <v>2.116967741935484</v>
      </c>
    </row>
    <row r="10">
      <c r="A10" s="11" t="n">
        <v>44440</v>
      </c>
      <c r="B10" t="inlineStr">
        <is>
          <t>Actual</t>
        </is>
      </c>
      <c r="C10" t="n">
        <v>2.339576000000001</v>
      </c>
      <c r="D10" t="n">
        <v>1.764056</v>
      </c>
      <c r="E10" t="n">
        <v>0</v>
      </c>
      <c r="F10" t="n">
        <v>0</v>
      </c>
      <c r="G10" t="n">
        <v>0</v>
      </c>
      <c r="H10" t="n">
        <v>0</v>
      </c>
      <c r="I10" t="n">
        <v>4.103632000000001</v>
      </c>
      <c r="J10" t="n">
        <v>2.339576000000001</v>
      </c>
      <c r="K10" t="n">
        <v>1.764056</v>
      </c>
      <c r="L10" t="n">
        <v>0</v>
      </c>
      <c r="M10" t="n">
        <v>0</v>
      </c>
      <c r="N10" t="n">
        <v>0</v>
      </c>
      <c r="O10" t="n">
        <v>0</v>
      </c>
      <c r="P10" t="n">
        <v>4.103632000000001</v>
      </c>
      <c r="Q10" t="n">
        <v>3.764800000000001</v>
      </c>
      <c r="R10" t="n">
        <v>3.764800000000001</v>
      </c>
      <c r="S10" t="n">
        <v>5.298666666666667</v>
      </c>
      <c r="T10" t="n">
        <v>5.518066666666667</v>
      </c>
      <c r="U10" t="n">
        <v>0.2002666666666667</v>
      </c>
      <c r="V10" t="n">
        <v>0.3705666666666667</v>
      </c>
      <c r="W10" t="n">
        <v>0.002566666666666667</v>
      </c>
      <c r="X10" t="n">
        <v>11.39013333333333</v>
      </c>
      <c r="Y10" t="n">
        <v>2.6138</v>
      </c>
      <c r="Z10" t="n">
        <v>15.49376533333333</v>
      </c>
      <c r="AA10" t="n">
        <v>15.49376533333333</v>
      </c>
      <c r="AB10" t="n">
        <v>2.1464</v>
      </c>
      <c r="AC10" t="n">
        <v>1.6184</v>
      </c>
    </row>
    <row r="11">
      <c r="A11" s="11" t="n">
        <v>44470</v>
      </c>
      <c r="B11" t="inlineStr">
        <is>
          <t>Actual</t>
        </is>
      </c>
      <c r="C11" t="n">
        <v>2.279682258064516</v>
      </c>
      <c r="D11" t="n">
        <v>2.111013548387097</v>
      </c>
      <c r="E11" t="n">
        <v>0</v>
      </c>
      <c r="F11" t="n">
        <v>0</v>
      </c>
      <c r="G11" t="n">
        <v>0</v>
      </c>
      <c r="H11" t="n">
        <v>0</v>
      </c>
      <c r="I11" t="n">
        <v>4.390695806451613</v>
      </c>
      <c r="J11" t="n">
        <v>2.279682258064516</v>
      </c>
      <c r="K11" t="n">
        <v>2.111013548387097</v>
      </c>
      <c r="L11" t="n">
        <v>0</v>
      </c>
      <c r="M11" t="n">
        <v>0</v>
      </c>
      <c r="N11" t="n">
        <v>0</v>
      </c>
      <c r="O11" t="n">
        <v>0</v>
      </c>
      <c r="P11" t="n">
        <v>4.390695806451613</v>
      </c>
      <c r="Q11" t="n">
        <v>4.02816129032258</v>
      </c>
      <c r="R11" t="n">
        <v>4.02816129032258</v>
      </c>
      <c r="S11" t="n">
        <v>4.412612903225807</v>
      </c>
      <c r="T11" t="n">
        <v>5.262677419354839</v>
      </c>
      <c r="U11" t="n">
        <v>0.2569354838709678</v>
      </c>
      <c r="V11" t="n">
        <v>0.3873548387096775</v>
      </c>
      <c r="W11" t="n">
        <v>0.002580645161290323</v>
      </c>
      <c r="X11" t="n">
        <v>10.32216129032258</v>
      </c>
      <c r="Y11" t="n">
        <v>2.767870967741935</v>
      </c>
      <c r="Z11" t="n">
        <v>14.7128570967742</v>
      </c>
      <c r="AA11" t="n">
        <v>14.7128570967742</v>
      </c>
      <c r="AB11" t="n">
        <v>2.091451612903226</v>
      </c>
      <c r="AC11" t="n">
        <v>1.936709677419355</v>
      </c>
    </row>
    <row r="12">
      <c r="A12" s="11" t="n">
        <v>44501</v>
      </c>
      <c r="B12" t="inlineStr">
        <is>
          <t>Actual</t>
        </is>
      </c>
      <c r="C12" t="n">
        <v>2.306985</v>
      </c>
      <c r="D12" t="n">
        <v>1.596523</v>
      </c>
      <c r="E12" t="n">
        <v>0</v>
      </c>
      <c r="F12" t="n">
        <v>0</v>
      </c>
      <c r="G12" t="n">
        <v>0</v>
      </c>
      <c r="H12" t="n">
        <v>0</v>
      </c>
      <c r="I12" t="n">
        <v>3.903508</v>
      </c>
      <c r="J12" t="n">
        <v>2.306985</v>
      </c>
      <c r="K12" t="n">
        <v>1.596523</v>
      </c>
      <c r="L12" t="n">
        <v>0</v>
      </c>
      <c r="M12" t="n">
        <v>0</v>
      </c>
      <c r="N12" t="n">
        <v>0</v>
      </c>
      <c r="O12" t="n">
        <v>0</v>
      </c>
      <c r="P12" t="n">
        <v>3.903508</v>
      </c>
      <c r="Q12" t="n">
        <v>3.5812</v>
      </c>
      <c r="R12" t="n">
        <v>3.5812</v>
      </c>
      <c r="S12" t="n">
        <v>3.4576</v>
      </c>
      <c r="T12" t="n">
        <v>5.6497</v>
      </c>
      <c r="U12" t="n">
        <v>0.5384333333333333</v>
      </c>
      <c r="V12" t="n">
        <v>0.5129333333333332</v>
      </c>
      <c r="W12" t="n">
        <v>0.002566666666666667</v>
      </c>
      <c r="X12" t="n">
        <v>10.16123333333333</v>
      </c>
      <c r="Y12" t="n">
        <v>2.557566666666667</v>
      </c>
      <c r="Z12" t="n">
        <v>14.06474133333333</v>
      </c>
      <c r="AA12" t="n">
        <v>14.06474133333333</v>
      </c>
      <c r="AB12" t="n">
        <v>2.1165</v>
      </c>
      <c r="AC12" t="n">
        <v>1.4647</v>
      </c>
    </row>
    <row r="13">
      <c r="A13" s="11" t="n">
        <v>44531</v>
      </c>
      <c r="B13" t="inlineStr">
        <is>
          <t>Actual</t>
        </is>
      </c>
      <c r="C13" t="n">
        <v>2.249443548387097</v>
      </c>
      <c r="D13" t="n">
        <v>2.365053870967742</v>
      </c>
      <c r="E13" t="n">
        <v>0</v>
      </c>
      <c r="F13" t="n">
        <v>0</v>
      </c>
      <c r="G13" t="n">
        <v>0</v>
      </c>
      <c r="H13" t="n">
        <v>0</v>
      </c>
      <c r="I13" t="n">
        <v>4.614497419354839</v>
      </c>
      <c r="J13" t="n">
        <v>2.249443548387097</v>
      </c>
      <c r="K13" t="n">
        <v>2.365053870967742</v>
      </c>
      <c r="L13" t="n">
        <v>0</v>
      </c>
      <c r="M13" t="n">
        <v>0</v>
      </c>
      <c r="N13" t="n">
        <v>0</v>
      </c>
      <c r="O13" t="n">
        <v>0</v>
      </c>
      <c r="P13" t="n">
        <v>4.614497419354839</v>
      </c>
      <c r="Q13" t="n">
        <v>4.233483870967742</v>
      </c>
      <c r="R13" t="n">
        <v>4.233483870967742</v>
      </c>
      <c r="S13" t="n">
        <v>3.378290322580646</v>
      </c>
      <c r="T13" t="n">
        <v>5.783322580645161</v>
      </c>
      <c r="U13" t="n">
        <v>0.5891612903225806</v>
      </c>
      <c r="V13" t="n">
        <v>0.5320967741935484</v>
      </c>
      <c r="W13" t="n">
        <v>0.002580645161290323</v>
      </c>
      <c r="X13" t="n">
        <v>10.28545161290323</v>
      </c>
      <c r="Y13" t="n">
        <v>2.405741935483871</v>
      </c>
      <c r="Z13" t="n">
        <v>14.89994903225806</v>
      </c>
      <c r="AA13" t="n">
        <v>14.89994903225806</v>
      </c>
      <c r="AB13" t="n">
        <v>2.063709677419355</v>
      </c>
      <c r="AC13" t="n">
        <v>2.169774193548387</v>
      </c>
    </row>
    <row r="14">
      <c r="A14" s="11" t="n">
        <v>44562</v>
      </c>
      <c r="B14" t="inlineStr">
        <is>
          <t>Actual</t>
        </is>
      </c>
      <c r="C14" t="n">
        <v>2.347156774193548</v>
      </c>
      <c r="D14" t="n">
        <v>2.248212903225807</v>
      </c>
      <c r="E14" t="n">
        <v>0</v>
      </c>
      <c r="F14" t="n">
        <v>0</v>
      </c>
      <c r="G14" t="n">
        <v>0</v>
      </c>
      <c r="H14" t="n">
        <v>0</v>
      </c>
      <c r="I14" t="n">
        <v>4.595369677419355</v>
      </c>
      <c r="J14" t="n">
        <v>2.347156774193548</v>
      </c>
      <c r="K14" t="n">
        <v>2.248212903225807</v>
      </c>
      <c r="L14" t="n">
        <v>0</v>
      </c>
      <c r="M14" t="n">
        <v>0</v>
      </c>
      <c r="N14" t="n">
        <v>0</v>
      </c>
      <c r="O14" t="n">
        <v>0</v>
      </c>
      <c r="P14" t="n">
        <v>4.595369677419355</v>
      </c>
      <c r="Q14" t="n">
        <v>4.215935483870967</v>
      </c>
      <c r="R14" t="n">
        <v>4.215935483870967</v>
      </c>
      <c r="S14" t="n">
        <v>4.094129032258064</v>
      </c>
      <c r="T14" t="n">
        <v>5.599161290322581</v>
      </c>
      <c r="U14" t="n">
        <v>1.307903225806452</v>
      </c>
      <c r="V14" t="n">
        <v>0.7509677419354839</v>
      </c>
      <c r="W14" t="n">
        <v>0.003483870967741936</v>
      </c>
      <c r="X14" t="n">
        <v>11.75564516129032</v>
      </c>
      <c r="Y14" t="n">
        <v>2.562612903225807</v>
      </c>
      <c r="Z14" t="n">
        <v>16.35101483870968</v>
      </c>
      <c r="AA14" t="n">
        <v>16.35101483870968</v>
      </c>
      <c r="AB14" t="n">
        <v>2.153354838709677</v>
      </c>
      <c r="AC14" t="n">
        <v>2.06258064516129</v>
      </c>
    </row>
    <row r="15">
      <c r="A15" s="11" t="n">
        <v>44593</v>
      </c>
      <c r="B15" t="inlineStr">
        <is>
          <t>Actual</t>
        </is>
      </c>
      <c r="C15" t="n">
        <v>2.654033214285715</v>
      </c>
      <c r="D15" t="n">
        <v>2.043127142857143</v>
      </c>
      <c r="E15" t="n">
        <v>0</v>
      </c>
      <c r="F15" t="n">
        <v>0</v>
      </c>
      <c r="G15" t="n">
        <v>0</v>
      </c>
      <c r="H15" t="n">
        <v>0</v>
      </c>
      <c r="I15" t="n">
        <v>4.697160357142858</v>
      </c>
      <c r="J15" t="n">
        <v>2.654033214285715</v>
      </c>
      <c r="K15" t="n">
        <v>2.043127142857143</v>
      </c>
      <c r="L15" t="n">
        <v>0</v>
      </c>
      <c r="M15" t="n">
        <v>0</v>
      </c>
      <c r="N15" t="n">
        <v>0</v>
      </c>
      <c r="O15" t="n">
        <v>0</v>
      </c>
      <c r="P15" t="n">
        <v>4.697160357142858</v>
      </c>
      <c r="Q15" t="n">
        <v>4.309321428571429</v>
      </c>
      <c r="R15" t="n">
        <v>4.309321428571429</v>
      </c>
      <c r="S15" t="n">
        <v>4.156392857142857</v>
      </c>
      <c r="T15" t="n">
        <v>5.527285714285715</v>
      </c>
      <c r="U15" t="n">
        <v>1.646</v>
      </c>
      <c r="V15" t="n">
        <v>0.8936785714285714</v>
      </c>
      <c r="W15" t="n">
        <v>0.0035</v>
      </c>
      <c r="X15" t="n">
        <v>12.22685714285715</v>
      </c>
      <c r="Y15" t="n">
        <v>2.727035714285714</v>
      </c>
      <c r="Z15" t="n">
        <v>16.92401750000001</v>
      </c>
      <c r="AA15" t="n">
        <v>16.92401750000001</v>
      </c>
      <c r="AB15" t="n">
        <v>2.434892857142857</v>
      </c>
      <c r="AC15" t="n">
        <v>1.874428571428571</v>
      </c>
    </row>
    <row r="16">
      <c r="A16" s="11" t="n">
        <v>44621</v>
      </c>
      <c r="B16" t="inlineStr">
        <is>
          <t>Actual</t>
        </is>
      </c>
      <c r="C16" t="n">
        <v>2.114846129032258</v>
      </c>
      <c r="D16" t="n">
        <v>2.267657096774193</v>
      </c>
      <c r="E16" t="n">
        <v>0</v>
      </c>
      <c r="F16" t="n">
        <v>0</v>
      </c>
      <c r="G16" t="n">
        <v>0</v>
      </c>
      <c r="H16" t="n">
        <v>0</v>
      </c>
      <c r="I16" t="n">
        <v>4.382503225806452</v>
      </c>
      <c r="J16" t="n">
        <v>2.114846129032258</v>
      </c>
      <c r="K16" t="n">
        <v>2.267657096774193</v>
      </c>
      <c r="L16" t="n">
        <v>0</v>
      </c>
      <c r="M16" t="n">
        <v>0</v>
      </c>
      <c r="N16" t="n">
        <v>0</v>
      </c>
      <c r="O16" t="n">
        <v>0</v>
      </c>
      <c r="P16" t="n">
        <v>4.382503225806452</v>
      </c>
      <c r="Q16" t="n">
        <v>4.020645161290322</v>
      </c>
      <c r="R16" t="n">
        <v>4.020645161290322</v>
      </c>
      <c r="S16" t="n">
        <v>2.959516129032258</v>
      </c>
      <c r="T16" t="n">
        <v>5.511225806451613</v>
      </c>
      <c r="U16" t="n">
        <v>0.9952903225806451</v>
      </c>
      <c r="V16" t="n">
        <v>0.6364838709677419</v>
      </c>
      <c r="W16" t="n">
        <v>0.003483870967741936</v>
      </c>
      <c r="X16" t="n">
        <v>10.106</v>
      </c>
      <c r="Y16" t="n">
        <v>2.667935483870968</v>
      </c>
      <c r="Z16" t="n">
        <v>14.48850322580645</v>
      </c>
      <c r="AA16" t="n">
        <v>14.48850322580645</v>
      </c>
      <c r="AB16" t="n">
        <v>1.940225806451613</v>
      </c>
      <c r="AC16" t="n">
        <v>2.08041935483871</v>
      </c>
    </row>
    <row r="17">
      <c r="A17" s="11" t="n">
        <v>44652</v>
      </c>
      <c r="B17" t="inlineStr">
        <is>
          <t>Actual</t>
        </is>
      </c>
      <c r="C17" t="n">
        <v>2.117107</v>
      </c>
      <c r="D17" t="n">
        <v>1.427355</v>
      </c>
      <c r="E17" t="n">
        <v>0</v>
      </c>
      <c r="F17" t="n">
        <v>0</v>
      </c>
      <c r="G17" t="n">
        <v>0</v>
      </c>
      <c r="H17" t="n">
        <v>0</v>
      </c>
      <c r="I17" t="n">
        <v>3.544462</v>
      </c>
      <c r="J17" t="n">
        <v>2.117107</v>
      </c>
      <c r="K17" t="n">
        <v>1.427355</v>
      </c>
      <c r="L17" t="n">
        <v>0</v>
      </c>
      <c r="M17" t="n">
        <v>0</v>
      </c>
      <c r="N17" t="n">
        <v>0</v>
      </c>
      <c r="O17" t="n">
        <v>0</v>
      </c>
      <c r="P17" t="n">
        <v>3.544462</v>
      </c>
      <c r="Q17" t="n">
        <v>3.2518</v>
      </c>
      <c r="R17" t="n">
        <v>3.2518</v>
      </c>
      <c r="S17" t="n">
        <v>3.282933333333333</v>
      </c>
      <c r="T17" t="n">
        <v>5.453966666666666</v>
      </c>
      <c r="U17" t="n">
        <v>0.4558</v>
      </c>
      <c r="V17" t="n">
        <v>0.4546666666666667</v>
      </c>
      <c r="W17" t="n">
        <v>0.0035</v>
      </c>
      <c r="X17" t="n">
        <v>9.650866666666666</v>
      </c>
      <c r="Y17" t="n">
        <v>2.7244</v>
      </c>
      <c r="Z17" t="n">
        <v>13.19532866666666</v>
      </c>
      <c r="AA17" t="n">
        <v>13.19532866666666</v>
      </c>
      <c r="AB17" t="n">
        <v>1.9423</v>
      </c>
      <c r="AC17" t="n">
        <v>1.3095</v>
      </c>
    </row>
    <row r="18">
      <c r="A18" s="11" t="n">
        <v>44682</v>
      </c>
      <c r="B18" t="inlineStr">
        <is>
          <t>Actual</t>
        </is>
      </c>
      <c r="C18" t="n">
        <v>2.179402258064516</v>
      </c>
      <c r="D18" t="n">
        <v>2.232109032258065</v>
      </c>
      <c r="E18" t="n">
        <v>0</v>
      </c>
      <c r="F18" t="n">
        <v>0</v>
      </c>
      <c r="G18" t="n">
        <v>0</v>
      </c>
      <c r="H18" t="n">
        <v>0</v>
      </c>
      <c r="I18" t="n">
        <v>4.411511290322581</v>
      </c>
      <c r="J18" t="n">
        <v>2.179402258064516</v>
      </c>
      <c r="K18" t="n">
        <v>2.232109032258065</v>
      </c>
      <c r="L18" t="n">
        <v>0</v>
      </c>
      <c r="M18" t="n">
        <v>0</v>
      </c>
      <c r="N18" t="n">
        <v>0</v>
      </c>
      <c r="O18" t="n">
        <v>0</v>
      </c>
      <c r="P18" t="n">
        <v>4.411511290322581</v>
      </c>
      <c r="Q18" t="n">
        <v>4.047258064516129</v>
      </c>
      <c r="R18" t="n">
        <v>4.047258064516129</v>
      </c>
      <c r="S18" t="n">
        <v>4.855322580645161</v>
      </c>
      <c r="T18" t="n">
        <v>5.277774193548387</v>
      </c>
      <c r="U18" t="n">
        <v>0.2358387096774194</v>
      </c>
      <c r="V18" t="n">
        <v>0.3918387096774194</v>
      </c>
      <c r="W18" t="n">
        <v>0.003483870967741936</v>
      </c>
      <c r="X18" t="n">
        <v>10.76425806451613</v>
      </c>
      <c r="Y18" t="n">
        <v>2.805161290322581</v>
      </c>
      <c r="Z18" t="n">
        <v>15.17576935483871</v>
      </c>
      <c r="AA18" t="n">
        <v>15.17576935483871</v>
      </c>
      <c r="AB18" t="n">
        <v>1.999451612903226</v>
      </c>
      <c r="AC18" t="n">
        <v>2.047806451612903</v>
      </c>
    </row>
    <row r="19">
      <c r="A19" s="11" t="n">
        <v>44713</v>
      </c>
      <c r="B19" t="inlineStr">
        <is>
          <t>Actual</t>
        </is>
      </c>
      <c r="C19" t="n">
        <v>2.315196333333333</v>
      </c>
      <c r="D19" t="n">
        <v>0.6294023333333333</v>
      </c>
      <c r="E19" t="n">
        <v>0</v>
      </c>
      <c r="F19" t="n">
        <v>0</v>
      </c>
      <c r="G19" t="n">
        <v>0</v>
      </c>
      <c r="H19" t="n">
        <v>0</v>
      </c>
      <c r="I19" t="n">
        <v>2.944598666666666</v>
      </c>
      <c r="J19" t="n">
        <v>2.315196333333333</v>
      </c>
      <c r="K19" t="n">
        <v>0.6294023333333333</v>
      </c>
      <c r="L19" t="n">
        <v>0</v>
      </c>
      <c r="M19" t="n">
        <v>0</v>
      </c>
      <c r="N19" t="n">
        <v>0</v>
      </c>
      <c r="O19" t="n">
        <v>0</v>
      </c>
      <c r="P19" t="n">
        <v>2.944598666666666</v>
      </c>
      <c r="Q19" t="n">
        <v>2.701466666666666</v>
      </c>
      <c r="R19" t="n">
        <v>2.701466666666666</v>
      </c>
      <c r="S19" t="n">
        <v>6.1464</v>
      </c>
      <c r="T19" t="n">
        <v>5.399933333333333</v>
      </c>
      <c r="U19" t="n">
        <v>0.2081</v>
      </c>
      <c r="V19" t="n">
        <v>0.3769333333333333</v>
      </c>
      <c r="W19" t="n">
        <v>0.0035</v>
      </c>
      <c r="X19" t="n">
        <v>12.13486666666667</v>
      </c>
      <c r="Y19" t="n">
        <v>2.674066666666667</v>
      </c>
      <c r="Z19" t="n">
        <v>15.07946533333333</v>
      </c>
      <c r="AA19" t="n">
        <v>15.07946533333333</v>
      </c>
      <c r="AB19" t="n">
        <v>2.124033333333333</v>
      </c>
      <c r="AC19" t="n">
        <v>0.5774333333333332</v>
      </c>
    </row>
    <row r="20">
      <c r="A20" s="11" t="n">
        <v>44743</v>
      </c>
      <c r="B20" t="inlineStr">
        <is>
          <t>Actual</t>
        </is>
      </c>
      <c r="C20" t="n">
        <v>2.218009354838709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2.218009354838709</v>
      </c>
      <c r="J20" t="n">
        <v>2.218009354838709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2.218009354838709</v>
      </c>
      <c r="Q20" t="n">
        <v>2.034870967741935</v>
      </c>
      <c r="R20" t="n">
        <v>2.034870967741935</v>
      </c>
      <c r="S20" t="n">
        <v>7.247</v>
      </c>
      <c r="T20" t="n">
        <v>5.349774193548387</v>
      </c>
      <c r="U20" t="n">
        <v>0.198</v>
      </c>
      <c r="V20" t="n">
        <v>0.3811935483870968</v>
      </c>
      <c r="W20" t="n">
        <v>0.003483870967741936</v>
      </c>
      <c r="X20" t="n">
        <v>13.17945161290323</v>
      </c>
      <c r="Y20" t="n">
        <v>2.817677419354839</v>
      </c>
      <c r="Z20" t="n">
        <v>15.39746096774194</v>
      </c>
      <c r="AA20" t="n">
        <v>15.39746096774194</v>
      </c>
      <c r="AB20" t="n">
        <v>2.034870967741935</v>
      </c>
    </row>
    <row r="21">
      <c r="A21" s="11" t="n">
        <v>44774</v>
      </c>
      <c r="B21" t="inlineStr">
        <is>
          <t>Actual</t>
        </is>
      </c>
      <c r="C21" t="n">
        <v>2.229507096774194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2.229507096774194</v>
      </c>
      <c r="J21" t="n">
        <v>2.229507096774194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2.229507096774194</v>
      </c>
      <c r="Q21" t="n">
        <v>2.04541935483871</v>
      </c>
      <c r="R21" t="n">
        <v>2.04541935483871</v>
      </c>
      <c r="S21" t="n">
        <v>7.078322580645161</v>
      </c>
      <c r="T21" t="n">
        <v>5.306225806451613</v>
      </c>
      <c r="U21" t="n">
        <v>0.1731290322580645</v>
      </c>
      <c r="V21" t="n">
        <v>0.3629354838709677</v>
      </c>
      <c r="W21" t="n">
        <v>0.003483870967741936</v>
      </c>
      <c r="X21" t="n">
        <v>12.92409677419355</v>
      </c>
      <c r="Y21" t="n">
        <v>2.790903225806451</v>
      </c>
      <c r="Z21" t="n">
        <v>15.15360387096774</v>
      </c>
      <c r="AA21" t="n">
        <v>15.15360387096774</v>
      </c>
      <c r="AB21" t="n">
        <v>2.04541935483871</v>
      </c>
    </row>
    <row r="22">
      <c r="A22" s="11" t="n">
        <v>44805</v>
      </c>
      <c r="B22" t="inlineStr">
        <is>
          <t>Actual</t>
        </is>
      </c>
      <c r="C22" t="n">
        <v>2.173133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2.173133</v>
      </c>
      <c r="J22" t="n">
        <v>2.173133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2.173133</v>
      </c>
      <c r="Q22" t="n">
        <v>1.9937</v>
      </c>
      <c r="R22" t="n">
        <v>1.9937</v>
      </c>
      <c r="S22" t="n">
        <v>6.03</v>
      </c>
      <c r="T22" t="n">
        <v>5.1567</v>
      </c>
      <c r="U22" t="n">
        <v>0.1889666666666667</v>
      </c>
      <c r="V22" t="n">
        <v>0.3755333333333334</v>
      </c>
      <c r="W22" t="n">
        <v>0.0035</v>
      </c>
      <c r="X22" t="n">
        <v>11.7547</v>
      </c>
      <c r="Y22" t="n">
        <v>2.759933333333333</v>
      </c>
      <c r="Z22" t="n">
        <v>13.927833</v>
      </c>
      <c r="AA22" t="n">
        <v>13.927833</v>
      </c>
      <c r="AB22" t="n">
        <v>1.9937</v>
      </c>
    </row>
    <row r="23">
      <c r="A23" s="11" t="n">
        <v>44835</v>
      </c>
      <c r="B23" t="inlineStr">
        <is>
          <t>Actual</t>
        </is>
      </c>
      <c r="C23" t="n">
        <v>2.348281935483871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2.348281935483871</v>
      </c>
      <c r="J23" t="n">
        <v>2.348281935483871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2.348281935483871</v>
      </c>
      <c r="Q23" t="n">
        <v>2.154387096774194</v>
      </c>
      <c r="R23" t="n">
        <v>2.154387096774194</v>
      </c>
      <c r="S23" t="n">
        <v>4.475677419354839</v>
      </c>
      <c r="T23" t="n">
        <v>5.268645161290323</v>
      </c>
      <c r="U23" t="n">
        <v>0.2959032258064516</v>
      </c>
      <c r="V23" t="n">
        <v>0.4337741935483871</v>
      </c>
      <c r="W23" t="n">
        <v>0.003483870967741936</v>
      </c>
      <c r="X23" t="n">
        <v>10.47748387096774</v>
      </c>
      <c r="Y23" t="n">
        <v>2.740677419354839</v>
      </c>
      <c r="Z23" t="n">
        <v>12.82576580645161</v>
      </c>
      <c r="AA23" t="n">
        <v>12.82576580645161</v>
      </c>
      <c r="AB23" t="n">
        <v>2.154387096774194</v>
      </c>
    </row>
    <row r="24">
      <c r="A24" s="11" t="n">
        <v>44866</v>
      </c>
      <c r="B24" t="inlineStr">
        <is>
          <t>Actual</t>
        </is>
      </c>
      <c r="C24" t="n">
        <v>2.072017333333334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2.072017333333334</v>
      </c>
      <c r="J24" t="n">
        <v>2.072017333333334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2.072017333333334</v>
      </c>
      <c r="Q24" t="n">
        <v>1.900933333333333</v>
      </c>
      <c r="R24" t="n">
        <v>1.900933333333333</v>
      </c>
      <c r="S24" t="n">
        <v>4.325966666666666</v>
      </c>
      <c r="T24" t="n">
        <v>5.461066666666667</v>
      </c>
      <c r="U24" t="n">
        <v>0.8497333333333333</v>
      </c>
      <c r="V24" t="n">
        <v>0.7006</v>
      </c>
      <c r="W24" t="n">
        <v>0.0035</v>
      </c>
      <c r="X24" t="n">
        <v>11.34086666666667</v>
      </c>
      <c r="Y24" t="n">
        <v>2.750966666666667</v>
      </c>
      <c r="Z24" t="n">
        <v>13.412884</v>
      </c>
      <c r="AA24" t="n">
        <v>13.412884</v>
      </c>
      <c r="AB24" t="n">
        <v>1.900933333333333</v>
      </c>
    </row>
    <row r="25">
      <c r="A25" s="11" t="n">
        <v>44896</v>
      </c>
      <c r="B25" t="inlineStr">
        <is>
          <t>Actual</t>
        </is>
      </c>
      <c r="C25" t="n">
        <v>2.254506774193549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2.254506774193549</v>
      </c>
      <c r="J25" t="n">
        <v>2.254506774193549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2.254506774193549</v>
      </c>
      <c r="Q25" t="n">
        <v>2.068354838709678</v>
      </c>
      <c r="R25" t="n">
        <v>2.068354838709678</v>
      </c>
      <c r="S25" t="n">
        <v>4.625387096774193</v>
      </c>
      <c r="T25" t="n">
        <v>5.226</v>
      </c>
      <c r="U25" t="n">
        <v>1.168129032258065</v>
      </c>
      <c r="V25" t="n">
        <v>0.7404838709677419</v>
      </c>
      <c r="W25" t="n">
        <v>0.003483870967741936</v>
      </c>
      <c r="X25" t="n">
        <v>11.76348387096774</v>
      </c>
      <c r="Y25" t="n">
        <v>2.523516129032258</v>
      </c>
      <c r="Z25" t="n">
        <v>14.01799064516129</v>
      </c>
      <c r="AA25" t="n">
        <v>14.01799064516129</v>
      </c>
      <c r="AB25" t="n">
        <v>2.068354838709678</v>
      </c>
    </row>
    <row r="26">
      <c r="A26" s="11" t="n">
        <v>44927</v>
      </c>
      <c r="B26" t="inlineStr">
        <is>
          <t>Actual</t>
        </is>
      </c>
      <c r="C26" t="n">
        <v>2.199971612903226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2.199971612903226</v>
      </c>
      <c r="J26" t="n">
        <v>2.199971612903226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2.199971612903226</v>
      </c>
      <c r="Q26" t="n">
        <v>2.018322580645161</v>
      </c>
      <c r="R26" t="n">
        <v>2.018322580645161</v>
      </c>
      <c r="S26" t="n">
        <v>4.131806451612904</v>
      </c>
      <c r="T26" t="n">
        <v>5.51583870967742</v>
      </c>
      <c r="U26" t="n">
        <v>1.208774193548387</v>
      </c>
      <c r="V26" t="n">
        <v>0.7606774193548387</v>
      </c>
      <c r="W26" t="n">
        <v>0.002548387096774193</v>
      </c>
      <c r="X26" t="n">
        <v>11.61964516129032</v>
      </c>
      <c r="Y26" t="n">
        <v>2.707741935483871</v>
      </c>
      <c r="Z26" t="n">
        <v>13.81961677419355</v>
      </c>
      <c r="AA26" t="n">
        <v>13.81961677419355</v>
      </c>
      <c r="AB26" t="n">
        <v>2.018322580645161</v>
      </c>
    </row>
    <row r="27">
      <c r="A27" s="11" t="n">
        <v>44958</v>
      </c>
      <c r="B27" t="inlineStr">
        <is>
          <t>Actual</t>
        </is>
      </c>
      <c r="C27" t="n">
        <v>2.495866428571429</v>
      </c>
      <c r="D27" t="n">
        <v>0.4498585714285714</v>
      </c>
      <c r="E27" t="n">
        <v>0</v>
      </c>
      <c r="F27" t="n">
        <v>0</v>
      </c>
      <c r="G27" t="n">
        <v>0</v>
      </c>
      <c r="H27" t="n">
        <v>0</v>
      </c>
      <c r="I27" t="n">
        <v>2.945725</v>
      </c>
      <c r="J27" t="n">
        <v>2.495866428571429</v>
      </c>
      <c r="K27" t="n">
        <v>0.4498585714285714</v>
      </c>
      <c r="L27" t="n">
        <v>0</v>
      </c>
      <c r="M27" t="n">
        <v>0</v>
      </c>
      <c r="N27" t="n">
        <v>0</v>
      </c>
      <c r="O27" t="n">
        <v>0</v>
      </c>
      <c r="P27" t="n">
        <v>2.945725</v>
      </c>
      <c r="Q27" t="n">
        <v>2.7025</v>
      </c>
      <c r="R27" t="n">
        <v>2.7025</v>
      </c>
      <c r="S27" t="n">
        <v>4.249357142857143</v>
      </c>
      <c r="T27" t="n">
        <v>5.526035714285714</v>
      </c>
      <c r="U27" t="n">
        <v>1.250571428571429</v>
      </c>
      <c r="V27" t="n">
        <v>0.8006071428571429</v>
      </c>
      <c r="W27" t="n">
        <v>0.002535714285714286</v>
      </c>
      <c r="X27" t="n">
        <v>11.82910714285714</v>
      </c>
      <c r="Y27" t="n">
        <v>2.707571428571429</v>
      </c>
      <c r="Z27" t="n">
        <v>14.77483214285714</v>
      </c>
      <c r="AA27" t="n">
        <v>14.77483214285714</v>
      </c>
      <c r="AB27" t="n">
        <v>2.289785714285714</v>
      </c>
      <c r="AC27" t="n">
        <v>0.4127142857142857</v>
      </c>
    </row>
    <row r="28">
      <c r="A28" s="11" t="n">
        <v>44986</v>
      </c>
      <c r="B28" t="inlineStr">
        <is>
          <t>Actual</t>
        </is>
      </c>
      <c r="C28" t="n">
        <v>2.36079935483871</v>
      </c>
      <c r="D28" t="n">
        <v>1.01900935483871</v>
      </c>
      <c r="E28" t="n">
        <v>0</v>
      </c>
      <c r="F28" t="n">
        <v>0</v>
      </c>
      <c r="G28" t="n">
        <v>0</v>
      </c>
      <c r="H28" t="n">
        <v>0</v>
      </c>
      <c r="I28" t="n">
        <v>3.37980870967742</v>
      </c>
      <c r="J28" t="n">
        <v>2.36079935483871</v>
      </c>
      <c r="K28" t="n">
        <v>1.01900935483871</v>
      </c>
      <c r="L28" t="n">
        <v>0</v>
      </c>
      <c r="M28" t="n">
        <v>0</v>
      </c>
      <c r="N28" t="n">
        <v>0</v>
      </c>
      <c r="O28" t="n">
        <v>0</v>
      </c>
      <c r="P28" t="n">
        <v>3.37980870967742</v>
      </c>
      <c r="Q28" t="n">
        <v>3.100741935483871</v>
      </c>
      <c r="R28" t="n">
        <v>3.100741935483871</v>
      </c>
      <c r="S28" t="n">
        <v>3.893903225806452</v>
      </c>
      <c r="T28" t="n">
        <v>5.402161290322581</v>
      </c>
      <c r="U28" t="n">
        <v>0.694516129032258</v>
      </c>
      <c r="V28" t="n">
        <v>0.615225806451613</v>
      </c>
      <c r="W28" t="n">
        <v>0.002548387096774193</v>
      </c>
      <c r="X28" t="n">
        <v>10.60835483870968</v>
      </c>
      <c r="Y28" t="n">
        <v>2.856064516129032</v>
      </c>
      <c r="Z28" t="n">
        <v>13.9881635483871</v>
      </c>
      <c r="AA28" t="n">
        <v>13.9881635483871</v>
      </c>
      <c r="AB28" t="n">
        <v>2.165870967741935</v>
      </c>
      <c r="AC28" t="n">
        <v>0.9348709677419355</v>
      </c>
    </row>
    <row r="29">
      <c r="A29" s="11" t="n">
        <v>45017</v>
      </c>
      <c r="B29" t="inlineStr">
        <is>
          <t>Actual</t>
        </is>
      </c>
      <c r="C29" t="n">
        <v>2.018353</v>
      </c>
      <c r="D29" t="n">
        <v>2.271487333333333</v>
      </c>
      <c r="E29" t="n">
        <v>0</v>
      </c>
      <c r="F29" t="n">
        <v>0</v>
      </c>
      <c r="G29" t="n">
        <v>0</v>
      </c>
      <c r="H29" t="n">
        <v>0</v>
      </c>
      <c r="I29" t="n">
        <v>4.289840333333334</v>
      </c>
      <c r="J29" t="n">
        <v>2.018353</v>
      </c>
      <c r="K29" t="n">
        <v>2.271487333333333</v>
      </c>
      <c r="L29" t="n">
        <v>0</v>
      </c>
      <c r="M29" t="n">
        <v>0</v>
      </c>
      <c r="N29" t="n">
        <v>0</v>
      </c>
      <c r="O29" t="n">
        <v>0</v>
      </c>
      <c r="P29" t="n">
        <v>4.289840333333334</v>
      </c>
      <c r="Q29" t="n">
        <v>3.935633333333334</v>
      </c>
      <c r="R29" t="n">
        <v>3.935633333333334</v>
      </c>
      <c r="S29" t="n">
        <v>3.9954</v>
      </c>
      <c r="T29" t="n">
        <v>5.470466666666666</v>
      </c>
      <c r="U29" t="n">
        <v>0.4013333333333333</v>
      </c>
      <c r="V29" t="n">
        <v>0.4463666666666667</v>
      </c>
      <c r="W29" t="n">
        <v>0.002533333333333333</v>
      </c>
      <c r="X29" t="n">
        <v>10.3161</v>
      </c>
      <c r="Y29" t="n">
        <v>2.752766666666667</v>
      </c>
      <c r="Z29" t="n">
        <v>14.60594033333333</v>
      </c>
      <c r="AA29" t="n">
        <v>14.60594033333333</v>
      </c>
      <c r="AB29" t="n">
        <v>1.8517</v>
      </c>
      <c r="AC29" t="n">
        <v>2.083933333333333</v>
      </c>
    </row>
    <row r="30">
      <c r="A30" s="11" t="n">
        <v>45047</v>
      </c>
      <c r="B30" t="inlineStr">
        <is>
          <t>Actual</t>
        </is>
      </c>
      <c r="C30" t="n">
        <v>2.030212903225807</v>
      </c>
      <c r="D30" t="n">
        <v>2.405243225806452</v>
      </c>
      <c r="E30" t="n">
        <v>0</v>
      </c>
      <c r="F30" t="n">
        <v>0</v>
      </c>
      <c r="G30" t="n">
        <v>0</v>
      </c>
      <c r="H30" t="n">
        <v>0</v>
      </c>
      <c r="I30" t="n">
        <v>4.435456129032259</v>
      </c>
      <c r="J30" t="n">
        <v>2.030212903225807</v>
      </c>
      <c r="K30" t="n">
        <v>2.405243225806452</v>
      </c>
      <c r="L30" t="n">
        <v>0</v>
      </c>
      <c r="M30" t="n">
        <v>0</v>
      </c>
      <c r="N30" t="n">
        <v>0</v>
      </c>
      <c r="O30" t="n">
        <v>0</v>
      </c>
      <c r="P30" t="n">
        <v>4.435456129032259</v>
      </c>
      <c r="Q30" t="n">
        <v>4.069225806451613</v>
      </c>
      <c r="R30" t="n">
        <v>4.069225806451613</v>
      </c>
      <c r="S30" t="n">
        <v>5.581419354838709</v>
      </c>
      <c r="T30" t="n">
        <v>5.328387096774193</v>
      </c>
      <c r="U30" t="n">
        <v>0.2346774193548387</v>
      </c>
      <c r="V30" t="n">
        <v>0.4124516129032258</v>
      </c>
      <c r="W30" t="n">
        <v>0.002548387096774193</v>
      </c>
      <c r="X30" t="n">
        <v>11.55948387096774</v>
      </c>
      <c r="Y30" t="n">
        <v>2.939967741935484</v>
      </c>
      <c r="Z30" t="n">
        <v>15.99494</v>
      </c>
      <c r="AA30" t="n">
        <v>15.99494</v>
      </c>
      <c r="AB30" t="n">
        <v>1.86258064516129</v>
      </c>
      <c r="AC30" t="n">
        <v>2.206645161290322</v>
      </c>
    </row>
    <row r="31">
      <c r="A31" s="11" t="n">
        <v>45078</v>
      </c>
      <c r="B31" t="inlineStr">
        <is>
          <t>Actual</t>
        </is>
      </c>
      <c r="C31" t="n">
        <v>2.269016666666667</v>
      </c>
      <c r="D31" t="n">
        <v>2.299427666666667</v>
      </c>
      <c r="E31" t="n">
        <v>0</v>
      </c>
      <c r="F31" t="n">
        <v>0</v>
      </c>
      <c r="G31" t="n">
        <v>0</v>
      </c>
      <c r="H31" t="n">
        <v>0</v>
      </c>
      <c r="I31" t="n">
        <v>4.568444333333334</v>
      </c>
      <c r="J31" t="n">
        <v>2.269016666666667</v>
      </c>
      <c r="K31" t="n">
        <v>2.299427666666667</v>
      </c>
      <c r="L31" t="n">
        <v>0</v>
      </c>
      <c r="M31" t="n">
        <v>0</v>
      </c>
      <c r="N31" t="n">
        <v>0</v>
      </c>
      <c r="O31" t="n">
        <v>0</v>
      </c>
      <c r="P31" t="n">
        <v>4.568444333333334</v>
      </c>
      <c r="Q31" t="n">
        <v>4.191233333333334</v>
      </c>
      <c r="R31" t="n">
        <v>4.191233333333334</v>
      </c>
      <c r="S31" t="n">
        <v>7.014966666666666</v>
      </c>
      <c r="T31" t="n">
        <v>5.343</v>
      </c>
      <c r="U31" t="n">
        <v>0.2256666666666667</v>
      </c>
      <c r="V31" t="n">
        <v>0.4073333333333333</v>
      </c>
      <c r="W31" t="n">
        <v>0.002533333333333333</v>
      </c>
      <c r="X31" t="n">
        <v>12.9935</v>
      </c>
      <c r="Y31" t="n">
        <v>3.368</v>
      </c>
      <c r="Z31" t="n">
        <v>17.56194433333334</v>
      </c>
      <c r="AA31" t="n">
        <v>17.56194433333334</v>
      </c>
      <c r="AB31" t="n">
        <v>2.081666666666667</v>
      </c>
      <c r="AC31" t="n">
        <v>2.109566666666667</v>
      </c>
    </row>
    <row r="32">
      <c r="A32" s="11" t="n">
        <v>45108</v>
      </c>
      <c r="B32" t="inlineStr">
        <is>
          <t>Actual</t>
        </is>
      </c>
      <c r="C32" t="n">
        <v>2.061822903225806</v>
      </c>
      <c r="D32" t="n">
        <v>2.092870322580645</v>
      </c>
      <c r="E32" t="n">
        <v>0</v>
      </c>
      <c r="F32" t="n">
        <v>0</v>
      </c>
      <c r="G32" t="n">
        <v>0</v>
      </c>
      <c r="H32" t="n">
        <v>0</v>
      </c>
      <c r="I32" t="n">
        <v>4.154693225806452</v>
      </c>
      <c r="J32" t="n">
        <v>2.061822903225806</v>
      </c>
      <c r="K32" t="n">
        <v>2.092870322580645</v>
      </c>
      <c r="L32" t="n">
        <v>0</v>
      </c>
      <c r="M32" t="n">
        <v>0</v>
      </c>
      <c r="N32" t="n">
        <v>0</v>
      </c>
      <c r="O32" t="n">
        <v>0</v>
      </c>
      <c r="P32" t="n">
        <v>4.154693225806452</v>
      </c>
      <c r="Q32" t="n">
        <v>3.811645161290322</v>
      </c>
      <c r="R32" t="n">
        <v>3.811645161290322</v>
      </c>
      <c r="S32" t="n">
        <v>7.577548387096774</v>
      </c>
      <c r="T32" t="n">
        <v>5.342064516129033</v>
      </c>
      <c r="U32" t="n">
        <v>0.2085161290322581</v>
      </c>
      <c r="V32" t="n">
        <v>0.4069354838709677</v>
      </c>
      <c r="W32" t="n">
        <v>0.002548387096774193</v>
      </c>
      <c r="X32" t="n">
        <v>13.53761290322581</v>
      </c>
      <c r="Y32" t="n">
        <v>3.123096774193549</v>
      </c>
      <c r="Z32" t="n">
        <v>17.69230612903226</v>
      </c>
      <c r="AA32" t="n">
        <v>17.69230612903226</v>
      </c>
      <c r="AB32" t="n">
        <v>1.89158064516129</v>
      </c>
      <c r="AC32" t="n">
        <v>1.920064516129032</v>
      </c>
    </row>
    <row r="33">
      <c r="A33" s="11" t="n">
        <v>45139</v>
      </c>
      <c r="B33" t="inlineStr">
        <is>
          <t>Actual</t>
        </is>
      </c>
      <c r="C33" t="n">
        <v>2.19526</v>
      </c>
      <c r="D33" t="n">
        <v>2.160169032258065</v>
      </c>
      <c r="E33" t="n">
        <v>0</v>
      </c>
      <c r="F33" t="n">
        <v>0</v>
      </c>
      <c r="G33" t="n">
        <v>0</v>
      </c>
      <c r="H33" t="n">
        <v>0</v>
      </c>
      <c r="I33" t="n">
        <v>4.355429032258065</v>
      </c>
      <c r="J33" t="n">
        <v>2.19526</v>
      </c>
      <c r="K33" t="n">
        <v>2.160169032258065</v>
      </c>
      <c r="L33" t="n">
        <v>0</v>
      </c>
      <c r="M33" t="n">
        <v>0</v>
      </c>
      <c r="N33" t="n">
        <v>0</v>
      </c>
      <c r="O33" t="n">
        <v>0</v>
      </c>
      <c r="P33" t="n">
        <v>4.355429032258065</v>
      </c>
      <c r="Q33" t="n">
        <v>3.995806451612903</v>
      </c>
      <c r="R33" t="n">
        <v>3.995806451612903</v>
      </c>
      <c r="S33" t="n">
        <v>8.656483870967742</v>
      </c>
      <c r="T33" t="n">
        <v>5.447580645161291</v>
      </c>
      <c r="U33" t="n">
        <v>0.1878064516129032</v>
      </c>
      <c r="V33" t="n">
        <v>0.3826774193548387</v>
      </c>
      <c r="W33" t="n">
        <v>0.002548387096774193</v>
      </c>
      <c r="X33" t="n">
        <v>14.67709677419355</v>
      </c>
      <c r="Y33" t="n">
        <v>3.173225806451613</v>
      </c>
      <c r="Z33" t="n">
        <v>19.03252580645161</v>
      </c>
      <c r="AA33" t="n">
        <v>19.03252580645161</v>
      </c>
      <c r="AB33" t="n">
        <v>2.014</v>
      </c>
      <c r="AC33" t="n">
        <v>1.981806451612903</v>
      </c>
    </row>
    <row r="34">
      <c r="A34" s="11" t="n">
        <v>45170</v>
      </c>
      <c r="B34" t="inlineStr">
        <is>
          <t>Actual</t>
        </is>
      </c>
      <c r="C34" t="n">
        <v>2.156710333333334</v>
      </c>
      <c r="D34" t="n">
        <v>1.962763</v>
      </c>
      <c r="E34" t="n">
        <v>0</v>
      </c>
      <c r="F34" t="n">
        <v>0</v>
      </c>
      <c r="G34" t="n">
        <v>0</v>
      </c>
      <c r="H34" t="n">
        <v>0</v>
      </c>
      <c r="I34" t="n">
        <v>4.119473333333334</v>
      </c>
      <c r="J34" t="n">
        <v>2.156710333333334</v>
      </c>
      <c r="K34" t="n">
        <v>1.962763</v>
      </c>
      <c r="L34" t="n">
        <v>0</v>
      </c>
      <c r="M34" t="n">
        <v>0</v>
      </c>
      <c r="N34" t="n">
        <v>0</v>
      </c>
      <c r="O34" t="n">
        <v>0</v>
      </c>
      <c r="P34" t="n">
        <v>4.119473333333334</v>
      </c>
      <c r="Q34" t="n">
        <v>3.779333333333333</v>
      </c>
      <c r="R34" t="n">
        <v>3.779333333333333</v>
      </c>
      <c r="S34" t="n">
        <v>7.155399999999999</v>
      </c>
      <c r="T34" t="n">
        <v>5.445399999999999</v>
      </c>
      <c r="U34" t="n">
        <v>0.1764</v>
      </c>
      <c r="V34" t="n">
        <v>0.3765</v>
      </c>
      <c r="W34" t="n">
        <v>0.002533333333333333</v>
      </c>
      <c r="X34" t="n">
        <v>13.15623333333333</v>
      </c>
      <c r="Y34" t="n">
        <v>3.124733333333333</v>
      </c>
      <c r="Z34" t="n">
        <v>17.27570666666666</v>
      </c>
      <c r="AA34" t="n">
        <v>17.27570666666666</v>
      </c>
      <c r="AB34" t="n">
        <v>1.978633333333333</v>
      </c>
      <c r="AC34" t="n">
        <v>1.8007</v>
      </c>
    </row>
    <row r="35">
      <c r="A35" s="11" t="n">
        <v>45200</v>
      </c>
      <c r="B35" t="inlineStr">
        <is>
          <t>Actual</t>
        </is>
      </c>
      <c r="C35" t="n">
        <v>2.228698387096775</v>
      </c>
      <c r="D35" t="n">
        <v>2.248634838709677</v>
      </c>
      <c r="E35" t="n">
        <v>0</v>
      </c>
      <c r="F35" t="n">
        <v>0</v>
      </c>
      <c r="G35" t="n">
        <v>0</v>
      </c>
      <c r="H35" t="n">
        <v>0</v>
      </c>
      <c r="I35" t="n">
        <v>4.477333225806452</v>
      </c>
      <c r="J35" t="n">
        <v>2.228698387096775</v>
      </c>
      <c r="K35" t="n">
        <v>2.248634838709677</v>
      </c>
      <c r="L35" t="n">
        <v>0</v>
      </c>
      <c r="M35" t="n">
        <v>0</v>
      </c>
      <c r="N35" t="n">
        <v>0</v>
      </c>
      <c r="O35" t="n">
        <v>0</v>
      </c>
      <c r="P35" t="n">
        <v>4.477333225806452</v>
      </c>
      <c r="Q35" t="n">
        <v>4.107645161290323</v>
      </c>
      <c r="R35" t="n">
        <v>4.107645161290323</v>
      </c>
      <c r="S35" t="n">
        <v>4.932032258064516</v>
      </c>
      <c r="T35" t="n">
        <v>5.434838709677419</v>
      </c>
      <c r="U35" t="n">
        <v>0.3194516129032258</v>
      </c>
      <c r="V35" t="n">
        <v>0.4662903225806452</v>
      </c>
      <c r="W35" t="n">
        <v>0.002548387096774193</v>
      </c>
      <c r="X35" t="n">
        <v>11.15516129032258</v>
      </c>
      <c r="Y35" t="n">
        <v>3.054387096774194</v>
      </c>
      <c r="Z35" t="n">
        <v>15.63249451612903</v>
      </c>
      <c r="AA35" t="n">
        <v>15.63249451612903</v>
      </c>
      <c r="AB35" t="n">
        <v>2.044677419354839</v>
      </c>
      <c r="AC35" t="n">
        <v>2.062967741935484</v>
      </c>
    </row>
    <row r="36">
      <c r="A36" s="11" t="n">
        <v>45231</v>
      </c>
      <c r="B36" t="inlineStr">
        <is>
          <t>Actual</t>
        </is>
      </c>
      <c r="C36" t="n">
        <v>2.341792333333333</v>
      </c>
      <c r="D36" t="n">
        <v>2.183669666666667</v>
      </c>
      <c r="E36" t="n">
        <v>0</v>
      </c>
      <c r="F36" t="n">
        <v>0</v>
      </c>
      <c r="G36" t="n">
        <v>0</v>
      </c>
      <c r="H36" t="n">
        <v>0</v>
      </c>
      <c r="I36" t="n">
        <v>4.525462</v>
      </c>
      <c r="J36" t="n">
        <v>2.341792333333333</v>
      </c>
      <c r="K36" t="n">
        <v>2.183669666666667</v>
      </c>
      <c r="L36" t="n">
        <v>0</v>
      </c>
      <c r="M36" t="n">
        <v>0</v>
      </c>
      <c r="N36" t="n">
        <v>0</v>
      </c>
      <c r="O36" t="n">
        <v>0</v>
      </c>
      <c r="P36" t="n">
        <v>4.525462</v>
      </c>
      <c r="Q36" t="n">
        <v>4.1518</v>
      </c>
      <c r="R36" t="n">
        <v>4.1518</v>
      </c>
      <c r="S36" t="n">
        <v>4.633666666666667</v>
      </c>
      <c r="T36" t="n">
        <v>5.712766666666666</v>
      </c>
      <c r="U36" t="n">
        <v>0.6995</v>
      </c>
      <c r="V36" t="n">
        <v>0.6163</v>
      </c>
      <c r="W36" t="n">
        <v>0.002533333333333333</v>
      </c>
      <c r="X36" t="n">
        <v>11.66476666666667</v>
      </c>
      <c r="Y36" t="n">
        <v>2.908766666666667</v>
      </c>
      <c r="Z36" t="n">
        <v>16.19022866666667</v>
      </c>
      <c r="AA36" t="n">
        <v>16.19022866666667</v>
      </c>
      <c r="AB36" t="n">
        <v>2.148433333333333</v>
      </c>
      <c r="AC36" t="n">
        <v>2.003366666666667</v>
      </c>
    </row>
    <row r="37">
      <c r="A37" s="11" t="n">
        <v>45261</v>
      </c>
      <c r="B37" t="inlineStr">
        <is>
          <t>Actual</t>
        </is>
      </c>
      <c r="C37" t="n">
        <v>2.256968064516129</v>
      </c>
      <c r="D37" t="n">
        <v>2.504327741935484</v>
      </c>
      <c r="E37" t="n">
        <v>0</v>
      </c>
      <c r="F37" t="n">
        <v>0</v>
      </c>
      <c r="G37" t="n">
        <v>0</v>
      </c>
      <c r="H37" t="n">
        <v>0</v>
      </c>
      <c r="I37" t="n">
        <v>4.761295806451614</v>
      </c>
      <c r="J37" t="n">
        <v>2.256968064516129</v>
      </c>
      <c r="K37" t="n">
        <v>2.504327741935484</v>
      </c>
      <c r="L37" t="n">
        <v>0</v>
      </c>
      <c r="M37" t="n">
        <v>0</v>
      </c>
      <c r="N37" t="n">
        <v>0</v>
      </c>
      <c r="O37" t="n">
        <v>0</v>
      </c>
      <c r="P37" t="n">
        <v>4.761295806451614</v>
      </c>
      <c r="Q37" t="n">
        <v>4.368161290322581</v>
      </c>
      <c r="R37" t="n">
        <v>4.368161290322581</v>
      </c>
      <c r="S37" t="n">
        <v>4.421</v>
      </c>
      <c r="T37" t="n">
        <v>5.817548387096775</v>
      </c>
      <c r="U37" t="n">
        <v>1.020774193548387</v>
      </c>
      <c r="V37" t="n">
        <v>0.7173548387096774</v>
      </c>
      <c r="W37" t="n">
        <v>0.002548387096774193</v>
      </c>
      <c r="X37" t="n">
        <v>11.97922580645161</v>
      </c>
      <c r="Y37" t="n">
        <v>2.73416129032258</v>
      </c>
      <c r="Z37" t="n">
        <v>16.74052161290323</v>
      </c>
      <c r="AA37" t="n">
        <v>16.74052161290323</v>
      </c>
      <c r="AB37" t="n">
        <v>2.070612903225806</v>
      </c>
      <c r="AC37" t="n">
        <v>2.297548387096774</v>
      </c>
    </row>
    <row r="38">
      <c r="A38" s="11" t="n">
        <v>45292</v>
      </c>
      <c r="B38" t="inlineStr">
        <is>
          <t>Actual</t>
        </is>
      </c>
      <c r="C38" t="n">
        <v>2.147581290322581</v>
      </c>
      <c r="D38" t="n">
        <v>1.855320645161291</v>
      </c>
      <c r="E38" t="n">
        <v>0</v>
      </c>
      <c r="F38" t="n">
        <v>0</v>
      </c>
      <c r="G38" t="n">
        <v>0</v>
      </c>
      <c r="H38" t="n">
        <v>0</v>
      </c>
      <c r="I38" t="n">
        <v>4.002901935483871</v>
      </c>
      <c r="J38" t="n">
        <v>2.147581290322581</v>
      </c>
      <c r="K38" t="n">
        <v>1.855320645161291</v>
      </c>
      <c r="L38" t="n">
        <v>0</v>
      </c>
      <c r="M38" t="n">
        <v>0</v>
      </c>
      <c r="N38" t="n">
        <v>0</v>
      </c>
      <c r="O38" t="n">
        <v>0</v>
      </c>
      <c r="P38" t="n">
        <v>4.002901935483871</v>
      </c>
      <c r="Q38" t="n">
        <v>3.672387096774194</v>
      </c>
      <c r="R38" t="n">
        <v>3.672387096774194</v>
      </c>
      <c r="S38" t="n">
        <v>5.561419354838709</v>
      </c>
      <c r="T38" t="n">
        <v>5.737903225806452</v>
      </c>
      <c r="U38" t="n">
        <v>1.718290322580645</v>
      </c>
      <c r="V38" t="n">
        <v>0.9129677419354839</v>
      </c>
      <c r="W38" t="n">
        <v>0.007419354838709677</v>
      </c>
      <c r="X38" t="n">
        <v>13.938</v>
      </c>
      <c r="Y38" t="n">
        <v>3.045290322580645</v>
      </c>
      <c r="Z38" t="n">
        <v>17.94090193548387</v>
      </c>
      <c r="AA38" t="n">
        <v>17.94090193548387</v>
      </c>
      <c r="AB38" t="n">
        <v>1.970258064516129</v>
      </c>
      <c r="AC38" t="n">
        <v>1.702129032258065</v>
      </c>
    </row>
    <row r="39">
      <c r="A39" s="11" t="n">
        <v>45323</v>
      </c>
      <c r="B39" t="inlineStr">
        <is>
          <t>Actual</t>
        </is>
      </c>
      <c r="C39" t="n">
        <v>2.095506206896552</v>
      </c>
      <c r="D39" t="n">
        <v>1.55892551724138</v>
      </c>
      <c r="E39" t="n">
        <v>0</v>
      </c>
      <c r="F39" t="n">
        <v>0</v>
      </c>
      <c r="G39" t="n">
        <v>0</v>
      </c>
      <c r="H39" t="n">
        <v>0</v>
      </c>
      <c r="I39" t="n">
        <v>3.654431724137932</v>
      </c>
      <c r="J39" t="n">
        <v>2.095506206896552</v>
      </c>
      <c r="K39" t="n">
        <v>1.55892551724138</v>
      </c>
      <c r="L39" t="n">
        <v>0</v>
      </c>
      <c r="M39" t="n">
        <v>0</v>
      </c>
      <c r="N39" t="n">
        <v>0</v>
      </c>
      <c r="O39" t="n">
        <v>0</v>
      </c>
      <c r="P39" t="n">
        <v>3.654431724137932</v>
      </c>
      <c r="Q39" t="n">
        <v>3.352689655172414</v>
      </c>
      <c r="R39" t="n">
        <v>3.352689655172414</v>
      </c>
      <c r="S39" t="n">
        <v>4.008068965517241</v>
      </c>
      <c r="T39" t="n">
        <v>5.536586206896551</v>
      </c>
      <c r="U39" t="n">
        <v>1.097586206896552</v>
      </c>
      <c r="V39" t="n">
        <v>0.764551724137931</v>
      </c>
      <c r="W39" t="n">
        <v>0.007413793103448276</v>
      </c>
      <c r="X39" t="n">
        <v>11.41420689655172</v>
      </c>
      <c r="Y39" t="n">
        <v>2.881137931034483</v>
      </c>
      <c r="Z39" t="n">
        <v>15.06863862068965</v>
      </c>
      <c r="AA39" t="n">
        <v>15.06863862068965</v>
      </c>
      <c r="AB39" t="n">
        <v>1.92248275862069</v>
      </c>
      <c r="AC39" t="n">
        <v>1.430206896551724</v>
      </c>
    </row>
    <row r="40">
      <c r="A40" s="11" t="n">
        <v>45352</v>
      </c>
      <c r="B40" t="inlineStr">
        <is>
          <t>Actual</t>
        </is>
      </c>
      <c r="C40" t="n">
        <v>2.154472903225806</v>
      </c>
      <c r="D40" t="n">
        <v>0.922983870967742</v>
      </c>
      <c r="E40" t="n">
        <v>0</v>
      </c>
      <c r="F40" t="n">
        <v>0</v>
      </c>
      <c r="G40" t="n">
        <v>0</v>
      </c>
      <c r="H40" t="n">
        <v>0</v>
      </c>
      <c r="I40" t="n">
        <v>3.077456774193548</v>
      </c>
      <c r="J40" t="n">
        <v>2.154472903225806</v>
      </c>
      <c r="K40" t="n">
        <v>0.922983870967742</v>
      </c>
      <c r="L40" t="n">
        <v>0</v>
      </c>
      <c r="M40" t="n">
        <v>0</v>
      </c>
      <c r="N40" t="n">
        <v>0</v>
      </c>
      <c r="O40" t="n">
        <v>0</v>
      </c>
      <c r="P40" t="n">
        <v>3.077456774193548</v>
      </c>
      <c r="Q40" t="n">
        <v>2.823354838709677</v>
      </c>
      <c r="R40" t="n">
        <v>2.823354838709677</v>
      </c>
      <c r="S40" t="n">
        <v>4.475806451612903</v>
      </c>
      <c r="T40" t="n">
        <v>5.56</v>
      </c>
      <c r="U40" t="n">
        <v>0.5969677419354839</v>
      </c>
      <c r="V40" t="n">
        <v>0.5730645161290323</v>
      </c>
      <c r="W40" t="n">
        <v>0.007419354838709677</v>
      </c>
      <c r="X40" t="n">
        <v>11.21325806451613</v>
      </c>
      <c r="Y40" t="n">
        <v>2.966548387096774</v>
      </c>
      <c r="Z40" t="n">
        <v>14.29071483870968</v>
      </c>
      <c r="AA40" t="n">
        <v>14.29071483870968</v>
      </c>
      <c r="AB40" t="n">
        <v>1.97658064516129</v>
      </c>
      <c r="AC40" t="n">
        <v>0.8467741935483871</v>
      </c>
    </row>
    <row r="41">
      <c r="A41" s="11" t="n">
        <v>45383</v>
      </c>
      <c r="B41" t="inlineStr">
        <is>
          <t>Actual</t>
        </is>
      </c>
      <c r="C41" t="n">
        <v>1.821353666666667</v>
      </c>
      <c r="D41" t="n">
        <v>0.3900746666666667</v>
      </c>
      <c r="E41" t="n">
        <v>0</v>
      </c>
      <c r="F41" t="n">
        <v>0</v>
      </c>
      <c r="G41" t="n">
        <v>0</v>
      </c>
      <c r="H41" t="n">
        <v>0</v>
      </c>
      <c r="I41" t="n">
        <v>2.211428333333334</v>
      </c>
      <c r="J41" t="n">
        <v>1.821353666666667</v>
      </c>
      <c r="K41" t="n">
        <v>0.3900746666666667</v>
      </c>
      <c r="L41" t="n">
        <v>0</v>
      </c>
      <c r="M41" t="n">
        <v>0</v>
      </c>
      <c r="N41" t="n">
        <v>0</v>
      </c>
      <c r="O41" t="n">
        <v>0</v>
      </c>
      <c r="P41" t="n">
        <v>2.211428333333334</v>
      </c>
      <c r="Q41" t="n">
        <v>2.028833333333333</v>
      </c>
      <c r="R41" t="n">
        <v>2.028833333333333</v>
      </c>
      <c r="S41" t="n">
        <v>4.507533333333334</v>
      </c>
      <c r="T41" t="n">
        <v>5.455</v>
      </c>
      <c r="U41" t="n">
        <v>0.3352</v>
      </c>
      <c r="V41" t="n">
        <v>0.4414666666666666</v>
      </c>
      <c r="W41" t="n">
        <v>0.0074</v>
      </c>
      <c r="X41" t="n">
        <v>10.7466</v>
      </c>
      <c r="Y41" t="n">
        <v>3.1878</v>
      </c>
      <c r="Z41" t="n">
        <v>12.95802833333333</v>
      </c>
      <c r="AA41" t="n">
        <v>12.95802833333333</v>
      </c>
      <c r="AB41" t="n">
        <v>1.670966666666667</v>
      </c>
      <c r="AC41" t="n">
        <v>0.3578666666666667</v>
      </c>
    </row>
    <row r="42">
      <c r="A42" s="11" t="n">
        <v>45413</v>
      </c>
      <c r="B42" t="inlineStr">
        <is>
          <t>Actual</t>
        </is>
      </c>
      <c r="C42" t="n">
        <v>2.162700645161291</v>
      </c>
      <c r="D42" t="n">
        <v>1.94223935483871</v>
      </c>
      <c r="E42" t="n">
        <v>0</v>
      </c>
      <c r="F42" t="n">
        <v>0</v>
      </c>
      <c r="G42" t="n">
        <v>0</v>
      </c>
      <c r="H42" t="n">
        <v>0</v>
      </c>
      <c r="I42" t="n">
        <v>4.10494</v>
      </c>
      <c r="J42" t="n">
        <v>2.162700645161291</v>
      </c>
      <c r="K42" t="n">
        <v>1.94223935483871</v>
      </c>
      <c r="L42" t="n">
        <v>0</v>
      </c>
      <c r="M42" t="n">
        <v>0</v>
      </c>
      <c r="N42" t="n">
        <v>0</v>
      </c>
      <c r="O42" t="n">
        <v>0</v>
      </c>
      <c r="P42" t="n">
        <v>4.10494</v>
      </c>
      <c r="Q42" t="n">
        <v>3.766</v>
      </c>
      <c r="R42" t="n">
        <v>3.766</v>
      </c>
      <c r="S42" t="n">
        <v>6.010064516129032</v>
      </c>
      <c r="T42" t="n">
        <v>5.232161290322581</v>
      </c>
      <c r="U42" t="n">
        <v>0.2444516129032258</v>
      </c>
      <c r="V42" t="n">
        <v>0.4193225806451613</v>
      </c>
      <c r="W42" t="n">
        <v>0.007419354838709677</v>
      </c>
      <c r="X42" t="n">
        <v>11.91341935483871</v>
      </c>
      <c r="Y42" t="n">
        <v>3.257677419354839</v>
      </c>
      <c r="Z42" t="n">
        <v>16.01835935483871</v>
      </c>
      <c r="AA42" t="n">
        <v>16.01835935483871</v>
      </c>
      <c r="AB42" t="n">
        <v>1.984129032258065</v>
      </c>
      <c r="AC42" t="n">
        <v>1.781870967741935</v>
      </c>
    </row>
    <row r="43">
      <c r="A43" s="11" t="n">
        <v>45444</v>
      </c>
      <c r="B43" t="inlineStr">
        <is>
          <t>Actual</t>
        </is>
      </c>
      <c r="C43" t="n">
        <v>2.346443</v>
      </c>
      <c r="D43" t="n">
        <v>2.359632</v>
      </c>
      <c r="E43" t="n">
        <v>0</v>
      </c>
      <c r="F43" t="n">
        <v>0</v>
      </c>
      <c r="G43" t="n">
        <v>0</v>
      </c>
      <c r="H43" t="n">
        <v>0</v>
      </c>
      <c r="I43" t="n">
        <v>4.706075</v>
      </c>
      <c r="J43" t="n">
        <v>2.346443</v>
      </c>
      <c r="K43" t="n">
        <v>2.359632</v>
      </c>
      <c r="L43" t="n">
        <v>0</v>
      </c>
      <c r="M43" t="n">
        <v>0</v>
      </c>
      <c r="N43" t="n">
        <v>0</v>
      </c>
      <c r="O43" t="n">
        <v>0</v>
      </c>
      <c r="P43" t="n">
        <v>4.706075</v>
      </c>
      <c r="Q43" t="n">
        <v>4.3175</v>
      </c>
      <c r="R43" t="n">
        <v>4.3175</v>
      </c>
      <c r="S43" t="n">
        <v>6.976733333333334</v>
      </c>
      <c r="T43" t="n">
        <v>5.412633333333333</v>
      </c>
      <c r="U43" t="n">
        <v>0.2411666666666667</v>
      </c>
      <c r="V43" t="n">
        <v>0.4122</v>
      </c>
      <c r="W43" t="n">
        <v>0.0074</v>
      </c>
      <c r="X43" t="n">
        <v>13.05013333333333</v>
      </c>
      <c r="Y43" t="n">
        <v>3.117133333333333</v>
      </c>
      <c r="Z43" t="n">
        <v>17.75620833333333</v>
      </c>
      <c r="AA43" t="n">
        <v>17.75620833333333</v>
      </c>
      <c r="AB43" t="n">
        <v>2.1527</v>
      </c>
      <c r="AC43" t="n">
        <v>2.1648</v>
      </c>
    </row>
    <row r="44">
      <c r="A44" s="11" t="n">
        <v>45474</v>
      </c>
      <c r="B44" t="inlineStr">
        <is>
          <t>Actual</t>
        </is>
      </c>
      <c r="C44" t="n">
        <v>2.017695483870968</v>
      </c>
      <c r="D44" t="n">
        <v>0.8708396774193549</v>
      </c>
      <c r="E44" t="n">
        <v>0</v>
      </c>
      <c r="F44" t="n">
        <v>0</v>
      </c>
      <c r="G44" t="n">
        <v>0</v>
      </c>
      <c r="H44" t="n">
        <v>0</v>
      </c>
      <c r="I44" t="n">
        <v>2.888535161290323</v>
      </c>
      <c r="J44" t="n">
        <v>2.017695483870968</v>
      </c>
      <c r="K44" t="n">
        <v>0.8708396774193549</v>
      </c>
      <c r="L44" t="n">
        <v>0</v>
      </c>
      <c r="M44" t="n">
        <v>0</v>
      </c>
      <c r="N44" t="n">
        <v>0</v>
      </c>
      <c r="O44" t="n">
        <v>0</v>
      </c>
      <c r="P44" t="n">
        <v>2.888535161290323</v>
      </c>
      <c r="Q44" t="n">
        <v>2.650032258064516</v>
      </c>
      <c r="R44" t="n">
        <v>2.650032258064516</v>
      </c>
      <c r="S44" t="n">
        <v>7.261322580645161</v>
      </c>
      <c r="T44" t="n">
        <v>5.511741935483871</v>
      </c>
      <c r="U44" t="n">
        <v>0.2387096774193548</v>
      </c>
      <c r="V44" t="n">
        <v>0.4077096774193548</v>
      </c>
      <c r="W44" t="n">
        <v>0.007419354838709677</v>
      </c>
      <c r="X44" t="n">
        <v>13.42690322580645</v>
      </c>
      <c r="Y44" t="n">
        <v>3.147096774193549</v>
      </c>
      <c r="Z44" t="n">
        <v>16.31543838709678</v>
      </c>
      <c r="AA44" t="n">
        <v>16.31543838709678</v>
      </c>
      <c r="AB44" t="n">
        <v>1.851096774193548</v>
      </c>
      <c r="AC44" t="n">
        <v>0.7989354838709677</v>
      </c>
    </row>
    <row r="45">
      <c r="A45" s="11" t="n">
        <v>45505</v>
      </c>
      <c r="B45" t="inlineStr">
        <is>
          <t>Actual</t>
        </is>
      </c>
      <c r="C45" t="n">
        <v>2.234113225806452</v>
      </c>
      <c r="D45" t="n">
        <v>2.211680322580646</v>
      </c>
      <c r="E45" t="n">
        <v>0</v>
      </c>
      <c r="F45" t="n">
        <v>0</v>
      </c>
      <c r="G45" t="n">
        <v>0</v>
      </c>
      <c r="H45" t="n">
        <v>0</v>
      </c>
      <c r="I45" t="n">
        <v>4.445793548387098</v>
      </c>
      <c r="J45" t="n">
        <v>2.234113225806452</v>
      </c>
      <c r="K45" t="n">
        <v>2.211680322580646</v>
      </c>
      <c r="L45" t="n">
        <v>0</v>
      </c>
      <c r="M45" t="n">
        <v>0</v>
      </c>
      <c r="N45" t="n">
        <v>0</v>
      </c>
      <c r="O45" t="n">
        <v>0</v>
      </c>
      <c r="P45" t="n">
        <v>4.445793548387098</v>
      </c>
      <c r="Q45" t="n">
        <v>4.078709677419355</v>
      </c>
      <c r="R45" t="n">
        <v>4.078709677419355</v>
      </c>
      <c r="S45" t="n">
        <v>8.358483870967742</v>
      </c>
      <c r="T45" t="n">
        <v>5.637741935483871</v>
      </c>
      <c r="U45" t="n">
        <v>0.2118709677419355</v>
      </c>
      <c r="V45" t="n">
        <v>0.3919677419354838</v>
      </c>
      <c r="W45" t="n">
        <v>0.007419354838709677</v>
      </c>
      <c r="X45" t="n">
        <v>14.60748387096774</v>
      </c>
      <c r="Y45" t="n">
        <v>3.193548387096774</v>
      </c>
      <c r="Z45" t="n">
        <v>19.05327741935484</v>
      </c>
      <c r="AA45" t="n">
        <v>19.05327741935484</v>
      </c>
      <c r="AB45" t="n">
        <v>2.049645161290322</v>
      </c>
      <c r="AC45" t="n">
        <v>2.029064516129032</v>
      </c>
    </row>
    <row r="46">
      <c r="A46" s="11" t="n">
        <v>45536</v>
      </c>
      <c r="B46" t="inlineStr">
        <is>
          <t>Actual</t>
        </is>
      </c>
      <c r="C46" t="n">
        <v>2.348732</v>
      </c>
      <c r="D46" t="n">
        <v>2.288200666666667</v>
      </c>
      <c r="E46" t="n">
        <v>0</v>
      </c>
      <c r="F46" t="n">
        <v>0</v>
      </c>
      <c r="G46" t="n">
        <v>0</v>
      </c>
      <c r="H46" t="n">
        <v>0</v>
      </c>
      <c r="I46" t="n">
        <v>4.636932666666667</v>
      </c>
      <c r="J46" t="n">
        <v>2.348732</v>
      </c>
      <c r="K46" t="n">
        <v>2.288200666666667</v>
      </c>
      <c r="L46" t="n">
        <v>0</v>
      </c>
      <c r="M46" t="n">
        <v>0</v>
      </c>
      <c r="N46" t="n">
        <v>0</v>
      </c>
      <c r="O46" t="n">
        <v>0</v>
      </c>
      <c r="P46" t="n">
        <v>4.636932666666667</v>
      </c>
      <c r="Q46" t="n">
        <v>4.254066666666667</v>
      </c>
      <c r="R46" t="n">
        <v>4.254066666666667</v>
      </c>
      <c r="S46" t="n">
        <v>6.897866666666666</v>
      </c>
      <c r="T46" t="n">
        <v>5.5316</v>
      </c>
      <c r="U46" t="n">
        <v>0.2098333333333333</v>
      </c>
      <c r="V46" t="n">
        <v>0.4142666666666667</v>
      </c>
      <c r="W46" t="n">
        <v>0.0074</v>
      </c>
      <c r="X46" t="n">
        <v>13.06096666666667</v>
      </c>
      <c r="Y46" t="n">
        <v>3.0912</v>
      </c>
      <c r="Z46" t="n">
        <v>17.69789933333334</v>
      </c>
      <c r="AA46" t="n">
        <v>17.69789933333334</v>
      </c>
      <c r="AB46" t="n">
        <v>2.1548</v>
      </c>
      <c r="AC46" t="n">
        <v>2.099266666666667</v>
      </c>
    </row>
    <row r="47">
      <c r="A47" s="11" t="n">
        <v>45566</v>
      </c>
      <c r="B47" t="inlineStr">
        <is>
          <t>Actual</t>
        </is>
      </c>
      <c r="C47" t="n">
        <v>2.348070967741935</v>
      </c>
      <c r="D47" t="n">
        <v>2.427219032258065</v>
      </c>
      <c r="E47" t="n">
        <v>0</v>
      </c>
      <c r="F47" t="n">
        <v>0</v>
      </c>
      <c r="G47" t="n">
        <v>0</v>
      </c>
      <c r="H47" t="n">
        <v>0</v>
      </c>
      <c r="I47" t="n">
        <v>4.77529</v>
      </c>
      <c r="J47" t="n">
        <v>2.348070967741935</v>
      </c>
      <c r="K47" t="n">
        <v>2.427219032258065</v>
      </c>
      <c r="L47" t="n">
        <v>0</v>
      </c>
      <c r="M47" t="n">
        <v>0</v>
      </c>
      <c r="N47" t="n">
        <v>0</v>
      </c>
      <c r="O47" t="n">
        <v>0</v>
      </c>
      <c r="P47" t="n">
        <v>4.77529</v>
      </c>
      <c r="Q47" t="n">
        <v>4.380999999999999</v>
      </c>
      <c r="R47" t="n">
        <v>4.380999999999999</v>
      </c>
      <c r="S47" t="n">
        <v>5.92516129032258</v>
      </c>
      <c r="T47" t="n">
        <v>5.303709677419355</v>
      </c>
      <c r="U47" t="n">
        <v>0.2420322580645161</v>
      </c>
      <c r="V47" t="n">
        <v>0.4293548387096774</v>
      </c>
      <c r="W47" t="n">
        <v>0.007419354838709677</v>
      </c>
      <c r="X47" t="n">
        <v>11.90767741935484</v>
      </c>
      <c r="Y47" t="n">
        <v>2.869387096774194</v>
      </c>
      <c r="Z47" t="n">
        <v>16.68296741935484</v>
      </c>
      <c r="AA47" t="n">
        <v>16.68296741935484</v>
      </c>
      <c r="AB47" t="n">
        <v>2.154193548387096</v>
      </c>
      <c r="AC47" t="n">
        <v>2.226806451612903</v>
      </c>
    </row>
    <row r="48">
      <c r="A48" s="11" t="n">
        <v>45597</v>
      </c>
      <c r="B48" t="inlineStr">
        <is>
          <t>Actual</t>
        </is>
      </c>
      <c r="C48" t="n">
        <v>2.379651666666667</v>
      </c>
      <c r="D48" t="n">
        <v>2.020678333333334</v>
      </c>
      <c r="E48" t="n">
        <v>0</v>
      </c>
      <c r="F48" t="n">
        <v>0</v>
      </c>
      <c r="G48" t="n">
        <v>0</v>
      </c>
      <c r="H48" t="n">
        <v>0</v>
      </c>
      <c r="I48" t="n">
        <v>4.40033</v>
      </c>
      <c r="J48" t="n">
        <v>2.379651666666667</v>
      </c>
      <c r="K48" t="n">
        <v>2.020678333333334</v>
      </c>
      <c r="L48" t="n">
        <v>0</v>
      </c>
      <c r="M48" t="n">
        <v>0</v>
      </c>
      <c r="N48" t="n">
        <v>0</v>
      </c>
      <c r="O48" t="n">
        <v>0</v>
      </c>
      <c r="P48" t="n">
        <v>4.40033</v>
      </c>
      <c r="Q48" t="n">
        <v>4.037</v>
      </c>
      <c r="R48" t="n">
        <v>4.037</v>
      </c>
      <c r="S48" t="n">
        <v>4.806333333333333</v>
      </c>
      <c r="T48" t="n">
        <v>5.701866666666667</v>
      </c>
      <c r="U48" t="n">
        <v>0.4328666666666667</v>
      </c>
      <c r="V48" t="n">
        <v>0.5004</v>
      </c>
      <c r="W48" t="n">
        <v>0.0074</v>
      </c>
      <c r="X48" t="n">
        <v>11.44886666666667</v>
      </c>
      <c r="Y48" t="n">
        <v>2.7428</v>
      </c>
      <c r="Z48" t="n">
        <v>15.84919666666667</v>
      </c>
      <c r="AA48" t="n">
        <v>15.84919666666667</v>
      </c>
      <c r="AB48" t="n">
        <v>2.183166666666667</v>
      </c>
      <c r="AC48" t="n">
        <v>1.853833333333333</v>
      </c>
    </row>
    <row r="49">
      <c r="A49" s="11" t="n">
        <v>45627</v>
      </c>
      <c r="B49" t="inlineStr">
        <is>
          <t>Actual</t>
        </is>
      </c>
      <c r="C49" t="n">
        <v>2.365053870967742</v>
      </c>
      <c r="D49" t="n">
        <v>2.394554193548387</v>
      </c>
      <c r="E49" t="n">
        <v>0</v>
      </c>
      <c r="F49" t="n">
        <v>0</v>
      </c>
      <c r="G49" t="n">
        <v>0</v>
      </c>
      <c r="H49" t="n">
        <v>0</v>
      </c>
      <c r="I49" t="n">
        <v>4.759608064516129</v>
      </c>
      <c r="J49" t="n">
        <v>2.365053870967742</v>
      </c>
      <c r="K49" t="n">
        <v>2.394554193548387</v>
      </c>
      <c r="L49" t="n">
        <v>0</v>
      </c>
      <c r="M49" t="n">
        <v>0</v>
      </c>
      <c r="N49" t="n">
        <v>0</v>
      </c>
      <c r="O49" t="n">
        <v>0</v>
      </c>
      <c r="P49" t="n">
        <v>4.759608064516129</v>
      </c>
      <c r="Q49" t="n">
        <v>4.366612903225806</v>
      </c>
      <c r="R49" t="n">
        <v>4.366612903225806</v>
      </c>
      <c r="S49" t="n">
        <v>4.653419354838709</v>
      </c>
      <c r="T49" t="n">
        <v>6.043483870967742</v>
      </c>
      <c r="U49" t="n">
        <v>0.8987419354838709</v>
      </c>
      <c r="V49" t="n">
        <v>0.681483870967742</v>
      </c>
      <c r="W49" t="n">
        <v>0.007419354838709677</v>
      </c>
      <c r="X49" t="n">
        <v>12.28454838709678</v>
      </c>
      <c r="Y49" t="n">
        <v>2.697645161290323</v>
      </c>
      <c r="Z49" t="n">
        <v>17.04415645161291</v>
      </c>
      <c r="AA49" t="n">
        <v>17.04415645161291</v>
      </c>
      <c r="AB49" t="n">
        <v>2.169774193548387</v>
      </c>
      <c r="AC49" t="n">
        <v>2.19683870967742</v>
      </c>
    </row>
    <row r="50">
      <c r="A50" s="11" t="n">
        <v>45658</v>
      </c>
      <c r="B50" t="inlineStr">
        <is>
          <t>Actual</t>
        </is>
      </c>
      <c r="C50" t="n">
        <v>2.184887419354839</v>
      </c>
      <c r="D50" t="n">
        <v>1.969383870967742</v>
      </c>
      <c r="E50" t="n">
        <v>0</v>
      </c>
      <c r="F50" t="n">
        <v>0</v>
      </c>
      <c r="G50" t="n">
        <v>0</v>
      </c>
      <c r="H50" t="n">
        <v>0</v>
      </c>
      <c r="I50" t="n">
        <v>4.154271290322582</v>
      </c>
      <c r="J50" t="n">
        <v>2.184887419354839</v>
      </c>
      <c r="K50" t="n">
        <v>1.969383870967742</v>
      </c>
      <c r="L50" t="n">
        <v>0</v>
      </c>
      <c r="M50" t="n">
        <v>0</v>
      </c>
      <c r="N50" t="n">
        <v>0</v>
      </c>
      <c r="O50" t="n">
        <v>0</v>
      </c>
      <c r="P50" t="n">
        <v>4.154271290322582</v>
      </c>
      <c r="Q50" t="n">
        <v>3.81125806451613</v>
      </c>
      <c r="R50" t="n">
        <v>3.81125806451613</v>
      </c>
      <c r="S50" t="n">
        <v>5.869</v>
      </c>
      <c r="T50" t="n">
        <v>5.845741935483871</v>
      </c>
      <c r="U50" t="n">
        <v>2.010354838709677</v>
      </c>
      <c r="V50" t="n">
        <v>1.101387096774194</v>
      </c>
      <c r="W50" t="n">
        <v>0.006193548387096774</v>
      </c>
      <c r="X50" t="n">
        <v>14.83267741935484</v>
      </c>
      <c r="Y50" t="n">
        <v>3.12958064516129</v>
      </c>
      <c r="Z50" t="n">
        <v>18.98694870967742</v>
      </c>
      <c r="AA50" t="n">
        <v>18.98694870967742</v>
      </c>
      <c r="AB50" t="n">
        <v>2.004483870967742</v>
      </c>
      <c r="AC50" t="n">
        <v>1.806774193548387</v>
      </c>
    </row>
    <row r="51">
      <c r="A51" s="11" t="n">
        <v>45689</v>
      </c>
      <c r="B51" t="inlineStr">
        <is>
          <t>Actual</t>
        </is>
      </c>
      <c r="C51" t="n">
        <v>2.582015357142857</v>
      </c>
      <c r="D51" t="n">
        <v>2.403839285714286</v>
      </c>
      <c r="E51" t="n">
        <v>0</v>
      </c>
      <c r="F51" t="n">
        <v>0</v>
      </c>
      <c r="G51" t="n">
        <v>0</v>
      </c>
      <c r="H51" t="n">
        <v>0</v>
      </c>
      <c r="I51" t="n">
        <v>4.985854642857143</v>
      </c>
      <c r="J51" t="n">
        <v>2.582015357142857</v>
      </c>
      <c r="K51" t="n">
        <v>2.403839285714286</v>
      </c>
      <c r="L51" t="n">
        <v>0</v>
      </c>
      <c r="M51" t="n">
        <v>0</v>
      </c>
      <c r="N51" t="n">
        <v>0</v>
      </c>
      <c r="O51" t="n">
        <v>0</v>
      </c>
      <c r="P51" t="n">
        <v>4.985854642857143</v>
      </c>
      <c r="Q51" t="n">
        <v>4.574178571428572</v>
      </c>
      <c r="R51" t="n">
        <v>4.574178571428572</v>
      </c>
      <c r="S51" t="n">
        <v>5.272785714285715</v>
      </c>
      <c r="T51" t="n">
        <v>5.759535714285715</v>
      </c>
      <c r="U51" t="n">
        <v>1.569142857142857</v>
      </c>
      <c r="V51" t="n">
        <v>0.9613214285714285</v>
      </c>
      <c r="W51" t="n">
        <v>0.006214285714285715</v>
      </c>
      <c r="X51" t="n">
        <v>13.569</v>
      </c>
      <c r="Y51" t="n">
        <v>3.037857142857143</v>
      </c>
      <c r="Z51" t="n">
        <v>18.55485464285714</v>
      </c>
      <c r="AA51" t="n">
        <v>18.55485464285714</v>
      </c>
      <c r="AB51" t="n">
        <v>2.368821428571429</v>
      </c>
      <c r="AC51" t="n">
        <v>2.205357142857143</v>
      </c>
    </row>
    <row r="52">
      <c r="A52" s="11" t="n">
        <v>45717</v>
      </c>
      <c r="B52" t="inlineStr">
        <is>
          <t>Actual</t>
        </is>
      </c>
      <c r="C52" t="n">
        <v>2.341425483870968</v>
      </c>
      <c r="D52" t="n">
        <v>2.257038387096774</v>
      </c>
      <c r="E52" t="n">
        <v>0</v>
      </c>
      <c r="F52" t="n">
        <v>0</v>
      </c>
      <c r="G52" t="n">
        <v>0</v>
      </c>
      <c r="H52" t="n">
        <v>0</v>
      </c>
      <c r="I52" t="n">
        <v>4.598463870967742</v>
      </c>
      <c r="J52" t="n">
        <v>2.341425483870968</v>
      </c>
      <c r="K52" t="n">
        <v>2.257038387096774</v>
      </c>
      <c r="L52" t="n">
        <v>0</v>
      </c>
      <c r="M52" t="n">
        <v>0</v>
      </c>
      <c r="N52" t="n">
        <v>0</v>
      </c>
      <c r="O52" t="n">
        <v>0</v>
      </c>
      <c r="P52" t="n">
        <v>4.598463870967742</v>
      </c>
      <c r="Q52" t="n">
        <v>4.218774193548387</v>
      </c>
      <c r="R52" t="n">
        <v>4.218774193548387</v>
      </c>
      <c r="S52" t="n">
        <v>3.69841935483871</v>
      </c>
      <c r="T52" t="n">
        <v>5.697580645161291</v>
      </c>
      <c r="U52" t="n">
        <v>0.5337741935483871</v>
      </c>
      <c r="V52" t="n">
        <v>0.4649354838709677</v>
      </c>
      <c r="W52" t="n">
        <v>0.006193548387096774</v>
      </c>
      <c r="X52" t="n">
        <v>10.40090322580645</v>
      </c>
      <c r="Y52" t="n">
        <v>2.864387096774194</v>
      </c>
      <c r="Z52" t="n">
        <v>14.99936709677419</v>
      </c>
      <c r="AA52" t="n">
        <v>14.99936709677419</v>
      </c>
      <c r="AB52" t="n">
        <v>2.148096774193548</v>
      </c>
      <c r="AC52" t="n">
        <v>2.070677419354839</v>
      </c>
    </row>
    <row r="53">
      <c r="A53" s="11" t="n">
        <v>45748</v>
      </c>
      <c r="B53" t="inlineStr">
        <is>
          <t>Actual</t>
        </is>
      </c>
      <c r="C53" t="n">
        <v>2.316758666666667</v>
      </c>
      <c r="D53" t="n">
        <v>2.502131333333333</v>
      </c>
      <c r="E53" t="n">
        <v>0</v>
      </c>
      <c r="F53" t="n">
        <v>0</v>
      </c>
      <c r="G53" t="n">
        <v>0</v>
      </c>
      <c r="H53" t="n">
        <v>0</v>
      </c>
      <c r="I53" t="n">
        <v>4.81889</v>
      </c>
      <c r="J53" t="n">
        <v>2.316758666666667</v>
      </c>
      <c r="K53" t="n">
        <v>2.502131333333333</v>
      </c>
      <c r="L53" t="n">
        <v>0</v>
      </c>
      <c r="M53" t="n">
        <v>0</v>
      </c>
      <c r="N53" t="n">
        <v>0</v>
      </c>
      <c r="O53" t="n">
        <v>0</v>
      </c>
      <c r="P53" t="n">
        <v>4.81889</v>
      </c>
      <c r="Q53" t="n">
        <v>4.420999999999999</v>
      </c>
      <c r="R53" t="n">
        <v>4.420999999999999</v>
      </c>
      <c r="S53" t="n">
        <v>4.2876</v>
      </c>
      <c r="T53" t="n">
        <v>5.537833333333333</v>
      </c>
      <c r="U53" t="n">
        <v>0.4167</v>
      </c>
      <c r="V53" t="n">
        <v>0.5441666666666666</v>
      </c>
      <c r="W53" t="n">
        <v>0.0062</v>
      </c>
      <c r="X53" t="n">
        <v>10.7925</v>
      </c>
      <c r="Y53" t="n">
        <v>3.252</v>
      </c>
      <c r="Z53" t="n">
        <v>15.61139</v>
      </c>
      <c r="AA53" t="n">
        <v>15.61139</v>
      </c>
      <c r="AB53" t="n">
        <v>2.125466666666667</v>
      </c>
      <c r="AC53" t="n">
        <v>2.295533333333333</v>
      </c>
    </row>
    <row r="54">
      <c r="A54" s="11" t="n">
        <v>45778</v>
      </c>
      <c r="B54" t="inlineStr">
        <is>
          <t>Actual</t>
        </is>
      </c>
      <c r="C54" t="n">
        <v>2.195892903225806</v>
      </c>
      <c r="D54" t="n">
        <v>2.299829677419355</v>
      </c>
      <c r="E54" t="n">
        <v>0</v>
      </c>
      <c r="F54" t="n">
        <v>0</v>
      </c>
      <c r="G54" t="n">
        <v>0</v>
      </c>
      <c r="H54" t="n">
        <v>0</v>
      </c>
      <c r="I54" t="n">
        <v>4.495722580645161</v>
      </c>
      <c r="J54" t="n">
        <v>2.195892903225806</v>
      </c>
      <c r="K54" t="n">
        <v>2.299829677419355</v>
      </c>
      <c r="L54" t="n">
        <v>0</v>
      </c>
      <c r="M54" t="n">
        <v>0</v>
      </c>
      <c r="N54" t="n">
        <v>0</v>
      </c>
      <c r="O54" t="n">
        <v>0</v>
      </c>
      <c r="P54" t="n">
        <v>4.495722580645161</v>
      </c>
      <c r="Q54" t="n">
        <v>4.124516129032258</v>
      </c>
      <c r="R54" t="n">
        <v>4.124516129032258</v>
      </c>
      <c r="S54" t="n">
        <v>5.777741935483871</v>
      </c>
      <c r="T54" t="n">
        <v>5.462096774193548</v>
      </c>
      <c r="U54" t="n">
        <v>0.2829032258064516</v>
      </c>
      <c r="V54" t="n">
        <v>0.4228387096774193</v>
      </c>
      <c r="W54" t="n">
        <v>0.006193548387096774</v>
      </c>
      <c r="X54" t="n">
        <v>11.95177419354839</v>
      </c>
      <c r="Y54" t="n">
        <v>3.523838709677419</v>
      </c>
      <c r="Z54" t="n">
        <v>16.44749677419355</v>
      </c>
      <c r="AA54" t="n">
        <v>16.44749677419355</v>
      </c>
      <c r="AB54" t="n">
        <v>2.01458064516129</v>
      </c>
      <c r="AC54" t="n">
        <v>2.109935483870968</v>
      </c>
    </row>
    <row r="55">
      <c r="A55" s="11" t="n">
        <v>45809</v>
      </c>
      <c r="B55" t="inlineStr">
        <is>
          <t>Actual</t>
        </is>
      </c>
      <c r="C55" t="n">
        <v>2.258698</v>
      </c>
      <c r="D55" t="n">
        <v>2.441563666666667</v>
      </c>
      <c r="E55" t="n">
        <v>0</v>
      </c>
      <c r="F55" t="n">
        <v>0</v>
      </c>
      <c r="G55" t="n">
        <v>0</v>
      </c>
      <c r="H55" t="n">
        <v>0</v>
      </c>
      <c r="I55" t="n">
        <v>4.700261666666666</v>
      </c>
      <c r="J55" t="n">
        <v>2.258698</v>
      </c>
      <c r="K55" t="n">
        <v>2.441563666666667</v>
      </c>
      <c r="L55" t="n">
        <v>0</v>
      </c>
      <c r="M55" t="n">
        <v>0</v>
      </c>
      <c r="N55" t="n">
        <v>0</v>
      </c>
      <c r="O55" t="n">
        <v>0</v>
      </c>
      <c r="P55" t="n">
        <v>4.700261666666666</v>
      </c>
      <c r="Q55" t="n">
        <v>4.312166666666666</v>
      </c>
      <c r="R55" t="n">
        <v>4.312166666666666</v>
      </c>
      <c r="S55" t="n">
        <v>6.4434</v>
      </c>
      <c r="T55" t="n">
        <v>5.411233333333334</v>
      </c>
      <c r="U55" t="n">
        <v>0.2359</v>
      </c>
      <c r="V55" t="n">
        <v>0.419</v>
      </c>
      <c r="W55" t="n">
        <v>0.0062</v>
      </c>
      <c r="X55" t="n">
        <v>12.51573333333333</v>
      </c>
      <c r="Y55" t="n">
        <v>3.446133333333333</v>
      </c>
      <c r="Z55" t="n">
        <v>17.215995</v>
      </c>
      <c r="AA55" t="n">
        <v>17.215995</v>
      </c>
      <c r="AB55" t="n">
        <v>2.0722</v>
      </c>
      <c r="AC55" t="n">
        <v>2.239966666666667</v>
      </c>
    </row>
    <row r="56">
      <c r="A56" s="11" t="n">
        <v>45839</v>
      </c>
      <c r="B56" t="inlineStr">
        <is>
          <t>Actual</t>
        </is>
      </c>
      <c r="C56" t="n">
        <v>2.388225161290323</v>
      </c>
      <c r="D56" t="n">
        <v>2.108974193548387</v>
      </c>
      <c r="E56" t="n">
        <v>0</v>
      </c>
      <c r="F56" t="n">
        <v>0</v>
      </c>
      <c r="G56" t="n">
        <v>0</v>
      </c>
      <c r="H56" t="n">
        <v>0</v>
      </c>
      <c r="I56" t="n">
        <v>4.497199354838711</v>
      </c>
      <c r="J56" t="n">
        <v>2.388225161290323</v>
      </c>
      <c r="K56" t="n">
        <v>2.108974193548387</v>
      </c>
      <c r="L56" t="n">
        <v>0</v>
      </c>
      <c r="M56" t="n">
        <v>0</v>
      </c>
      <c r="N56" t="n">
        <v>0</v>
      </c>
      <c r="O56" t="n">
        <v>0</v>
      </c>
      <c r="P56" t="n">
        <v>4.497199354838711</v>
      </c>
      <c r="Q56" t="n">
        <v>4.125870967741936</v>
      </c>
      <c r="R56" t="n">
        <v>4.125870967741936</v>
      </c>
      <c r="S56" t="n">
        <v>7.139032258064516</v>
      </c>
      <c r="T56" t="n">
        <v>5.410709677419355</v>
      </c>
      <c r="U56" t="n">
        <v>0.2180645161290322</v>
      </c>
      <c r="V56" t="n">
        <v>0.4039032258064516</v>
      </c>
      <c r="W56" t="n">
        <v>0.006193548387096774</v>
      </c>
      <c r="X56" t="n">
        <v>13.17790322580645</v>
      </c>
      <c r="Y56" t="n">
        <v>3.09458064516129</v>
      </c>
      <c r="Z56" t="n">
        <v>17.67510258064516</v>
      </c>
      <c r="AA56" t="n">
        <v>17.67510258064516</v>
      </c>
      <c r="AB56" t="n">
        <v>2.191032258064516</v>
      </c>
      <c r="AC56" t="n">
        <v>1.934838709677419</v>
      </c>
    </row>
    <row r="57">
      <c r="A57" s="11" t="n">
        <v>45870</v>
      </c>
      <c r="B57" t="inlineStr">
        <is>
          <t>Actual</t>
        </is>
      </c>
      <c r="C57" t="n">
        <v>2.334463548387097</v>
      </c>
      <c r="D57" t="n">
        <v>2.133692580645161</v>
      </c>
      <c r="E57" t="n">
        <v>0</v>
      </c>
      <c r="F57" t="n">
        <v>0</v>
      </c>
      <c r="G57" t="n">
        <v>0</v>
      </c>
      <c r="H57" t="n">
        <v>0</v>
      </c>
      <c r="I57" t="n">
        <v>4.468156129032257</v>
      </c>
      <c r="J57" t="n">
        <v>2.334463548387097</v>
      </c>
      <c r="K57" t="n">
        <v>2.133692580645161</v>
      </c>
      <c r="L57" t="n">
        <v>0</v>
      </c>
      <c r="M57" t="n">
        <v>0</v>
      </c>
      <c r="N57" t="n">
        <v>0</v>
      </c>
      <c r="O57" t="n">
        <v>0</v>
      </c>
      <c r="P57" t="n">
        <v>4.468156129032257</v>
      </c>
      <c r="Q57" t="n">
        <v>4.099225806451612</v>
      </c>
      <c r="R57" t="n">
        <v>4.099225806451612</v>
      </c>
      <c r="S57" t="n">
        <v>7.713354838709678</v>
      </c>
      <c r="T57" t="n">
        <v>5.538838709677419</v>
      </c>
      <c r="U57" t="n">
        <v>0.1949677419354839</v>
      </c>
      <c r="V57" t="n">
        <v>0.383</v>
      </c>
      <c r="W57" t="n">
        <v>0.006193548387096774</v>
      </c>
      <c r="X57" t="n">
        <v>13.83635483870968</v>
      </c>
      <c r="Y57" t="n">
        <v>3.350290322580645</v>
      </c>
      <c r="Z57" t="n">
        <v>18.30451096774194</v>
      </c>
      <c r="AA57" t="n">
        <v>18.30451096774194</v>
      </c>
      <c r="AB57" t="n">
        <v>2.141709677419354</v>
      </c>
      <c r="AC57" t="n">
        <v>1.957516129032258</v>
      </c>
    </row>
    <row r="58">
      <c r="A58" s="11" t="n">
        <v>45901</v>
      </c>
      <c r="B58" t="inlineStr">
        <is>
          <t>Actual</t>
        </is>
      </c>
      <c r="C58" t="n">
        <v>2.545949333333333</v>
      </c>
      <c r="D58" t="n">
        <v>2.178801</v>
      </c>
      <c r="E58" t="n">
        <v>0</v>
      </c>
      <c r="F58" t="n">
        <v>0</v>
      </c>
      <c r="G58" t="n">
        <v>0</v>
      </c>
      <c r="H58" t="n">
        <v>0</v>
      </c>
      <c r="I58" t="n">
        <v>4.724750333333334</v>
      </c>
      <c r="J58" t="n">
        <v>2.545949333333333</v>
      </c>
      <c r="K58" t="n">
        <v>2.178801</v>
      </c>
      <c r="L58" t="n">
        <v>0</v>
      </c>
      <c r="M58" t="n">
        <v>0</v>
      </c>
      <c r="N58" t="n">
        <v>0</v>
      </c>
      <c r="O58" t="n">
        <v>0</v>
      </c>
      <c r="P58" t="n">
        <v>4.724750333333334</v>
      </c>
      <c r="Q58" t="n">
        <v>4.334633333333334</v>
      </c>
      <c r="R58" t="n">
        <v>4.334633333333334</v>
      </c>
      <c r="S58" t="n">
        <v>6.913966666666666</v>
      </c>
      <c r="T58" t="n">
        <v>5.562266666666666</v>
      </c>
      <c r="U58" t="n">
        <v>0.1994</v>
      </c>
      <c r="V58" t="n">
        <v>0.3982666666666667</v>
      </c>
      <c r="W58" t="n">
        <v>0.0062</v>
      </c>
      <c r="X58" t="n">
        <v>13.0801</v>
      </c>
      <c r="Y58" t="n">
        <v>2.949933333333334</v>
      </c>
      <c r="Z58" t="n">
        <v>17.80485033333333</v>
      </c>
      <c r="AA58" t="n">
        <v>17.80485033333333</v>
      </c>
      <c r="AB58" t="n">
        <v>2.335733333333333</v>
      </c>
      <c r="AC58" t="n">
        <v>1.9989</v>
      </c>
    </row>
    <row r="59">
      <c r="A59" s="11" t="n">
        <v>45931</v>
      </c>
      <c r="B59" t="inlineStr">
        <is>
          <t>Actual</t>
        </is>
      </c>
      <c r="C59" t="n">
        <v>2.684459032258065</v>
      </c>
      <c r="D59" t="n">
        <v>2.459391612903226</v>
      </c>
      <c r="E59" t="n">
        <v>0</v>
      </c>
      <c r="F59" t="n">
        <v>0</v>
      </c>
      <c r="G59" t="n">
        <v>0</v>
      </c>
      <c r="H59" t="n">
        <v>0</v>
      </c>
      <c r="I59" t="n">
        <v>5.143850645161292</v>
      </c>
      <c r="J59" t="n">
        <v>2.684459032258065</v>
      </c>
      <c r="K59" t="n">
        <v>2.459391612903226</v>
      </c>
      <c r="L59" t="n">
        <v>0</v>
      </c>
      <c r="M59" t="n">
        <v>0</v>
      </c>
      <c r="N59" t="n">
        <v>0</v>
      </c>
      <c r="O59" t="n">
        <v>0</v>
      </c>
      <c r="P59" t="n">
        <v>5.143850645161292</v>
      </c>
      <c r="Q59" t="n">
        <v>4.719129032258066</v>
      </c>
      <c r="R59" t="n">
        <v>4.719129032258066</v>
      </c>
      <c r="S59" t="n">
        <v>5.629225806451613</v>
      </c>
      <c r="T59" t="n">
        <v>5.351806451612903</v>
      </c>
      <c r="U59" t="n">
        <v>0.2535806451612903</v>
      </c>
      <c r="V59" t="n">
        <v>0.410258064516129</v>
      </c>
      <c r="W59" t="n">
        <v>0.006193548387096774</v>
      </c>
      <c r="X59" t="n">
        <v>11.65106451612903</v>
      </c>
      <c r="Y59" t="n">
        <v>2.833483870967742</v>
      </c>
      <c r="Z59" t="n">
        <v>16.79491516129033</v>
      </c>
      <c r="AA59" t="n">
        <v>16.79491516129033</v>
      </c>
      <c r="AB59" t="n">
        <v>2.462806451612904</v>
      </c>
      <c r="AC59" t="n">
        <v>2.256322580645162</v>
      </c>
    </row>
    <row r="60">
      <c r="A60" s="11" t="n">
        <v>45962</v>
      </c>
      <c r="B60" t="inlineStr">
        <is>
          <t>Actual</t>
        </is>
      </c>
      <c r="C60" t="n">
        <v>3.094546333333334</v>
      </c>
      <c r="D60" t="n">
        <v>2.325987333333333</v>
      </c>
      <c r="E60" t="n">
        <v>0</v>
      </c>
      <c r="F60" t="n">
        <v>0</v>
      </c>
      <c r="G60" t="n">
        <v>0</v>
      </c>
      <c r="H60" t="n">
        <v>0</v>
      </c>
      <c r="I60" t="n">
        <v>5.420533666666667</v>
      </c>
      <c r="J60" t="n">
        <v>3.094546333333334</v>
      </c>
      <c r="K60" t="n">
        <v>2.325987333333333</v>
      </c>
      <c r="L60" t="n">
        <v>0</v>
      </c>
      <c r="M60" t="n">
        <v>0</v>
      </c>
      <c r="N60" t="n">
        <v>0</v>
      </c>
      <c r="O60" t="n">
        <v>0</v>
      </c>
      <c r="P60" t="n">
        <v>5.420533666666667</v>
      </c>
      <c r="Q60" t="n">
        <v>4.972966666666667</v>
      </c>
      <c r="R60" t="n">
        <v>4.972966666666667</v>
      </c>
      <c r="S60" t="n">
        <v>4.648733333333333</v>
      </c>
      <c r="T60" t="n">
        <v>5.8022</v>
      </c>
      <c r="U60" t="n">
        <v>0.4432</v>
      </c>
      <c r="V60" t="n">
        <v>0.5220333333333333</v>
      </c>
      <c r="W60" t="n">
        <v>0.0062</v>
      </c>
      <c r="X60" t="n">
        <v>11.42236666666667</v>
      </c>
      <c r="Y60" t="n">
        <v>2.9201</v>
      </c>
      <c r="Z60" t="n">
        <v>16.84290033333333</v>
      </c>
      <c r="AA60" t="n">
        <v>16.84290033333333</v>
      </c>
      <c r="AB60" t="n">
        <v>2.839033333333334</v>
      </c>
      <c r="AC60" t="n">
        <v>2.133933333333333</v>
      </c>
    </row>
    <row r="61">
      <c r="A61" s="11" t="n">
        <v>45992</v>
      </c>
      <c r="B61" t="inlineStr">
        <is>
          <t>Actual</t>
        </is>
      </c>
      <c r="C61" t="n">
        <v>3.188847741935484</v>
      </c>
      <c r="D61" t="n">
        <v>2.437732258064516</v>
      </c>
      <c r="E61" t="n">
        <v>0</v>
      </c>
      <c r="F61" t="n">
        <v>0</v>
      </c>
      <c r="G61" t="n">
        <v>0</v>
      </c>
      <c r="H61" t="n">
        <v>0</v>
      </c>
      <c r="I61" t="n">
        <v>5.626580000000001</v>
      </c>
      <c r="J61" t="n">
        <v>3.188847741935484</v>
      </c>
      <c r="K61" t="n">
        <v>2.437732258064516</v>
      </c>
      <c r="L61" t="n">
        <v>0</v>
      </c>
      <c r="M61" t="n">
        <v>0</v>
      </c>
      <c r="N61" t="n">
        <v>0</v>
      </c>
      <c r="O61" t="n">
        <v>0</v>
      </c>
      <c r="P61" t="n">
        <v>5.626580000000001</v>
      </c>
      <c r="Q61" t="n">
        <v>5.162</v>
      </c>
      <c r="R61" t="n">
        <v>5.162</v>
      </c>
      <c r="S61" t="n">
        <v>4.848451612903226</v>
      </c>
      <c r="T61" t="n">
        <v>5.93</v>
      </c>
      <c r="U61" t="n">
        <v>0.9796451612903225</v>
      </c>
      <c r="V61" t="n">
        <v>0.6952903225806452</v>
      </c>
      <c r="W61" t="n">
        <v>0.006193548387096774</v>
      </c>
      <c r="X61" t="n">
        <v>12.45958064516129</v>
      </c>
      <c r="Y61" t="n">
        <v>2.764451612903226</v>
      </c>
      <c r="Z61" t="n">
        <v>18.08616064516129</v>
      </c>
      <c r="AA61" t="n">
        <v>18.08616064516129</v>
      </c>
      <c r="AB61" t="n">
        <v>2.925548387096774</v>
      </c>
      <c r="AC61" t="n">
        <v>2.236451612903226</v>
      </c>
    </row>
    <row r="62">
      <c r="A62" s="11" t="n">
        <v>46023</v>
      </c>
      <c r="B62" t="inlineStr">
        <is>
          <t>Actual</t>
        </is>
      </c>
      <c r="C62" t="n">
        <v>2.945109677419355</v>
      </c>
      <c r="D62" t="n">
        <v>2.232390322580645</v>
      </c>
      <c r="E62" t="n">
        <v>0</v>
      </c>
      <c r="F62" t="n">
        <v>0</v>
      </c>
      <c r="G62" t="n">
        <v>0</v>
      </c>
      <c r="H62" t="n">
        <v>0</v>
      </c>
      <c r="I62" t="n">
        <v>5.1775</v>
      </c>
      <c r="J62" t="n">
        <v>2.945109677419355</v>
      </c>
      <c r="K62" t="n">
        <v>2.232390322580645</v>
      </c>
      <c r="L62" t="n">
        <v>0</v>
      </c>
      <c r="M62" t="n">
        <v>0</v>
      </c>
      <c r="N62" t="n">
        <v>0</v>
      </c>
      <c r="O62" t="n">
        <v>0</v>
      </c>
      <c r="P62" t="n">
        <v>5.1775</v>
      </c>
      <c r="Q62" t="n">
        <v>4.75</v>
      </c>
      <c r="R62" t="n">
        <v>4.75</v>
      </c>
      <c r="S62" t="n">
        <v>5.437354838709677</v>
      </c>
      <c r="T62" t="n">
        <v>5.787548387096774</v>
      </c>
      <c r="U62" t="n">
        <v>1.498</v>
      </c>
      <c r="V62" t="n">
        <v>0.921258064516129</v>
      </c>
      <c r="W62" t="n">
        <v>0.006193548387096774</v>
      </c>
      <c r="X62" t="n">
        <v>13.65035483870968</v>
      </c>
      <c r="Y62" t="n">
        <v>2.873354838709677</v>
      </c>
      <c r="Z62" t="n">
        <v>18.82785483870968</v>
      </c>
      <c r="AA62" t="n">
        <v>18.82785483870968</v>
      </c>
      <c r="AB62" t="n">
        <v>2.701935483870968</v>
      </c>
      <c r="AC62" t="n">
        <v>2.048064516129032</v>
      </c>
    </row>
    <row r="63">
      <c r="A63" s="11" t="n">
        <v>46054</v>
      </c>
      <c r="B63" t="inlineStr">
        <is>
          <t>Actual</t>
        </is>
      </c>
      <c r="C63" t="n">
        <v>3.316792142857143</v>
      </c>
      <c r="D63" t="n">
        <v>2.441016071428572</v>
      </c>
      <c r="E63" t="n">
        <v>0</v>
      </c>
      <c r="F63" t="n">
        <v>0</v>
      </c>
      <c r="G63" t="n">
        <v>0</v>
      </c>
      <c r="H63" t="n">
        <v>0</v>
      </c>
      <c r="I63" t="n">
        <v>5.757808214285715</v>
      </c>
      <c r="J63" t="n">
        <v>3.316792142857143</v>
      </c>
      <c r="K63" t="n">
        <v>2.441016071428572</v>
      </c>
      <c r="L63" t="n">
        <v>0</v>
      </c>
      <c r="M63" t="n">
        <v>0</v>
      </c>
      <c r="N63" t="n">
        <v>0</v>
      </c>
      <c r="O63" t="n">
        <v>0</v>
      </c>
      <c r="P63" t="n">
        <v>5.757808214285715</v>
      </c>
      <c r="Q63" t="n">
        <v>5.282392857142858</v>
      </c>
      <c r="R63" t="n">
        <v>5.282392857142858</v>
      </c>
      <c r="S63" t="n">
        <v>4.554392857142857</v>
      </c>
      <c r="T63" t="n">
        <v>5.705857142857143</v>
      </c>
      <c r="U63" t="n">
        <v>1.006357142857143</v>
      </c>
      <c r="V63" t="n">
        <v>0.6013214285714286</v>
      </c>
      <c r="W63" t="n">
        <v>0.006214285714285715</v>
      </c>
      <c r="X63" t="n">
        <v>11.87414285714286</v>
      </c>
      <c r="Y63" t="n">
        <v>2.989107142857143</v>
      </c>
      <c r="Z63" t="n">
        <v>17.63195107142857</v>
      </c>
      <c r="AA63" t="n">
        <v>17.63195107142857</v>
      </c>
      <c r="AB63" t="n">
        <v>3.042928571428571</v>
      </c>
      <c r="AC63" t="n">
        <v>2.239464285714286</v>
      </c>
    </row>
    <row r="64">
      <c r="A64" s="11" t="n">
        <v>46082</v>
      </c>
      <c r="B64" t="inlineStr">
        <is>
          <t>Actual</t>
        </is>
      </c>
      <c r="C64" t="n">
        <v>3.360962258064516</v>
      </c>
      <c r="D64" t="n">
        <v>2.45468</v>
      </c>
      <c r="E64" t="n">
        <v>0</v>
      </c>
      <c r="F64" t="n">
        <v>0</v>
      </c>
      <c r="G64" t="n">
        <v>0</v>
      </c>
      <c r="H64" t="n">
        <v>0</v>
      </c>
      <c r="I64" t="n">
        <v>5.815642258064516</v>
      </c>
      <c r="J64" t="n">
        <v>3.360962258064516</v>
      </c>
      <c r="K64" t="n">
        <v>2.45468</v>
      </c>
      <c r="L64" t="n">
        <v>0</v>
      </c>
      <c r="M64" t="n">
        <v>0</v>
      </c>
      <c r="N64" t="n">
        <v>0</v>
      </c>
      <c r="O64" t="n">
        <v>0</v>
      </c>
      <c r="P64" t="n">
        <v>5.815642258064516</v>
      </c>
      <c r="Q64" t="n">
        <v>5.335451612903225</v>
      </c>
      <c r="R64" t="n">
        <v>5.335451612903225</v>
      </c>
      <c r="S64" t="n">
        <v>4.129</v>
      </c>
      <c r="T64" t="n">
        <v>5.653225806451613</v>
      </c>
      <c r="U64" t="n">
        <v>0.5390967741935484</v>
      </c>
      <c r="V64" t="n">
        <v>0.5518387096774194</v>
      </c>
      <c r="W64" t="n">
        <v>0.006193548387096774</v>
      </c>
      <c r="X64" t="n">
        <v>10.87935483870968</v>
      </c>
      <c r="Y64" t="n">
        <v>2.768580645161291</v>
      </c>
      <c r="Z64" t="n">
        <v>16.69499709677419</v>
      </c>
      <c r="AA64" t="n">
        <v>16.69499709677419</v>
      </c>
      <c r="AB64" t="n">
        <v>3.083451612903226</v>
      </c>
      <c r="AC64" t="n">
        <v>2.252</v>
      </c>
    </row>
    <row r="65">
      <c r="A65" s="11" t="n">
        <v>46113</v>
      </c>
      <c r="B65" t="inlineStr">
        <is>
          <t>Actual</t>
        </is>
      </c>
      <c r="C65" t="n">
        <v>3.153769666666667</v>
      </c>
      <c r="D65" t="n">
        <v>2.510778666666667</v>
      </c>
      <c r="E65" t="n">
        <v>0.1314903333333333</v>
      </c>
      <c r="F65" t="n">
        <v>0</v>
      </c>
      <c r="G65" t="n">
        <v>0</v>
      </c>
      <c r="H65" t="n">
        <v>0</v>
      </c>
      <c r="I65" t="n">
        <v>5.796038666666668</v>
      </c>
      <c r="J65" t="n">
        <v>3.153769666666667</v>
      </c>
      <c r="K65" t="n">
        <v>2.510778666666667</v>
      </c>
      <c r="L65" t="n">
        <v>0.1314903333333333</v>
      </c>
      <c r="M65" t="n">
        <v>0</v>
      </c>
      <c r="N65" t="n">
        <v>0</v>
      </c>
      <c r="O65" t="n">
        <v>0</v>
      </c>
      <c r="P65" t="n">
        <v>5.796038666666668</v>
      </c>
      <c r="Q65" t="n">
        <v>5.317466666666667</v>
      </c>
      <c r="R65" t="n">
        <v>5.317466666666667</v>
      </c>
      <c r="S65" t="n">
        <v>4.808033333333333</v>
      </c>
      <c r="T65" t="n">
        <v>5.719533333333334</v>
      </c>
      <c r="U65" t="n">
        <v>0.3398</v>
      </c>
      <c r="V65" t="n">
        <v>0.4702333333333333</v>
      </c>
      <c r="W65" t="n">
        <v>0.0062</v>
      </c>
      <c r="X65" t="n">
        <v>11.3438</v>
      </c>
      <c r="Y65" t="n">
        <v>2.837666666666667</v>
      </c>
      <c r="Z65" t="n">
        <v>17.13983866666667</v>
      </c>
      <c r="AA65" t="n">
        <v>17.13983866666667</v>
      </c>
      <c r="AB65" t="n">
        <v>2.893366666666667</v>
      </c>
      <c r="AC65" t="n">
        <v>2.303466666666667</v>
      </c>
      <c r="AD65" t="n">
        <v>0.1206333333333333</v>
      </c>
    </row>
    <row r="66">
      <c r="A66" s="11" t="n">
        <v>46143</v>
      </c>
      <c r="B66" t="inlineStr">
        <is>
          <t>Actual</t>
        </is>
      </c>
      <c r="C66" t="n">
        <v>3.122287419354839</v>
      </c>
      <c r="D66" t="n">
        <v>1.992871612903226</v>
      </c>
      <c r="E66" t="n">
        <v>0.1217987096774193</v>
      </c>
      <c r="F66" t="n">
        <v>0</v>
      </c>
      <c r="G66" t="n">
        <v>0</v>
      </c>
      <c r="H66" t="n">
        <v>0</v>
      </c>
      <c r="I66" t="n">
        <v>5.236957741935484</v>
      </c>
      <c r="J66" t="n">
        <v>3.122287419354839</v>
      </c>
      <c r="K66" t="n">
        <v>1.992871612903226</v>
      </c>
      <c r="L66" t="n">
        <v>0.1217987096774193</v>
      </c>
      <c r="M66" t="n">
        <v>0</v>
      </c>
      <c r="N66" t="n">
        <v>0</v>
      </c>
      <c r="O66" t="n">
        <v>0</v>
      </c>
      <c r="P66" t="n">
        <v>5.236957741935484</v>
      </c>
      <c r="Q66" t="n">
        <v>4.804548387096774</v>
      </c>
      <c r="R66" t="n">
        <v>4.804548387096774</v>
      </c>
      <c r="S66" t="n">
        <v>5.746419354838709</v>
      </c>
      <c r="T66" t="n">
        <v>5.633806451612903</v>
      </c>
      <c r="U66" t="n">
        <v>0.2309032258064516</v>
      </c>
      <c r="V66" t="n">
        <v>0.3834838709677419</v>
      </c>
      <c r="W66" t="n">
        <v>0.006193548387096774</v>
      </c>
      <c r="X66" t="n">
        <v>12.0008064516129</v>
      </c>
      <c r="Y66" t="n">
        <v>3.316451612903226</v>
      </c>
      <c r="Z66" t="n">
        <v>17.23776419354839</v>
      </c>
      <c r="AA66" t="n">
        <v>17.23776419354839</v>
      </c>
      <c r="AB66" t="n">
        <v>2.864483870967742</v>
      </c>
      <c r="AC66" t="n">
        <v>1.828322580645161</v>
      </c>
      <c r="AD66" t="n">
        <v>0.111741935483871</v>
      </c>
    </row>
    <row r="67">
      <c r="A67" s="11" t="n">
        <v>46174</v>
      </c>
      <c r="B67" t="inlineStr">
        <is>
          <t>Actual</t>
        </is>
      </c>
      <c r="C67" t="n">
        <v>3.270981</v>
      </c>
      <c r="D67" t="n">
        <v>2.159580666666667</v>
      </c>
      <c r="E67" t="n">
        <v>0.1253136666666667</v>
      </c>
      <c r="F67" t="n">
        <v>0</v>
      </c>
      <c r="G67" t="n">
        <v>0</v>
      </c>
      <c r="H67" t="n">
        <v>0</v>
      </c>
      <c r="I67" t="n">
        <v>5.555875333333335</v>
      </c>
      <c r="J67" t="n">
        <v>3.270981</v>
      </c>
      <c r="K67" t="n">
        <v>2.159580666666667</v>
      </c>
      <c r="L67" t="n">
        <v>0.1253136666666667</v>
      </c>
      <c r="M67" t="n">
        <v>0</v>
      </c>
      <c r="N67" t="n">
        <v>0</v>
      </c>
      <c r="O67" t="n">
        <v>0</v>
      </c>
      <c r="P67" t="n">
        <v>5.555875333333335</v>
      </c>
      <c r="Q67" t="n">
        <v>5.097133333333334</v>
      </c>
      <c r="R67" t="n">
        <v>5.097133333333334</v>
      </c>
      <c r="S67" t="n">
        <v>6.806066666666666</v>
      </c>
      <c r="T67" t="n">
        <v>5.6723</v>
      </c>
      <c r="U67" t="n">
        <v>0.2417</v>
      </c>
      <c r="V67" t="n">
        <v>0.4054</v>
      </c>
      <c r="W67" t="n">
        <v>0.0062</v>
      </c>
      <c r="X67" t="n">
        <v>13.13166666666667</v>
      </c>
      <c r="Y67" t="n">
        <v>3.3545</v>
      </c>
      <c r="Z67" t="n">
        <v>18.687542</v>
      </c>
      <c r="AA67" t="n">
        <v>18.687542</v>
      </c>
      <c r="AB67" t="n">
        <v>3.0009</v>
      </c>
      <c r="AC67" t="n">
        <v>1.981266666666667</v>
      </c>
      <c r="AD67" t="n">
        <v>0.1149666666666667</v>
      </c>
    </row>
    <row r="68">
      <c r="A68" s="11" t="n">
        <v>46204</v>
      </c>
      <c r="B68" t="inlineStr">
        <is>
          <t>Actual</t>
        </is>
      </c>
      <c r="C68" t="n">
        <v>3.415180967741935</v>
      </c>
      <c r="D68" t="n">
        <v>1.829195806451613</v>
      </c>
      <c r="E68" t="n">
        <v>0.2381122580645161</v>
      </c>
      <c r="F68" t="n">
        <v>0</v>
      </c>
      <c r="G68" t="n">
        <v>0</v>
      </c>
      <c r="H68" t="n">
        <v>0</v>
      </c>
      <c r="I68" t="n">
        <v>5.482489032258065</v>
      </c>
      <c r="J68" t="n">
        <v>3.415180967741935</v>
      </c>
      <c r="K68" t="n">
        <v>1.829195806451613</v>
      </c>
      <c r="L68" t="n">
        <v>0.2381122580645161</v>
      </c>
      <c r="M68" t="n">
        <v>0</v>
      </c>
      <c r="N68" t="n">
        <v>0</v>
      </c>
      <c r="O68" t="n">
        <v>0</v>
      </c>
      <c r="P68" t="n">
        <v>5.482489032258065</v>
      </c>
      <c r="Q68" t="n">
        <v>5.029806451612903</v>
      </c>
      <c r="R68" t="n">
        <v>5.029806451612903</v>
      </c>
      <c r="S68" t="n">
        <v>7.621806451612904</v>
      </c>
      <c r="T68" t="n">
        <v>5.519354838709677</v>
      </c>
      <c r="U68" t="n">
        <v>0.2176451612903226</v>
      </c>
      <c r="V68" t="n">
        <v>0.3741290322580645</v>
      </c>
      <c r="W68" t="n">
        <v>0.006193548387096774</v>
      </c>
      <c r="X68" t="n">
        <v>13.73912903225806</v>
      </c>
      <c r="Y68" t="n">
        <v>3.236774193548387</v>
      </c>
      <c r="Z68" t="n">
        <v>19.22161806451613</v>
      </c>
      <c r="AA68" t="n">
        <v>19.22161806451613</v>
      </c>
      <c r="AB68" t="n">
        <v>3.133193548387097</v>
      </c>
      <c r="AC68" t="n">
        <v>1.678161290322581</v>
      </c>
      <c r="AD68" t="n">
        <v>0.2184516129032258</v>
      </c>
    </row>
    <row r="69">
      <c r="A69" s="11" t="n">
        <v>46235</v>
      </c>
      <c r="B69" t="inlineStr">
        <is>
          <t>Forecast</t>
        </is>
      </c>
      <c r="C69" t="n">
        <v>3.529442121719105</v>
      </c>
      <c r="D69" t="n">
        <v>2.020821517921147</v>
      </c>
      <c r="E69" t="n">
        <v>0.3375681264231755</v>
      </c>
      <c r="F69" t="n">
        <v>0</v>
      </c>
      <c r="G69" t="n">
        <v>0</v>
      </c>
      <c r="H69" t="n">
        <v>0</v>
      </c>
      <c r="I69" t="n">
        <v>5.887831766063428</v>
      </c>
      <c r="J69" t="n">
        <v>3.529442121719105</v>
      </c>
      <c r="K69" t="n">
        <v>2.020821517921147</v>
      </c>
      <c r="L69" t="n">
        <v>0.3375681264231755</v>
      </c>
      <c r="M69" t="n">
        <v>0</v>
      </c>
      <c r="N69" t="n">
        <v>0</v>
      </c>
      <c r="O69" t="n">
        <v>0</v>
      </c>
      <c r="P69" t="n">
        <v>5.887831766063428</v>
      </c>
      <c r="Q69" t="n">
        <v>5.401680519324246</v>
      </c>
      <c r="R69" t="n">
        <v>5.401680519324246</v>
      </c>
      <c r="S69" t="n">
        <v>8.226357563120109</v>
      </c>
      <c r="T69" t="n">
        <v>5.621485403354847</v>
      </c>
      <c r="U69" t="n">
        <v>0.1779486860462226</v>
      </c>
      <c r="V69" t="n">
        <v>0.3609947179446857</v>
      </c>
      <c r="W69" t="n">
        <v>0.005248137433832125</v>
      </c>
      <c r="X69" t="n">
        <v>14.3920345078997</v>
      </c>
      <c r="Y69" t="n">
        <v>3.173172980830325</v>
      </c>
      <c r="Z69" t="n">
        <v>20.27986627396313</v>
      </c>
      <c r="AA69" t="n">
        <v>20.27986627396313</v>
      </c>
    </row>
    <row r="70">
      <c r="A70" s="11" t="n">
        <v>46266</v>
      </c>
      <c r="B70" t="inlineStr">
        <is>
          <t>Forecast</t>
        </is>
      </c>
      <c r="C70" t="n">
        <v>3.6047320288538</v>
      </c>
      <c r="D70" t="n">
        <v>2.208359729390681</v>
      </c>
      <c r="E70" t="n">
        <v>0.3830161663258874</v>
      </c>
      <c r="F70" t="n">
        <v>0</v>
      </c>
      <c r="G70" t="n">
        <v>0</v>
      </c>
      <c r="H70" t="n">
        <v>0</v>
      </c>
      <c r="I70" t="n">
        <v>6.196107924570369</v>
      </c>
      <c r="J70" t="n">
        <v>3.6047320288538</v>
      </c>
      <c r="K70" t="n">
        <v>2.208359729390681</v>
      </c>
      <c r="L70" t="n">
        <v>0.3830161663258874</v>
      </c>
      <c r="M70" t="n">
        <v>0</v>
      </c>
      <c r="N70" t="n">
        <v>0</v>
      </c>
      <c r="O70" t="n">
        <v>0</v>
      </c>
      <c r="P70" t="n">
        <v>6.196107924570369</v>
      </c>
      <c r="Q70" t="n">
        <v>5.684502683092082</v>
      </c>
      <c r="R70" t="n">
        <v>5.684502683092082</v>
      </c>
      <c r="S70" t="n">
        <v>6.972881215060556</v>
      </c>
      <c r="T70" t="n">
        <v>5.596456138285548</v>
      </c>
      <c r="U70" t="n">
        <v>0.175046874031219</v>
      </c>
      <c r="V70" t="n">
        <v>0.3698039882017338</v>
      </c>
      <c r="W70" t="n">
        <v>0.005225411877332316</v>
      </c>
      <c r="X70" t="n">
        <v>13.11941362745639</v>
      </c>
      <c r="Y70" t="n">
        <v>2.987072935842459</v>
      </c>
      <c r="Z70" t="n">
        <v>19.31552155202676</v>
      </c>
      <c r="AA70" t="n">
        <v>19.31552155202676</v>
      </c>
    </row>
    <row r="71">
      <c r="A71" s="11" t="n">
        <v>46296</v>
      </c>
      <c r="B71" t="inlineStr">
        <is>
          <t>Forecast</t>
        </is>
      </c>
      <c r="C71" t="n">
        <v>3.703738936288341</v>
      </c>
      <c r="D71" t="n">
        <v>2.269215913978495</v>
      </c>
      <c r="E71" t="n">
        <v>0.4238223371739502</v>
      </c>
      <c r="F71" t="n">
        <v>0</v>
      </c>
      <c r="G71" t="n">
        <v>0</v>
      </c>
      <c r="H71" t="n">
        <v>0</v>
      </c>
      <c r="I71" t="n">
        <v>6.396777187440787</v>
      </c>
      <c r="J71" t="n">
        <v>3.703738936288341</v>
      </c>
      <c r="K71" t="n">
        <v>2.269215913978495</v>
      </c>
      <c r="L71" t="n">
        <v>0.4238223371739502</v>
      </c>
      <c r="M71" t="n">
        <v>0</v>
      </c>
      <c r="N71" t="n">
        <v>0</v>
      </c>
      <c r="O71" t="n">
        <v>0</v>
      </c>
      <c r="P71" t="n">
        <v>6.396777187440787</v>
      </c>
      <c r="Q71" t="n">
        <v>5.868602924257602</v>
      </c>
      <c r="R71" t="n">
        <v>5.868602924257602</v>
      </c>
      <c r="S71" t="n">
        <v>5.479411440179787</v>
      </c>
      <c r="T71" t="n">
        <v>5.449022447701622</v>
      </c>
      <c r="U71" t="n">
        <v>0.2429498514645628</v>
      </c>
      <c r="V71" t="n">
        <v>0.4048979509691186</v>
      </c>
      <c r="W71" t="n">
        <v>0.005221562593783915</v>
      </c>
      <c r="X71" t="n">
        <v>11.58150325290887</v>
      </c>
      <c r="Y71" t="n">
        <v>2.849358403364498</v>
      </c>
      <c r="Z71" t="n">
        <v>17.97828044034966</v>
      </c>
      <c r="AA71" t="n">
        <v>17.97828044034966</v>
      </c>
    </row>
    <row r="72">
      <c r="A72" s="11" t="n">
        <v>46327</v>
      </c>
      <c r="B72" t="inlineStr">
        <is>
          <t>Forecast</t>
        </is>
      </c>
      <c r="C72" t="n">
        <v>3.806198400094905</v>
      </c>
      <c r="D72" t="n">
        <v>2.294377528673835</v>
      </c>
      <c r="E72" t="n">
        <v>0.4637977851332905</v>
      </c>
      <c r="F72" t="n">
        <v>0</v>
      </c>
      <c r="G72" t="n">
        <v>0</v>
      </c>
      <c r="H72" t="n">
        <v>0</v>
      </c>
      <c r="I72" t="n">
        <v>6.56437371390203</v>
      </c>
      <c r="J72" t="n">
        <v>3.806198400094905</v>
      </c>
      <c r="K72" t="n">
        <v>2.294377528673835</v>
      </c>
      <c r="L72" t="n">
        <v>0.4637977851332905</v>
      </c>
      <c r="M72" t="n">
        <v>0</v>
      </c>
      <c r="N72" t="n">
        <v>0</v>
      </c>
      <c r="O72" t="n">
        <v>0</v>
      </c>
      <c r="P72" t="n">
        <v>6.56437371390203</v>
      </c>
      <c r="Q72" t="n">
        <v>6.022361205414706</v>
      </c>
      <c r="R72" t="n">
        <v>6.022361205414706</v>
      </c>
      <c r="S72" t="n">
        <v>4.681836989623317</v>
      </c>
      <c r="T72" t="n">
        <v>5.833597724237229</v>
      </c>
      <c r="U72" t="n">
        <v>0.4673572310198874</v>
      </c>
      <c r="V72" t="n">
        <v>0.5073680038436067</v>
      </c>
      <c r="W72" t="n">
        <v>0.005198952112019974</v>
      </c>
      <c r="X72" t="n">
        <v>11.49535890083606</v>
      </c>
      <c r="Y72" t="n">
        <v>2.784950506332339</v>
      </c>
      <c r="Z72" t="n">
        <v>18.05973261473809</v>
      </c>
      <c r="AA72" t="n">
        <v>18.05973261473809</v>
      </c>
    </row>
    <row r="73">
      <c r="A73" s="11" t="n">
        <v>46357</v>
      </c>
      <c r="B73" t="inlineStr">
        <is>
          <t>Forecast</t>
        </is>
      </c>
      <c r="C73" t="n">
        <v>3.74696674024637</v>
      </c>
      <c r="D73" t="n">
        <v>2.271721546594982</v>
      </c>
      <c r="E73" t="n">
        <v>0.6253487512597934</v>
      </c>
      <c r="F73" t="n">
        <v>0</v>
      </c>
      <c r="G73" t="n">
        <v>0</v>
      </c>
      <c r="H73" t="n">
        <v>0</v>
      </c>
      <c r="I73" t="n">
        <v>6.644037038101145</v>
      </c>
      <c r="J73" t="n">
        <v>3.74696674024637</v>
      </c>
      <c r="K73" t="n">
        <v>2.271721546594982</v>
      </c>
      <c r="L73" t="n">
        <v>0.4880770741539851</v>
      </c>
      <c r="M73" t="n">
        <v>0</v>
      </c>
      <c r="N73" t="n">
        <v>0</v>
      </c>
      <c r="O73" t="n">
        <v>0</v>
      </c>
      <c r="P73" t="n">
        <v>6.506765360995336</v>
      </c>
      <c r="Q73" t="n">
        <v>6.095446823946005</v>
      </c>
      <c r="R73" t="n">
        <v>5.969509505500308</v>
      </c>
      <c r="S73" t="n">
        <v>4.625126022211296</v>
      </c>
      <c r="T73" t="n">
        <v>6.031840489538337</v>
      </c>
      <c r="U73" t="n">
        <v>0.8618928708285389</v>
      </c>
      <c r="V73" t="n">
        <v>0.6467795879765276</v>
      </c>
      <c r="W73" t="n">
        <v>0.00519512231997611</v>
      </c>
      <c r="X73" t="n">
        <v>12.17083409287468</v>
      </c>
      <c r="Y73" t="n">
        <v>2.658115350636673</v>
      </c>
      <c r="Z73" t="n">
        <v>18.81487113097582</v>
      </c>
      <c r="AA73" t="n">
        <v>18.67759945387002</v>
      </c>
    </row>
    <row r="74">
      <c r="A74" s="11" t="n">
        <v>46388</v>
      </c>
      <c r="B74" t="inlineStr">
        <is>
          <t>Forecast</t>
        </is>
      </c>
      <c r="C74" t="n">
        <v>3.634028283632023</v>
      </c>
      <c r="D74" t="n">
        <v>2.154548728779331</v>
      </c>
      <c r="E74" t="n">
        <v>0.6857882023234797</v>
      </c>
      <c r="F74" t="n">
        <v>0</v>
      </c>
      <c r="G74" t="n">
        <v>0</v>
      </c>
      <c r="H74" t="n">
        <v>0</v>
      </c>
      <c r="I74" t="n">
        <v>6.474365214734833</v>
      </c>
      <c r="J74" t="n">
        <v>3.634028283632023</v>
      </c>
      <c r="K74" t="n">
        <v>2.154548728779331</v>
      </c>
      <c r="L74" t="n">
        <v>0.498755056235258</v>
      </c>
      <c r="M74" t="n">
        <v>0</v>
      </c>
      <c r="N74" t="n">
        <v>0</v>
      </c>
      <c r="O74" t="n">
        <v>0</v>
      </c>
      <c r="P74" t="n">
        <v>6.287332068646612</v>
      </c>
      <c r="Q74" t="n">
        <v>5.939784600674159</v>
      </c>
      <c r="R74" t="n">
        <v>5.768194558391387</v>
      </c>
      <c r="S74" t="n">
        <v>5.60152132066198</v>
      </c>
      <c r="T74" t="n">
        <v>5.893686262858893</v>
      </c>
      <c r="U74" t="n">
        <v>1.534636697680467</v>
      </c>
      <c r="V74" t="n">
        <v>0.9017584031775656</v>
      </c>
      <c r="W74" t="n">
        <v>0.006632259070454595</v>
      </c>
      <c r="X74" t="n">
        <v>13.93823494344936</v>
      </c>
      <c r="Y74" t="n">
        <v>2.928315042689603</v>
      </c>
      <c r="Z74" t="n">
        <v>20.41260015818419</v>
      </c>
      <c r="AA74" t="n">
        <v>20.22556701209597</v>
      </c>
    </row>
    <row r="75">
      <c r="A75" s="11" t="n">
        <v>46419</v>
      </c>
      <c r="B75" t="inlineStr">
        <is>
          <t>Forecast</t>
        </is>
      </c>
      <c r="C75" t="n">
        <v>3.657391836239044</v>
      </c>
      <c r="D75" t="n">
        <v>2.041613237128555</v>
      </c>
      <c r="E75" t="n">
        <v>0.758219458682043</v>
      </c>
      <c r="F75" t="n">
        <v>0</v>
      </c>
      <c r="G75" t="n">
        <v>0</v>
      </c>
      <c r="H75" t="n">
        <v>0</v>
      </c>
      <c r="I75" t="n">
        <v>6.457224532049643</v>
      </c>
      <c r="J75" t="n">
        <v>3.657391836239044</v>
      </c>
      <c r="K75" t="n">
        <v>2.041613237128555</v>
      </c>
      <c r="L75" t="n">
        <v>0.5199219145248295</v>
      </c>
      <c r="M75" t="n">
        <v>0</v>
      </c>
      <c r="N75" t="n">
        <v>0</v>
      </c>
      <c r="O75" t="n">
        <v>0</v>
      </c>
      <c r="P75" t="n">
        <v>6.218926987892429</v>
      </c>
      <c r="Q75" t="n">
        <v>5.924059203715268</v>
      </c>
      <c r="R75" t="n">
        <v>5.705437603571036</v>
      </c>
      <c r="S75" t="n">
        <v>4.591665770626252</v>
      </c>
      <c r="T75" t="n">
        <v>5.771683468248021</v>
      </c>
      <c r="U75" t="n">
        <v>1.071753433222375</v>
      </c>
      <c r="V75" t="n">
        <v>0.7096739390246209</v>
      </c>
      <c r="W75" t="n">
        <v>0.006626279424245835</v>
      </c>
      <c r="X75" t="n">
        <v>12.15140289054551</v>
      </c>
      <c r="Y75" t="n">
        <v>2.878761529187784</v>
      </c>
      <c r="Z75" t="n">
        <v>18.60862742259516</v>
      </c>
      <c r="AA75" t="n">
        <v>18.37032987843794</v>
      </c>
    </row>
    <row r="76">
      <c r="A76" s="11" t="n">
        <v>46447</v>
      </c>
      <c r="B76" t="inlineStr">
        <is>
          <t>Forecast</t>
        </is>
      </c>
      <c r="C76" t="n">
        <v>3.600874226250532</v>
      </c>
      <c r="D76" t="n">
        <v>1.923014171431662</v>
      </c>
      <c r="E76" t="n">
        <v>0.8154125740766118</v>
      </c>
      <c r="F76" t="n">
        <v>0</v>
      </c>
      <c r="G76" t="n">
        <v>0.1357449834300949</v>
      </c>
      <c r="H76" t="n">
        <v>0</v>
      </c>
      <c r="I76" t="n">
        <v>6.475045955188901</v>
      </c>
      <c r="J76" t="n">
        <v>3.600874226250532</v>
      </c>
      <c r="K76" t="n">
        <v>1.923014171431662</v>
      </c>
      <c r="L76" t="n">
        <v>0.5319429667795923</v>
      </c>
      <c r="M76" t="n">
        <v>0</v>
      </c>
      <c r="N76" t="n">
        <v>0</v>
      </c>
      <c r="O76" t="n">
        <v>0</v>
      </c>
      <c r="P76" t="n">
        <v>6.055831364461786</v>
      </c>
      <c r="Q76" t="n">
        <v>5.940409133200826</v>
      </c>
      <c r="R76" t="n">
        <v>5.555808591249345</v>
      </c>
      <c r="S76" t="n">
        <v>4.084302667522916</v>
      </c>
      <c r="T76" t="n">
        <v>5.744850592631705</v>
      </c>
      <c r="U76" t="n">
        <v>0.4915507700236296</v>
      </c>
      <c r="V76" t="n">
        <v>0.4883272060505006</v>
      </c>
      <c r="W76" t="n">
        <v>0.006598675494152</v>
      </c>
      <c r="X76" t="n">
        <v>10.8156299117229</v>
      </c>
      <c r="Y76" t="n">
        <v>2.774088603050508</v>
      </c>
      <c r="Z76" t="n">
        <v>17.2906758669118</v>
      </c>
      <c r="AA76" t="n">
        <v>16.87146127618469</v>
      </c>
    </row>
    <row r="77">
      <c r="A77" s="11" t="n">
        <v>46478</v>
      </c>
      <c r="B77" t="inlineStr">
        <is>
          <t>Forecast</t>
        </is>
      </c>
      <c r="C77" t="n">
        <v>3.44595048734534</v>
      </c>
      <c r="D77" t="n">
        <v>1.889634353046595</v>
      </c>
      <c r="E77" t="n">
        <v>0.8653635189888007</v>
      </c>
      <c r="F77" t="n">
        <v>0.118315326503364</v>
      </c>
      <c r="G77" t="n">
        <v>0.2185292990510013</v>
      </c>
      <c r="H77" t="n">
        <v>0</v>
      </c>
      <c r="I77" t="n">
        <v>6.537792984935101</v>
      </c>
      <c r="J77" t="n">
        <v>3.44595048734534</v>
      </c>
      <c r="K77" t="n">
        <v>1.889634353046595</v>
      </c>
      <c r="L77" t="n">
        <v>0.5408521993680004</v>
      </c>
      <c r="M77" t="n">
        <v>0</v>
      </c>
      <c r="N77" t="n">
        <v>0</v>
      </c>
      <c r="O77" t="n">
        <v>0</v>
      </c>
      <c r="P77" t="n">
        <v>5.876437039759936</v>
      </c>
      <c r="Q77" t="n">
        <v>5.99797521553679</v>
      </c>
      <c r="R77" t="n">
        <v>5.391226641981592</v>
      </c>
      <c r="S77" t="n">
        <v>4.513549912598049</v>
      </c>
      <c r="T77" t="n">
        <v>5.680608138500108</v>
      </c>
      <c r="U77" t="n">
        <v>0.3190816123310472</v>
      </c>
      <c r="V77" t="n">
        <v>0.4440890247278849</v>
      </c>
      <c r="W77" t="n">
        <v>0.006578774034385803</v>
      </c>
      <c r="X77" t="n">
        <v>10.96390746219148</v>
      </c>
      <c r="Y77" t="n">
        <v>2.986666029480982</v>
      </c>
      <c r="Z77" t="n">
        <v>17.50170044712658</v>
      </c>
      <c r="AA77" t="n">
        <v>16.84034450195141</v>
      </c>
    </row>
    <row r="78">
      <c r="A78" s="11" t="n">
        <v>46508</v>
      </c>
      <c r="B78" t="inlineStr">
        <is>
          <t>Forecast</t>
        </is>
      </c>
      <c r="C78" t="n">
        <v>3.43063039161994</v>
      </c>
      <c r="D78" t="n">
        <v>2.069470190860216</v>
      </c>
      <c r="E78" t="n">
        <v>0.9721906108100442</v>
      </c>
      <c r="F78" t="n">
        <v>0.2032723733460742</v>
      </c>
      <c r="G78" t="n">
        <v>0.3153743076598783</v>
      </c>
      <c r="H78" t="n">
        <v>0</v>
      </c>
      <c r="I78" t="n">
        <v>6.990937874296153</v>
      </c>
      <c r="J78" t="n">
        <v>3.43063039161994</v>
      </c>
      <c r="K78" t="n">
        <v>2.069470190860216</v>
      </c>
      <c r="L78" t="n">
        <v>0.5854050989823922</v>
      </c>
      <c r="M78" t="n">
        <v>0</v>
      </c>
      <c r="N78" t="n">
        <v>0</v>
      </c>
      <c r="O78" t="n">
        <v>0</v>
      </c>
      <c r="P78" t="n">
        <v>6.085505681462548</v>
      </c>
      <c r="Q78" t="n">
        <v>6.413704471831332</v>
      </c>
      <c r="R78" t="n">
        <v>5.583032735286741</v>
      </c>
      <c r="S78" t="n">
        <v>5.815887213640852</v>
      </c>
      <c r="T78" t="n">
        <v>5.552993543365289</v>
      </c>
      <c r="U78" t="n">
        <v>0.2209863247505367</v>
      </c>
      <c r="V78" t="n">
        <v>0.3730742742049455</v>
      </c>
      <c r="W78" t="n">
        <v>0.006565261974022615</v>
      </c>
      <c r="X78" t="n">
        <v>11.96950661793565</v>
      </c>
      <c r="Y78" t="n">
        <v>3.246131765669215</v>
      </c>
      <c r="Z78" t="n">
        <v>18.9604444922318</v>
      </c>
      <c r="AA78" t="n">
        <v>18.0550122993982</v>
      </c>
    </row>
    <row r="79">
      <c r="A79" s="11" t="n">
        <v>46539</v>
      </c>
      <c r="B79" t="inlineStr">
        <is>
          <t>Forecast</t>
        </is>
      </c>
      <c r="C79" t="n">
        <v>3.476443036848799</v>
      </c>
      <c r="D79" t="n">
        <v>2.080458582437276</v>
      </c>
      <c r="E79" t="n">
        <v>1.063203110360666</v>
      </c>
      <c r="F79" t="n">
        <v>0.2875202715167434</v>
      </c>
      <c r="G79" t="n">
        <v>0.4096687680452597</v>
      </c>
      <c r="H79" t="n">
        <v>0</v>
      </c>
      <c r="I79" t="n">
        <v>7.317293769208743</v>
      </c>
      <c r="J79" t="n">
        <v>3.476443036848799</v>
      </c>
      <c r="K79" t="n">
        <v>2.080458582437276</v>
      </c>
      <c r="L79" t="n">
        <v>0.7463545013127854</v>
      </c>
      <c r="M79" t="n">
        <v>0</v>
      </c>
      <c r="N79" t="n">
        <v>0</v>
      </c>
      <c r="O79" t="n">
        <v>0</v>
      </c>
      <c r="P79" t="n">
        <v>6.30325612059886</v>
      </c>
      <c r="Q79" t="n">
        <v>6.713113549732792</v>
      </c>
      <c r="R79" t="n">
        <v>5.782803780365926</v>
      </c>
      <c r="S79" t="n">
        <v>6.706918670559735</v>
      </c>
      <c r="T79" t="n">
        <v>5.614579908845148</v>
      </c>
      <c r="U79" t="n">
        <v>0.2102139365451465</v>
      </c>
      <c r="V79" t="n">
        <v>0.3758789561992053</v>
      </c>
      <c r="W79" t="n">
        <v>0.006545461288696243</v>
      </c>
      <c r="X79" t="n">
        <v>12.91413693343793</v>
      </c>
      <c r="Y79" t="n">
        <v>3.183163621523247</v>
      </c>
      <c r="Z79" t="n">
        <v>20.23143070264668</v>
      </c>
      <c r="AA79" t="n">
        <v>19.21739305403679</v>
      </c>
    </row>
    <row r="80">
      <c r="A80" s="11" t="n">
        <v>46569</v>
      </c>
      <c r="B80" t="inlineStr">
        <is>
          <t>Forecast</t>
        </is>
      </c>
      <c r="C80" t="n">
        <v>3.483469828235799</v>
      </c>
      <c r="D80" t="n">
        <v>1.923694801971327</v>
      </c>
      <c r="E80" t="n">
        <v>1.23666873711718</v>
      </c>
      <c r="F80" t="n">
        <v>0.3597077740216779</v>
      </c>
      <c r="G80" t="n">
        <v>0.4872141761487966</v>
      </c>
      <c r="H80" t="n">
        <v>0</v>
      </c>
      <c r="I80" t="n">
        <v>7.490755317494782</v>
      </c>
      <c r="J80" t="n">
        <v>3.483469828235799</v>
      </c>
      <c r="K80" t="n">
        <v>1.923694801971327</v>
      </c>
      <c r="L80" t="n">
        <v>0.8050336654363917</v>
      </c>
      <c r="M80" t="n">
        <v>0</v>
      </c>
      <c r="N80" t="n">
        <v>0</v>
      </c>
      <c r="O80" t="n">
        <v>0</v>
      </c>
      <c r="P80" t="n">
        <v>6.212198295643518</v>
      </c>
      <c r="Q80" t="n">
        <v>6.872252584857597</v>
      </c>
      <c r="R80" t="n">
        <v>5.699264491416071</v>
      </c>
      <c r="S80" t="n">
        <v>7.299471258702761</v>
      </c>
      <c r="T80" t="n">
        <v>5.600740992260573</v>
      </c>
      <c r="U80" t="n">
        <v>0.1964829098663687</v>
      </c>
      <c r="V80" t="n">
        <v>0.3592145606960728</v>
      </c>
      <c r="W80" t="n">
        <v>0.006532017648957973</v>
      </c>
      <c r="X80" t="n">
        <v>13.46244173917473</v>
      </c>
      <c r="Y80" t="n">
        <v>3.037684824395354</v>
      </c>
      <c r="Z80" t="n">
        <v>20.95319705666952</v>
      </c>
      <c r="AA80" t="n">
        <v>19.67464003481825</v>
      </c>
    </row>
    <row r="81">
      <c r="A81" s="11" t="n">
        <v>46600</v>
      </c>
      <c r="B81" t="inlineStr">
        <is>
          <t>Forecast</t>
        </is>
      </c>
      <c r="C81" t="n">
        <v>3.529442121719105</v>
      </c>
      <c r="D81" t="n">
        <v>2.020821517921147</v>
      </c>
      <c r="E81" t="n">
        <v>1.403017525446323</v>
      </c>
      <c r="F81" t="n">
        <v>0.4512778522457798</v>
      </c>
      <c r="G81" t="n">
        <v>0.5910369103675136</v>
      </c>
      <c r="H81" t="n">
        <v>0</v>
      </c>
      <c r="I81" t="n">
        <v>7.99559592769987</v>
      </c>
      <c r="J81" t="n">
        <v>3.529442121719105</v>
      </c>
      <c r="K81" t="n">
        <v>2.020821517921147</v>
      </c>
      <c r="L81" t="n">
        <v>0.9072143397622842</v>
      </c>
      <c r="M81" t="n">
        <v>0</v>
      </c>
      <c r="N81" t="n">
        <v>0</v>
      </c>
      <c r="O81" t="n">
        <v>0</v>
      </c>
      <c r="P81" t="n">
        <v>6.457477979402537</v>
      </c>
      <c r="Q81" t="n">
        <v>7.335409107981532</v>
      </c>
      <c r="R81" t="n">
        <v>5.924291724222511</v>
      </c>
      <c r="S81" t="n">
        <v>8.193937527388337</v>
      </c>
      <c r="T81" t="n">
        <v>5.666028153285912</v>
      </c>
      <c r="U81" t="n">
        <v>0.1726102254648359</v>
      </c>
      <c r="V81" t="n">
        <v>0.3501648764063452</v>
      </c>
      <c r="W81" t="n">
        <v>0.005090693310817161</v>
      </c>
      <c r="X81" t="n">
        <v>14.38783147585625</v>
      </c>
      <c r="Y81" t="n">
        <v>3.108901705501789</v>
      </c>
      <c r="Z81" t="n">
        <v>22.38342740355612</v>
      </c>
      <c r="AA81" t="n">
        <v>20.84530945525879</v>
      </c>
    </row>
    <row r="82">
      <c r="A82" s="11" t="n">
        <v>46631</v>
      </c>
      <c r="B82" t="inlineStr">
        <is>
          <t>Forecast</t>
        </is>
      </c>
      <c r="C82" t="n">
        <v>3.6047320288538</v>
      </c>
      <c r="D82" t="n">
        <v>2.208359729390681</v>
      </c>
      <c r="E82" t="n">
        <v>1.609404468119354</v>
      </c>
      <c r="F82" t="n">
        <v>0.5585836922775801</v>
      </c>
      <c r="G82" t="n">
        <v>0.7142595827348919</v>
      </c>
      <c r="H82" t="n">
        <v>0</v>
      </c>
      <c r="I82" t="n">
        <v>8.695339501376306</v>
      </c>
      <c r="J82" t="n">
        <v>3.6047320288538</v>
      </c>
      <c r="K82" t="n">
        <v>2.208359729390681</v>
      </c>
      <c r="L82" t="n">
        <v>1.034880218630523</v>
      </c>
      <c r="M82" t="n">
        <v>0</v>
      </c>
      <c r="N82" t="n">
        <v>0.1428519165469783</v>
      </c>
      <c r="O82" t="n">
        <v>0</v>
      </c>
      <c r="P82" t="n">
        <v>6.990823893421982</v>
      </c>
      <c r="Q82" t="n">
        <v>7.977375689336061</v>
      </c>
      <c r="R82" t="n">
        <v>6.413599902222002</v>
      </c>
      <c r="S82" t="n">
        <v>6.945401123609252</v>
      </c>
      <c r="T82" t="n">
        <v>5.640800564781621</v>
      </c>
      <c r="U82" t="n">
        <v>0.1697954678102824</v>
      </c>
      <c r="V82" t="n">
        <v>0.3587098685556818</v>
      </c>
      <c r="W82" t="n">
        <v>0.005068649521012347</v>
      </c>
      <c r="X82" t="n">
        <v>13.11977567427785</v>
      </c>
      <c r="Y82" t="n">
        <v>2.926571038137622</v>
      </c>
      <c r="Z82" t="n">
        <v>21.81511517565416</v>
      </c>
      <c r="AA82" t="n">
        <v>20.11059956769983</v>
      </c>
    </row>
    <row r="83">
      <c r="A83" s="11" t="n">
        <v>46661</v>
      </c>
      <c r="B83" t="inlineStr">
        <is>
          <t>Forecast</t>
        </is>
      </c>
      <c r="C83" t="n">
        <v>3.703738936288341</v>
      </c>
      <c r="D83" t="n">
        <v>2.269215913978495</v>
      </c>
      <c r="E83" t="n">
        <v>1.797460804978807</v>
      </c>
      <c r="F83" t="n">
        <v>0.7946931304879344</v>
      </c>
      <c r="G83" t="n">
        <v>0.8317557114183401</v>
      </c>
      <c r="H83" t="n">
        <v>0</v>
      </c>
      <c r="I83" t="n">
        <v>9.396864497151917</v>
      </c>
      <c r="J83" t="n">
        <v>3.703738936288341</v>
      </c>
      <c r="K83" t="n">
        <v>2.269215913978495</v>
      </c>
      <c r="L83" t="n">
        <v>1.150374915186436</v>
      </c>
      <c r="M83" t="n">
        <v>0.1324488550813224</v>
      </c>
      <c r="N83" t="n">
        <v>0.2446340327701001</v>
      </c>
      <c r="O83" t="n">
        <v>0</v>
      </c>
      <c r="P83" t="n">
        <v>7.500412653304695</v>
      </c>
      <c r="Q83" t="n">
        <v>8.620976602891666</v>
      </c>
      <c r="R83" t="n">
        <v>6.881112525967609</v>
      </c>
      <c r="S83" t="n">
        <v>5.457817105953894</v>
      </c>
      <c r="T83" t="n">
        <v>5.492198659475094</v>
      </c>
      <c r="U83" t="n">
        <v>0.2356613559206259</v>
      </c>
      <c r="V83" t="n">
        <v>0.392751012440045</v>
      </c>
      <c r="W83" t="n">
        <v>0.005064915715970399</v>
      </c>
      <c r="X83" t="n">
        <v>11.58349304950563</v>
      </c>
      <c r="Y83" t="n">
        <v>2.791645855212018</v>
      </c>
      <c r="Z83" t="n">
        <v>20.98035754665754</v>
      </c>
      <c r="AA83" t="n">
        <v>19.08390570281032</v>
      </c>
    </row>
    <row r="84">
      <c r="A84" s="11" t="n">
        <v>46692</v>
      </c>
      <c r="B84" t="inlineStr">
        <is>
          <t>Forecast</t>
        </is>
      </c>
      <c r="C84" t="n">
        <v>3.806198400094905</v>
      </c>
      <c r="D84" t="n">
        <v>2.294377528673835</v>
      </c>
      <c r="E84" t="n">
        <v>1.982735531444817</v>
      </c>
      <c r="F84" t="n">
        <v>0.9920446960157387</v>
      </c>
      <c r="G84" t="n">
        <v>0.9494718126173766</v>
      </c>
      <c r="H84" t="n">
        <v>0</v>
      </c>
      <c r="I84" t="n">
        <v>10.02482796884667</v>
      </c>
      <c r="J84" t="n">
        <v>3.806198400094905</v>
      </c>
      <c r="K84" t="n">
        <v>2.294377528673835</v>
      </c>
      <c r="L84" t="n">
        <v>1.263848964488216</v>
      </c>
      <c r="M84" t="n">
        <v>0.2254647036399406</v>
      </c>
      <c r="N84" t="n">
        <v>0.3498054046485071</v>
      </c>
      <c r="O84" t="n">
        <v>0</v>
      </c>
      <c r="P84" t="n">
        <v>7.939695001545404</v>
      </c>
      <c r="Q84" t="n">
        <v>9.197089879675845</v>
      </c>
      <c r="R84" t="n">
        <v>7.284123854628811</v>
      </c>
      <c r="S84" t="n">
        <v>4.663385892484723</v>
      </c>
      <c r="T84" t="n">
        <v>5.879821180492057</v>
      </c>
      <c r="U84" t="n">
        <v>0.4533365140892908</v>
      </c>
      <c r="V84" t="n">
        <v>0.4921469637282985</v>
      </c>
      <c r="W84" t="n">
        <v>0.005042983548659375</v>
      </c>
      <c r="X84" t="n">
        <v>11.49373353434303</v>
      </c>
      <c r="Y84" t="n">
        <v>2.728542512866443</v>
      </c>
      <c r="Z84" t="n">
        <v>21.5185615031897</v>
      </c>
      <c r="AA84" t="n">
        <v>19.43342853588843</v>
      </c>
    </row>
    <row r="85">
      <c r="A85" s="11" t="n">
        <v>46722</v>
      </c>
      <c r="B85" t="inlineStr">
        <is>
          <t>Forecast</t>
        </is>
      </c>
      <c r="C85" t="n">
        <v>3.74696674024637</v>
      </c>
      <c r="D85" t="n">
        <v>2.271721546594982</v>
      </c>
      <c r="E85" t="n">
        <v>2.070514463012608</v>
      </c>
      <c r="F85" t="n">
        <v>1.156679187512757</v>
      </c>
      <c r="G85" t="n">
        <v>0.9367271129825254</v>
      </c>
      <c r="H85" t="n">
        <v>0</v>
      </c>
      <c r="I85" t="n">
        <v>10.18260905034924</v>
      </c>
      <c r="J85" t="n">
        <v>3.74696674024637</v>
      </c>
      <c r="K85" t="n">
        <v>2.271721546594982</v>
      </c>
      <c r="L85" t="n">
        <v>1.304080932505179</v>
      </c>
      <c r="M85" t="n">
        <v>0.3114136274072807</v>
      </c>
      <c r="N85" t="n">
        <v>0.4437128429917226</v>
      </c>
      <c r="O85" t="n">
        <v>0</v>
      </c>
      <c r="P85" t="n">
        <v>8.077895689745533</v>
      </c>
      <c r="Q85" t="n">
        <v>9.341843165458021</v>
      </c>
      <c r="R85" t="n">
        <v>7.410913476830764</v>
      </c>
      <c r="S85" t="n">
        <v>4.606898422723488</v>
      </c>
      <c r="T85" t="n">
        <v>6.079634754447258</v>
      </c>
      <c r="U85" t="n">
        <v>0.8360360847036827</v>
      </c>
      <c r="V85" t="n">
        <v>0.6273762003372318</v>
      </c>
      <c r="W85" t="n">
        <v>0.005039268650376826</v>
      </c>
      <c r="X85" t="n">
        <v>12.15498473086204</v>
      </c>
      <c r="Y85" t="n">
        <v>2.604276349552315</v>
      </c>
      <c r="Z85" t="n">
        <v>22.33759378121128</v>
      </c>
      <c r="AA85" t="n">
        <v>20.23288042060757</v>
      </c>
    </row>
    <row r="86">
      <c r="A86" s="11" t="n">
        <v>46753</v>
      </c>
      <c r="B86" t="inlineStr">
        <is>
          <t>Forecast</t>
        </is>
      </c>
      <c r="C86" t="n">
        <v>3.634028283632023</v>
      </c>
      <c r="D86" t="n">
        <v>2.154548728779331</v>
      </c>
      <c r="E86" t="n">
        <v>2.046362657200544</v>
      </c>
      <c r="F86" t="n">
        <v>1.198029656330621</v>
      </c>
      <c r="G86" t="n">
        <v>0.9009134174580701</v>
      </c>
      <c r="H86" t="n">
        <v>0</v>
      </c>
      <c r="I86" t="n">
        <v>9.933882743400588</v>
      </c>
      <c r="J86" t="n">
        <v>3.634028283632023</v>
      </c>
      <c r="K86" t="n">
        <v>2.154548728779331</v>
      </c>
      <c r="L86" t="n">
        <v>1.441255419856297</v>
      </c>
      <c r="M86" t="n">
        <v>0.3850809609634138</v>
      </c>
      <c r="N86" t="n">
        <v>0.5215814522125668</v>
      </c>
      <c r="O86" t="n">
        <v>0</v>
      </c>
      <c r="P86" t="n">
        <v>8.136494845443632</v>
      </c>
      <c r="Q86" t="n">
        <v>9.113653893028062</v>
      </c>
      <c r="R86" t="n">
        <v>7.464674170131772</v>
      </c>
      <c r="S86" t="n">
        <v>5.579445751982315</v>
      </c>
      <c r="T86" t="n">
        <v>5.940385840380165</v>
      </c>
      <c r="U86" t="n">
        <v>1.488597596750053</v>
      </c>
      <c r="V86" t="n">
        <v>0.8747056510822386</v>
      </c>
      <c r="W86" t="n">
        <v>0.006433291298340957</v>
      </c>
      <c r="X86" t="n">
        <v>13.88956813149311</v>
      </c>
      <c r="Y86" t="n">
        <v>2.869003261234766</v>
      </c>
      <c r="Z86" t="n">
        <v>23.8234508748937</v>
      </c>
      <c r="AA86" t="n">
        <v>22.02606297693675</v>
      </c>
    </row>
    <row r="87">
      <c r="A87" s="11" t="n">
        <v>46784</v>
      </c>
      <c r="B87" t="inlineStr">
        <is>
          <t>Forecast</t>
        </is>
      </c>
      <c r="C87" t="n">
        <v>3.657391836239044</v>
      </c>
      <c r="D87" t="n">
        <v>2.041613237128555</v>
      </c>
      <c r="E87" t="n">
        <v>2.068855951546718</v>
      </c>
      <c r="F87" t="n">
        <v>1.263740838483762</v>
      </c>
      <c r="G87" t="n">
        <v>1.027021092044037</v>
      </c>
      <c r="H87" t="n">
        <v>0</v>
      </c>
      <c r="I87" t="n">
        <v>10.05862295544212</v>
      </c>
      <c r="J87" t="n">
        <v>3.657391836239044</v>
      </c>
      <c r="K87" t="n">
        <v>2.041613237128555</v>
      </c>
      <c r="L87" t="n">
        <v>1.527270623916687</v>
      </c>
      <c r="M87" t="n">
        <v>0.4633716407773793</v>
      </c>
      <c r="N87" t="n">
        <v>0.6068760998442037</v>
      </c>
      <c r="O87" t="n">
        <v>0</v>
      </c>
      <c r="P87" t="n">
        <v>8.296523437905869</v>
      </c>
      <c r="Q87" t="n">
        <v>9.228094454534052</v>
      </c>
      <c r="R87" t="n">
        <v>7.611489392574191</v>
      </c>
      <c r="S87" t="n">
        <v>4.573570037829584</v>
      </c>
      <c r="T87" t="n">
        <v>5.817416336869187</v>
      </c>
      <c r="U87" t="n">
        <v>1.039600830225704</v>
      </c>
      <c r="V87" t="n">
        <v>0.6883837208538823</v>
      </c>
      <c r="W87" t="n">
        <v>0.006427491041518459</v>
      </c>
      <c r="X87" t="n">
        <v>12.12539841681988</v>
      </c>
      <c r="Y87" t="n">
        <v>2.820453433169895</v>
      </c>
      <c r="Z87" t="n">
        <v>22.18402137226199</v>
      </c>
      <c r="AA87" t="n">
        <v>20.42192185472575</v>
      </c>
    </row>
    <row r="88">
      <c r="A88" s="11" t="n">
        <v>46813</v>
      </c>
      <c r="B88" t="inlineStr">
        <is>
          <t>Forecast</t>
        </is>
      </c>
      <c r="C88" t="n">
        <v>3.600874226250532</v>
      </c>
      <c r="D88" t="n">
        <v>1.923014171431662</v>
      </c>
      <c r="E88" t="n">
        <v>2.057779371489476</v>
      </c>
      <c r="F88" t="n">
        <v>1.306569740368639</v>
      </c>
      <c r="G88" t="n">
        <v>1.085959867440759</v>
      </c>
      <c r="H88" t="n">
        <v>0</v>
      </c>
      <c r="I88" t="n">
        <v>9.974197376981069</v>
      </c>
      <c r="J88" t="n">
        <v>3.600874226250532</v>
      </c>
      <c r="K88" t="n">
        <v>1.923014171431662</v>
      </c>
      <c r="L88" t="n">
        <v>1.585330025994443</v>
      </c>
      <c r="M88" t="n">
        <v>0.5307939570247595</v>
      </c>
      <c r="N88" t="n">
        <v>0.6787249171504747</v>
      </c>
      <c r="O88" t="n">
        <v>0</v>
      </c>
      <c r="P88" t="n">
        <v>8.318737297851872</v>
      </c>
      <c r="Q88" t="n">
        <v>9.150639795395476</v>
      </c>
      <c r="R88" t="n">
        <v>7.631869080598046</v>
      </c>
      <c r="S88" t="n">
        <v>4.068206450284062</v>
      </c>
      <c r="T88" t="n">
        <v>5.790370846617636</v>
      </c>
      <c r="U88" t="n">
        <v>0.4768042469229207</v>
      </c>
      <c r="V88" t="n">
        <v>0.4736773898689856</v>
      </c>
      <c r="W88" t="n">
        <v>0.00640071522932744</v>
      </c>
      <c r="X88" t="n">
        <v>10.81545964892293</v>
      </c>
      <c r="Y88" t="n">
        <v>2.717900612837079</v>
      </c>
      <c r="Z88" t="n">
        <v>20.789657025904</v>
      </c>
      <c r="AA88" t="n">
        <v>19.1341969467748</v>
      </c>
    </row>
    <row r="89">
      <c r="A89" s="11" t="n">
        <v>46844</v>
      </c>
      <c r="B89" t="inlineStr">
        <is>
          <t>Forecast</t>
        </is>
      </c>
      <c r="C89" t="n">
        <v>3.44595048734534</v>
      </c>
      <c r="D89" t="n">
        <v>1.889634353046595</v>
      </c>
      <c r="E89" t="n">
        <v>2.038336726368151</v>
      </c>
      <c r="F89" t="n">
        <v>1.340907033704792</v>
      </c>
      <c r="G89" t="n">
        <v>1.136352355065207</v>
      </c>
      <c r="H89" t="n">
        <v>0</v>
      </c>
      <c r="I89" t="n">
        <v>9.851180955530085</v>
      </c>
      <c r="J89" t="n">
        <v>3.44595048734534</v>
      </c>
      <c r="K89" t="n">
        <v>1.889634353046595</v>
      </c>
      <c r="L89" t="n">
        <v>1.632697576842151</v>
      </c>
      <c r="M89" t="n">
        <v>0.7098919590201839</v>
      </c>
      <c r="N89" t="n">
        <v>0.7429996167734044</v>
      </c>
      <c r="O89" t="n">
        <v>0</v>
      </c>
      <c r="P89" t="n">
        <v>8.421173993027676</v>
      </c>
      <c r="Q89" t="n">
        <v>9.037780693146866</v>
      </c>
      <c r="R89" t="n">
        <v>7.72584770002539</v>
      </c>
      <c r="S89" t="n">
        <v>4.495762034023503</v>
      </c>
      <c r="T89" t="n">
        <v>5.725619356997369</v>
      </c>
      <c r="U89" t="n">
        <v>0.3095091639611158</v>
      </c>
      <c r="V89" t="n">
        <v>0.4307663539860483</v>
      </c>
      <c r="W89" t="n">
        <v>0.00638141081335423</v>
      </c>
      <c r="X89" t="n">
        <v>10.96803831978139</v>
      </c>
      <c r="Y89" t="n">
        <v>2.926172373492228</v>
      </c>
      <c r="Z89" t="n">
        <v>20.81921927531148</v>
      </c>
      <c r="AA89" t="n">
        <v>19.38921231280906</v>
      </c>
    </row>
    <row r="90">
      <c r="A90" s="11" t="n">
        <v>46874</v>
      </c>
      <c r="B90" t="inlineStr">
        <is>
          <t>Forecast</t>
        </is>
      </c>
      <c r="C90" t="n">
        <v>3.43063039161994</v>
      </c>
      <c r="D90" t="n">
        <v>2.069470190860216</v>
      </c>
      <c r="E90" t="n">
        <v>2.153454471256657</v>
      </c>
      <c r="F90" t="n">
        <v>1.463561088091734</v>
      </c>
      <c r="G90" t="n">
        <v>1.261497230639513</v>
      </c>
      <c r="H90" t="n">
        <v>0</v>
      </c>
      <c r="I90" t="n">
        <v>10.37861337246806</v>
      </c>
      <c r="J90" t="n">
        <v>3.43063039161994</v>
      </c>
      <c r="K90" t="n">
        <v>2.069470190860216</v>
      </c>
      <c r="L90" t="n">
        <v>1.787576284392662</v>
      </c>
      <c r="M90" t="n">
        <v>0.8943984427227267</v>
      </c>
      <c r="N90" t="n">
        <v>0.8560159779339555</v>
      </c>
      <c r="O90" t="n">
        <v>0</v>
      </c>
      <c r="P90" t="n">
        <v>9.0380912875295</v>
      </c>
      <c r="Q90" t="n">
        <v>9.521663644466111</v>
      </c>
      <c r="R90" t="n">
        <v>8.29182686929312</v>
      </c>
      <c r="S90" t="n">
        <v>5.792966830004295</v>
      </c>
      <c r="T90" t="n">
        <v>5.596993586952225</v>
      </c>
      <c r="U90" t="n">
        <v>0.2143567350080206</v>
      </c>
      <c r="V90" t="n">
        <v>0.3618820459787971</v>
      </c>
      <c r="W90" t="n">
        <v>0.006368304114801937</v>
      </c>
      <c r="X90" t="n">
        <v>11.97256750205814</v>
      </c>
      <c r="Y90" t="n">
        <v>3.180382741041683</v>
      </c>
      <c r="Z90" t="n">
        <v>22.3511808745262</v>
      </c>
      <c r="AA90" t="n">
        <v>21.01065878958764</v>
      </c>
    </row>
    <row r="91">
      <c r="A91" s="11" t="n">
        <v>46905</v>
      </c>
      <c r="B91" t="inlineStr">
        <is>
          <t>Forecast</t>
        </is>
      </c>
      <c r="C91" t="n">
        <v>3.539446459688377</v>
      </c>
      <c r="D91" t="n">
        <v>2.080458582437276</v>
      </c>
      <c r="E91" t="n">
        <v>2.22850188363676</v>
      </c>
      <c r="F91" t="n">
        <v>1.560824331090893</v>
      </c>
      <c r="G91" t="n">
        <v>1.365562560150865</v>
      </c>
      <c r="H91" t="n">
        <v>0</v>
      </c>
      <c r="I91" t="n">
        <v>10.77479381700417</v>
      </c>
      <c r="J91" t="n">
        <v>3.476443036848799</v>
      </c>
      <c r="K91" t="n">
        <v>2.080458582437276</v>
      </c>
      <c r="L91" t="n">
        <v>1.911653274588879</v>
      </c>
      <c r="M91" t="n">
        <v>1.06793243706219</v>
      </c>
      <c r="N91" t="n">
        <v>0.8648562880955482</v>
      </c>
      <c r="O91" t="n">
        <v>0</v>
      </c>
      <c r="P91" t="n">
        <v>9.401343619032692</v>
      </c>
      <c r="Q91" t="n">
        <v>9.885131942205662</v>
      </c>
      <c r="R91" t="n">
        <v>8.625085889020818</v>
      </c>
      <c r="S91" t="n">
        <v>6.680486736221694</v>
      </c>
      <c r="T91" t="n">
        <v>5.659067941972197</v>
      </c>
      <c r="U91" t="n">
        <v>0.2039075184487921</v>
      </c>
      <c r="V91" t="n">
        <v>0.3646025875132291</v>
      </c>
      <c r="W91" t="n">
        <v>0.006349097450035356</v>
      </c>
      <c r="X91" t="n">
        <v>12.91441388160595</v>
      </c>
      <c r="Y91" t="n">
        <v>3.118689989997125</v>
      </c>
      <c r="Z91" t="n">
        <v>23.68920769861012</v>
      </c>
      <c r="AA91" t="n">
        <v>22.31575750063864</v>
      </c>
    </row>
    <row r="92">
      <c r="A92" s="11" t="n">
        <v>46935</v>
      </c>
      <c r="B92" t="inlineStr">
        <is>
          <t>Forecast</t>
        </is>
      </c>
      <c r="C92" t="n">
        <v>3.580537225307972</v>
      </c>
      <c r="D92" t="n">
        <v>1.923694801971327</v>
      </c>
      <c r="E92" t="n">
        <v>2.219837511501199</v>
      </c>
      <c r="F92" t="n">
        <v>1.638668748320977</v>
      </c>
      <c r="G92" t="n">
        <v>1.417350330614681</v>
      </c>
      <c r="H92" t="n">
        <v>0</v>
      </c>
      <c r="I92" t="n">
        <v>10.78008861771616</v>
      </c>
      <c r="J92" t="n">
        <v>3.483469828235799</v>
      </c>
      <c r="K92" t="n">
        <v>1.923694801971327</v>
      </c>
      <c r="L92" t="n">
        <v>1.911526746014921</v>
      </c>
      <c r="M92" t="n">
        <v>1.119090852511887</v>
      </c>
      <c r="N92" t="n">
        <v>0.8415517588024669</v>
      </c>
      <c r="O92" t="n">
        <v>0</v>
      </c>
      <c r="P92" t="n">
        <v>9.2793339875364</v>
      </c>
      <c r="Q92" t="n">
        <v>9.889989557537758</v>
      </c>
      <c r="R92" t="n">
        <v>8.513150447281101</v>
      </c>
      <c r="S92" t="n">
        <v>7.270704077454631</v>
      </c>
      <c r="T92" t="n">
        <v>5.645119370491005</v>
      </c>
      <c r="U92" t="n">
        <v>0.1905884225703777</v>
      </c>
      <c r="V92" t="n">
        <v>0.3484381238751906</v>
      </c>
      <c r="W92" t="n">
        <v>0.006336057119489233</v>
      </c>
      <c r="X92" t="n">
        <v>13.46118605151069</v>
      </c>
      <c r="Y92" t="n">
        <v>2.976157804314986</v>
      </c>
      <c r="Z92" t="n">
        <v>24.24127466922685</v>
      </c>
      <c r="AA92" t="n">
        <v>22.74052003904709</v>
      </c>
    </row>
    <row r="93">
      <c r="A93" s="11" t="n">
        <v>46966</v>
      </c>
      <c r="B93" t="inlineStr">
        <is>
          <t>Forecast</t>
        </is>
      </c>
      <c r="C93" t="n">
        <v>3.66578647335968</v>
      </c>
      <c r="D93" t="n">
        <v>2.020821517921147</v>
      </c>
      <c r="E93" t="n">
        <v>2.278584853356434</v>
      </c>
      <c r="F93" t="n">
        <v>1.764086149688048</v>
      </c>
      <c r="G93" t="n">
        <v>1.545788842499651</v>
      </c>
      <c r="H93" t="n">
        <v>0</v>
      </c>
      <c r="I93" t="n">
        <v>11.27506783682496</v>
      </c>
      <c r="J93" t="n">
        <v>3.529442121719105</v>
      </c>
      <c r="K93" t="n">
        <v>2.020821517921147</v>
      </c>
      <c r="L93" t="n">
        <v>2.014859754588329</v>
      </c>
      <c r="M93" t="n">
        <v>1.230757778852127</v>
      </c>
      <c r="N93" t="n">
        <v>1.000216309852715</v>
      </c>
      <c r="O93" t="n">
        <v>0</v>
      </c>
      <c r="P93" t="n">
        <v>9.796097482933424</v>
      </c>
      <c r="Q93" t="n">
        <v>10.34409893286693</v>
      </c>
      <c r="R93" t="n">
        <v>8.987245397186626</v>
      </c>
      <c r="S93" t="n">
        <v>8.161645258862009</v>
      </c>
      <c r="T93" t="n">
        <v>5.710923844909262</v>
      </c>
      <c r="U93" t="n">
        <v>0.1674319187008908</v>
      </c>
      <c r="V93" t="n">
        <v>0.3396599301141548</v>
      </c>
      <c r="W93" t="n">
        <v>0.004937972511492646</v>
      </c>
      <c r="X93" t="n">
        <v>14.38459892509781</v>
      </c>
      <c r="Y93" t="n">
        <v>3.045932217645071</v>
      </c>
      <c r="Z93" t="n">
        <v>25.65966676192277</v>
      </c>
      <c r="AA93" t="n">
        <v>24.18069640803123</v>
      </c>
    </row>
    <row r="94">
      <c r="A94" s="11" t="n">
        <v>46997</v>
      </c>
      <c r="B94" t="inlineStr">
        <is>
          <t>Forecast</t>
        </is>
      </c>
      <c r="C94" t="n">
        <v>3.851887302922473</v>
      </c>
      <c r="D94" t="n">
        <v>2.208359729390681</v>
      </c>
      <c r="E94" t="n">
        <v>2.386485344030529</v>
      </c>
      <c r="F94" t="n">
        <v>1.933558934807008</v>
      </c>
      <c r="G94" t="n">
        <v>1.71422299856374</v>
      </c>
      <c r="H94" t="n">
        <v>0</v>
      </c>
      <c r="I94" t="n">
        <v>12.09451430971443</v>
      </c>
      <c r="J94" t="n">
        <v>3.6047320288538</v>
      </c>
      <c r="K94" t="n">
        <v>2.208359729390681</v>
      </c>
      <c r="L94" t="n">
        <v>2.165514478842517</v>
      </c>
      <c r="M94" t="n">
        <v>1.374975242529428</v>
      </c>
      <c r="N94" t="n">
        <v>1.142815332375827</v>
      </c>
      <c r="O94" t="n">
        <v>0</v>
      </c>
      <c r="P94" t="n">
        <v>10.49639681199225</v>
      </c>
      <c r="Q94" t="n">
        <v>11.0958846878114</v>
      </c>
      <c r="R94" t="n">
        <v>9.629721845864452</v>
      </c>
      <c r="S94" t="n">
        <v>6.918029331066658</v>
      </c>
      <c r="T94" t="n">
        <v>5.685496361522128</v>
      </c>
      <c r="U94" t="n">
        <v>0.1647016037759739</v>
      </c>
      <c r="V94" t="n">
        <v>0.3479485724990113</v>
      </c>
      <c r="W94" t="n">
        <v>0.004916590035381976</v>
      </c>
      <c r="X94" t="n">
        <v>13.12109245889915</v>
      </c>
      <c r="Y94" t="n">
        <v>2.867294580756643</v>
      </c>
      <c r="Z94" t="n">
        <v>25.21560676861358</v>
      </c>
      <c r="AA94" t="n">
        <v>23.6174892708914</v>
      </c>
    </row>
    <row r="95">
      <c r="A95" s="11" t="n">
        <v>47027</v>
      </c>
      <c r="B95" t="inlineStr">
        <is>
          <t>Forecast</t>
        </is>
      </c>
      <c r="C95" t="n">
        <v>4.036698454066101</v>
      </c>
      <c r="D95" t="n">
        <v>2.269215913978495</v>
      </c>
      <c r="E95" t="n">
        <v>2.45211495079214</v>
      </c>
      <c r="F95" t="n">
        <v>2.075032062940718</v>
      </c>
      <c r="G95" t="n">
        <v>1.85921864905276</v>
      </c>
      <c r="H95" t="n">
        <v>0</v>
      </c>
      <c r="I95" t="n">
        <v>12.69228003083021</v>
      </c>
      <c r="J95" t="n">
        <v>3.703738936288341</v>
      </c>
      <c r="K95" t="n">
        <v>2.269215913978495</v>
      </c>
      <c r="L95" t="n">
        <v>2.281829190320463</v>
      </c>
      <c r="M95" t="n">
        <v>1.501087024254987</v>
      </c>
      <c r="N95" t="n">
        <v>1.27209697040452</v>
      </c>
      <c r="O95" t="n">
        <v>0</v>
      </c>
      <c r="P95" t="n">
        <v>11.02796803524681</v>
      </c>
      <c r="Q95" t="n">
        <v>11.64429360626625</v>
      </c>
      <c r="R95" t="n">
        <v>10.11740186719891</v>
      </c>
      <c r="S95" t="n">
        <v>5.436307874895696</v>
      </c>
      <c r="T95" t="n">
        <v>5.535716984954465</v>
      </c>
      <c r="U95" t="n">
        <v>0.2285915152430072</v>
      </c>
      <c r="V95" t="n">
        <v>0.3809684820668436</v>
      </c>
      <c r="W95" t="n">
        <v>0.004912968244491286</v>
      </c>
      <c r="X95" t="n">
        <v>11.58649782540451</v>
      </c>
      <c r="Y95" t="n">
        <v>2.735102250289116</v>
      </c>
      <c r="Z95" t="n">
        <v>24.27877785623472</v>
      </c>
      <c r="AA95" t="n">
        <v>22.61446586065131</v>
      </c>
    </row>
    <row r="96">
      <c r="A96" s="11" t="n">
        <v>47058</v>
      </c>
      <c r="B96" t="inlineStr">
        <is>
          <t>Forecast</t>
        </is>
      </c>
      <c r="C96" t="n">
        <v>4.186619820386314</v>
      </c>
      <c r="D96" t="n">
        <v>2.294377528673835</v>
      </c>
      <c r="E96" t="n">
        <v>2.504508039719768</v>
      </c>
      <c r="F96" t="n">
        <v>2.209554095671418</v>
      </c>
      <c r="G96" t="n">
        <v>1.898943625234753</v>
      </c>
      <c r="H96" t="n">
        <v>0</v>
      </c>
      <c r="I96" t="n">
        <v>13.09400310968609</v>
      </c>
      <c r="J96" t="n">
        <v>3.806198400094905</v>
      </c>
      <c r="K96" t="n">
        <v>2.294377528673835</v>
      </c>
      <c r="L96" t="n">
        <v>2.388558593436446</v>
      </c>
      <c r="M96" t="n">
        <v>1.623345866207572</v>
      </c>
      <c r="N96" t="n">
        <v>1.399221618594029</v>
      </c>
      <c r="O96" t="n">
        <v>0</v>
      </c>
      <c r="P96" t="n">
        <v>11.51170200700679</v>
      </c>
      <c r="Q96" t="n">
        <v>12.01284688962026</v>
      </c>
      <c r="R96" t="n">
        <v>10.56119450184109</v>
      </c>
      <c r="S96" t="n">
        <v>4.645007511031529</v>
      </c>
      <c r="T96" t="n">
        <v>5.926410895787899</v>
      </c>
      <c r="U96" t="n">
        <v>0.4397364186666121</v>
      </c>
      <c r="V96" t="n">
        <v>0.4773825548164495</v>
      </c>
      <c r="W96" t="n">
        <v>0.004891694042199594</v>
      </c>
      <c r="X96" t="n">
        <v>11.49342907434469</v>
      </c>
      <c r="Y96" t="n">
        <v>2.673277039427246</v>
      </c>
      <c r="Z96" t="n">
        <v>24.58743218403078</v>
      </c>
      <c r="AA96" t="n">
        <v>23.00513108135148</v>
      </c>
    </row>
    <row r="97">
      <c r="A97" s="11" t="n">
        <v>47088</v>
      </c>
      <c r="B97" t="inlineStr">
        <is>
          <t>Forecast</t>
        </is>
      </c>
      <c r="C97" t="n">
        <v>4.162087929490236</v>
      </c>
      <c r="D97" t="n">
        <v>2.271721546594982</v>
      </c>
      <c r="E97" t="n">
        <v>2.47089018790455</v>
      </c>
      <c r="F97" t="n">
        <v>2.268870713967331</v>
      </c>
      <c r="G97" t="n">
        <v>1.873454225965051</v>
      </c>
      <c r="H97" t="n">
        <v>0</v>
      </c>
      <c r="I97" t="n">
        <v>13.04702460392215</v>
      </c>
      <c r="J97" t="n">
        <v>3.815205839848101</v>
      </c>
      <c r="K97" t="n">
        <v>2.271721546594982</v>
      </c>
      <c r="L97" t="n">
        <v>2.413693655777129</v>
      </c>
      <c r="M97" t="n">
        <v>1.690531120210953</v>
      </c>
      <c r="N97" t="n">
        <v>1.479042809972408</v>
      </c>
      <c r="O97" t="n">
        <v>0</v>
      </c>
      <c r="P97" t="n">
        <v>11.67019497240357</v>
      </c>
      <c r="Q97" t="n">
        <v>11.96974734304784</v>
      </c>
      <c r="R97" t="n">
        <v>10.70660089211337</v>
      </c>
      <c r="S97" t="n">
        <v>4.588742658117908</v>
      </c>
      <c r="T97" t="n">
        <v>6.127807724953939</v>
      </c>
      <c r="U97" t="n">
        <v>0.8109550021625722</v>
      </c>
      <c r="V97" t="n">
        <v>0.6085549143271148</v>
      </c>
      <c r="W97" t="n">
        <v>0.004888090590865522</v>
      </c>
      <c r="X97" t="n">
        <v>12.1409483901524</v>
      </c>
      <c r="Y97" t="n">
        <v>2.55152783464158</v>
      </c>
      <c r="Z97" t="n">
        <v>25.18797299407455</v>
      </c>
      <c r="AA97" t="n">
        <v>23.81114336255597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D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ENG|Corpus Christi</t>
        </is>
      </c>
      <c r="C1" t="inlineStr">
        <is>
          <t>ENG|El Paso</t>
        </is>
      </c>
      <c r="D1" t="inlineStr">
        <is>
          <t>ENG|Freeport</t>
        </is>
      </c>
      <c r="E1" t="inlineStr">
        <is>
          <t>ENG|Golden Pass</t>
        </is>
      </c>
      <c r="F1" t="inlineStr">
        <is>
          <t>ENG|Laredo</t>
        </is>
      </c>
      <c r="G1" t="inlineStr">
        <is>
          <t>ENP|Brownsville</t>
        </is>
      </c>
      <c r="H1" t="inlineStr">
        <is>
          <t>ENP|Laredo</t>
        </is>
      </c>
      <c r="I1" t="inlineStr">
        <is>
          <t>ENP|Rio Grande</t>
        </is>
      </c>
      <c r="J1" t="inlineStr">
        <is>
          <t>cap|Total Underground Storage Capacity</t>
        </is>
      </c>
      <c r="K1" t="inlineStr">
        <is>
          <t>cap|Underground Storage Acquifers Capacity</t>
        </is>
      </c>
      <c r="L1" t="inlineStr">
        <is>
          <t>cap|Underground Storage Depleted Fields Capacity</t>
        </is>
      </c>
      <c r="M1" t="inlineStr">
        <is>
          <t>cap|Underground Storage Salt Caverns Capacity</t>
        </is>
      </c>
      <c r="N1" t="inlineStr">
        <is>
          <t>cap|Working Underground Storage Acquifers Capacity</t>
        </is>
      </c>
      <c r="O1" t="inlineStr">
        <is>
          <t>cap|Working Underground Storage Capacity</t>
        </is>
      </c>
      <c r="P1" t="inlineStr">
        <is>
          <t>cap|Working Underground Storage Depleted Fields Capacity</t>
        </is>
      </c>
      <c r="Q1" t="inlineStr">
        <is>
          <t>cap|Working Underground Storage Salt Caverns Capacity</t>
        </is>
      </c>
      <c r="R1" t="inlineStr">
        <is>
          <t>cons|Commercial</t>
        </is>
      </c>
      <c r="S1" t="inlineStr">
        <is>
          <t>cons|Delivered to consumers</t>
        </is>
      </c>
      <c r="T1" t="inlineStr">
        <is>
          <t>cons|Electric power</t>
        </is>
      </c>
      <c r="U1" t="inlineStr">
        <is>
          <t>cons|Industrial</t>
        </is>
      </c>
      <c r="V1" t="inlineStr">
        <is>
          <t>cons|Residential</t>
        </is>
      </c>
      <c r="W1" t="inlineStr">
        <is>
          <t>cons|Vehicle fuel</t>
        </is>
      </c>
      <c r="X1" t="inlineStr">
        <is>
          <t>prod|Dry production</t>
        </is>
      </c>
      <c r="Y1" t="inlineStr">
        <is>
          <t>prod|Extraction loss</t>
        </is>
      </c>
      <c r="Z1" t="inlineStr">
        <is>
          <t>prod|Marketed production</t>
        </is>
      </c>
      <c r="AA1" t="inlineStr">
        <is>
          <t>stor|Injections</t>
        </is>
      </c>
      <c r="AB1" t="inlineStr">
        <is>
          <t>stor|Net withdrawals</t>
        </is>
      </c>
      <c r="AC1" t="inlineStr">
        <is>
          <t>stor|Withdrawals</t>
        </is>
      </c>
      <c r="AD1" t="inlineStr">
        <is>
          <t>stor|Working gas</t>
        </is>
      </c>
    </row>
    <row r="2">
      <c r="A2" s="11" t="n">
        <v>42005</v>
      </c>
      <c r="D2" t="n">
        <v>2805</v>
      </c>
      <c r="I2" t="n">
        <v>15984</v>
      </c>
      <c r="J2" t="n">
        <v>834965</v>
      </c>
      <c r="K2" t="n">
        <v>0</v>
      </c>
      <c r="L2" t="n">
        <v>580870</v>
      </c>
      <c r="M2" t="n">
        <v>254096</v>
      </c>
      <c r="N2" t="n">
        <v>0</v>
      </c>
      <c r="O2" t="n">
        <v>534539</v>
      </c>
      <c r="P2" t="n">
        <v>367143</v>
      </c>
      <c r="Q2" t="n">
        <v>167397</v>
      </c>
      <c r="R2" t="n">
        <v>27388</v>
      </c>
      <c r="S2" t="n">
        <v>348119</v>
      </c>
      <c r="T2" t="n">
        <v>126489</v>
      </c>
      <c r="U2" t="n">
        <v>140247</v>
      </c>
      <c r="V2" t="n">
        <v>53622</v>
      </c>
      <c r="W2" t="n">
        <v>373</v>
      </c>
      <c r="X2" t="n">
        <v>598643</v>
      </c>
      <c r="Y2" t="n">
        <v>68149</v>
      </c>
      <c r="Z2" t="n">
        <v>666792</v>
      </c>
      <c r="AA2" t="n">
        <v>20542</v>
      </c>
      <c r="AB2" t="n">
        <v>66265</v>
      </c>
      <c r="AC2" t="n">
        <v>86807</v>
      </c>
      <c r="AD2" t="n">
        <v>307710</v>
      </c>
    </row>
    <row r="3">
      <c r="A3" s="11" t="n">
        <v>42036</v>
      </c>
      <c r="D3" t="n">
        <v>2728</v>
      </c>
      <c r="I3" t="n">
        <v>17668</v>
      </c>
      <c r="R3" t="n">
        <v>21751</v>
      </c>
      <c r="S3" t="n">
        <v>297837</v>
      </c>
      <c r="T3" t="n">
        <v>113522</v>
      </c>
      <c r="U3" t="n">
        <v>125336</v>
      </c>
      <c r="V3" t="n">
        <v>36891</v>
      </c>
      <c r="W3" t="n">
        <v>337</v>
      </c>
      <c r="X3" t="n">
        <v>553392</v>
      </c>
      <c r="Y3" t="n">
        <v>61860</v>
      </c>
      <c r="Z3" t="n">
        <v>615252</v>
      </c>
      <c r="AA3" t="n">
        <v>13063</v>
      </c>
      <c r="AB3" t="n">
        <v>75241</v>
      </c>
      <c r="AC3" t="n">
        <v>88304</v>
      </c>
      <c r="AD3" t="n">
        <v>232292</v>
      </c>
    </row>
    <row r="4">
      <c r="A4" s="11" t="n">
        <v>42064</v>
      </c>
      <c r="I4" t="n">
        <v>21372</v>
      </c>
      <c r="R4" t="n">
        <v>20419</v>
      </c>
      <c r="S4" t="n">
        <v>315617</v>
      </c>
      <c r="T4" t="n">
        <v>127251</v>
      </c>
      <c r="U4" t="n">
        <v>133061</v>
      </c>
      <c r="V4" t="n">
        <v>34514</v>
      </c>
      <c r="W4" t="n">
        <v>373</v>
      </c>
      <c r="X4" t="n">
        <v>609321</v>
      </c>
      <c r="Y4" t="n">
        <v>68790</v>
      </c>
      <c r="Z4" t="n">
        <v>678110</v>
      </c>
      <c r="AA4" t="n">
        <v>39696</v>
      </c>
      <c r="AB4" t="n">
        <v>4146</v>
      </c>
      <c r="AC4" t="n">
        <v>43842</v>
      </c>
      <c r="AD4" t="n">
        <v>228206</v>
      </c>
    </row>
    <row r="5">
      <c r="A5" s="11" t="n">
        <v>42095</v>
      </c>
      <c r="I5" t="n">
        <v>22842</v>
      </c>
      <c r="R5" t="n">
        <v>12629</v>
      </c>
      <c r="S5" t="n">
        <v>271023</v>
      </c>
      <c r="T5" t="n">
        <v>117283</v>
      </c>
      <c r="U5" t="n">
        <v>129764</v>
      </c>
      <c r="V5" t="n">
        <v>10986</v>
      </c>
      <c r="W5" t="n">
        <v>361</v>
      </c>
      <c r="X5" t="n">
        <v>597766</v>
      </c>
      <c r="Y5" t="n">
        <v>67532</v>
      </c>
      <c r="Z5" t="n">
        <v>665298</v>
      </c>
      <c r="AA5" t="n">
        <v>78280</v>
      </c>
      <c r="AB5" t="n">
        <v>-68034</v>
      </c>
      <c r="AC5" t="n">
        <v>10246</v>
      </c>
      <c r="AD5" t="n">
        <v>296391</v>
      </c>
    </row>
    <row r="6">
      <c r="A6" s="11" t="n">
        <v>42125</v>
      </c>
      <c r="I6" t="n">
        <v>23041</v>
      </c>
      <c r="R6" t="n">
        <v>10214</v>
      </c>
      <c r="S6" t="n">
        <v>274677</v>
      </c>
      <c r="T6" t="n">
        <v>122352</v>
      </c>
      <c r="U6" t="n">
        <v>134880</v>
      </c>
      <c r="V6" t="n">
        <v>6857</v>
      </c>
      <c r="W6" t="n">
        <v>373</v>
      </c>
      <c r="X6" t="n">
        <v>605420</v>
      </c>
      <c r="Y6" t="n">
        <v>68778</v>
      </c>
      <c r="Z6" t="n">
        <v>674199</v>
      </c>
      <c r="AA6" t="n">
        <v>75834</v>
      </c>
      <c r="AB6" t="n">
        <v>-64583</v>
      </c>
      <c r="AC6" t="n">
        <v>11251</v>
      </c>
      <c r="AD6" t="n">
        <v>361017</v>
      </c>
    </row>
    <row r="7">
      <c r="A7" s="11" t="n">
        <v>42156</v>
      </c>
      <c r="I7" t="n">
        <v>24529</v>
      </c>
      <c r="R7" t="n">
        <v>10620</v>
      </c>
      <c r="S7" t="n">
        <v>292544</v>
      </c>
      <c r="T7" t="n">
        <v>145182</v>
      </c>
      <c r="U7" t="n">
        <v>130022</v>
      </c>
      <c r="V7" t="n">
        <v>6360</v>
      </c>
      <c r="W7" t="n">
        <v>361</v>
      </c>
      <c r="X7" t="n">
        <v>591515</v>
      </c>
      <c r="Y7" t="n">
        <v>66405</v>
      </c>
      <c r="Z7" t="n">
        <v>657920</v>
      </c>
      <c r="AA7" t="n">
        <v>39661</v>
      </c>
      <c r="AB7" t="n">
        <v>-23854</v>
      </c>
      <c r="AC7" t="n">
        <v>15807</v>
      </c>
      <c r="AD7" t="n">
        <v>384847</v>
      </c>
    </row>
    <row r="8">
      <c r="A8" s="11" t="n">
        <v>42186</v>
      </c>
      <c r="I8" t="n">
        <v>29766</v>
      </c>
      <c r="R8" t="n">
        <v>10649</v>
      </c>
      <c r="S8" t="n">
        <v>330573</v>
      </c>
      <c r="T8" t="n">
        <v>179372</v>
      </c>
      <c r="U8" t="n">
        <v>133700</v>
      </c>
      <c r="V8" t="n">
        <v>6479</v>
      </c>
      <c r="W8" t="n">
        <v>373</v>
      </c>
      <c r="X8" t="n">
        <v>605137</v>
      </c>
      <c r="Y8" t="n">
        <v>68836</v>
      </c>
      <c r="Z8" t="n">
        <v>673973</v>
      </c>
      <c r="AA8" t="n">
        <v>28951</v>
      </c>
      <c r="AB8" t="n">
        <v>-1462</v>
      </c>
      <c r="AC8" t="n">
        <v>27488</v>
      </c>
      <c r="AD8" t="n">
        <v>386186</v>
      </c>
    </row>
    <row r="9">
      <c r="A9" s="11" t="n">
        <v>42217</v>
      </c>
      <c r="I9" t="n">
        <v>30441</v>
      </c>
      <c r="R9" t="n">
        <v>9420</v>
      </c>
      <c r="S9" t="n">
        <v>334353</v>
      </c>
      <c r="T9" t="n">
        <v>183710</v>
      </c>
      <c r="U9" t="n">
        <v>135975</v>
      </c>
      <c r="V9" t="n">
        <v>4875</v>
      </c>
      <c r="W9" t="n">
        <v>373</v>
      </c>
      <c r="X9" t="n">
        <v>598508</v>
      </c>
      <c r="Y9" t="n">
        <v>68914</v>
      </c>
      <c r="Z9" t="n">
        <v>667422</v>
      </c>
      <c r="AA9" t="n">
        <v>32731</v>
      </c>
      <c r="AB9" t="n">
        <v>-6397</v>
      </c>
      <c r="AC9" t="n">
        <v>26334</v>
      </c>
      <c r="AD9" t="n">
        <v>392583</v>
      </c>
    </row>
    <row r="10">
      <c r="A10" s="11" t="n">
        <v>42248</v>
      </c>
      <c r="I10" t="n">
        <v>29787</v>
      </c>
      <c r="R10" t="n">
        <v>9633</v>
      </c>
      <c r="S10" t="n">
        <v>292889</v>
      </c>
      <c r="T10" t="n">
        <v>149420</v>
      </c>
      <c r="U10" t="n">
        <v>128074</v>
      </c>
      <c r="V10" t="n">
        <v>5401</v>
      </c>
      <c r="W10" t="n">
        <v>361</v>
      </c>
      <c r="X10" t="n">
        <v>587292</v>
      </c>
      <c r="Y10" t="n">
        <v>67112</v>
      </c>
      <c r="Z10" t="n">
        <v>654404</v>
      </c>
      <c r="AA10" t="n">
        <v>50816</v>
      </c>
      <c r="AB10" t="n">
        <v>-35276</v>
      </c>
      <c r="AC10" t="n">
        <v>15540</v>
      </c>
      <c r="AD10" t="n">
        <v>428110</v>
      </c>
    </row>
    <row r="11">
      <c r="A11" s="11" t="n">
        <v>42278</v>
      </c>
      <c r="F11" t="n">
        <v>1</v>
      </c>
      <c r="I11" t="n">
        <v>31090</v>
      </c>
      <c r="R11" t="n">
        <v>10532</v>
      </c>
      <c r="S11" t="n">
        <v>278831</v>
      </c>
      <c r="T11" t="n">
        <v>129548</v>
      </c>
      <c r="U11" t="n">
        <v>132045</v>
      </c>
      <c r="V11" t="n">
        <v>6334</v>
      </c>
      <c r="W11" t="n">
        <v>373</v>
      </c>
      <c r="X11" t="n">
        <v>591553</v>
      </c>
      <c r="Y11" t="n">
        <v>68844</v>
      </c>
      <c r="Z11" t="n">
        <v>660397</v>
      </c>
      <c r="AA11" t="n">
        <v>56019</v>
      </c>
      <c r="AB11" t="n">
        <v>-41913</v>
      </c>
      <c r="AC11" t="n">
        <v>14106</v>
      </c>
      <c r="AD11" t="n">
        <v>470258</v>
      </c>
    </row>
    <row r="12">
      <c r="A12" s="11" t="n">
        <v>42309</v>
      </c>
      <c r="D12" t="n">
        <v>2947</v>
      </c>
      <c r="F12" t="n">
        <v>0</v>
      </c>
      <c r="I12" t="n">
        <v>29995</v>
      </c>
      <c r="R12" t="n">
        <v>13714</v>
      </c>
      <c r="S12" t="n">
        <v>271193</v>
      </c>
      <c r="T12" t="n">
        <v>108509</v>
      </c>
      <c r="U12" t="n">
        <v>137582</v>
      </c>
      <c r="V12" t="n">
        <v>11027</v>
      </c>
      <c r="W12" t="n">
        <v>361</v>
      </c>
      <c r="X12" t="n">
        <v>564632</v>
      </c>
      <c r="Y12" t="n">
        <v>66343</v>
      </c>
      <c r="Z12" t="n">
        <v>630975</v>
      </c>
      <c r="AA12" t="n">
        <v>26996</v>
      </c>
      <c r="AB12" t="n">
        <v>-2086</v>
      </c>
      <c r="AC12" t="n">
        <v>24910</v>
      </c>
      <c r="AD12" t="n">
        <v>471593</v>
      </c>
    </row>
    <row r="13">
      <c r="A13" s="11" t="n">
        <v>42339</v>
      </c>
      <c r="D13" t="n">
        <v>3145</v>
      </c>
      <c r="I13" t="n">
        <v>34452</v>
      </c>
      <c r="R13" t="n">
        <v>18914</v>
      </c>
      <c r="S13" t="n">
        <v>313833</v>
      </c>
      <c r="T13" t="n">
        <v>121199</v>
      </c>
      <c r="U13" t="n">
        <v>145313</v>
      </c>
      <c r="V13" t="n">
        <v>28033</v>
      </c>
      <c r="W13" t="n">
        <v>373</v>
      </c>
      <c r="X13" t="n">
        <v>577159</v>
      </c>
      <c r="Y13" t="n">
        <v>68559</v>
      </c>
      <c r="Z13" t="n">
        <v>645718</v>
      </c>
      <c r="AA13" t="n">
        <v>31787</v>
      </c>
      <c r="AB13" t="n">
        <v>6424</v>
      </c>
      <c r="AC13" t="n">
        <v>38211</v>
      </c>
      <c r="AD13" t="n">
        <v>469012</v>
      </c>
    </row>
    <row r="14">
      <c r="A14" s="11" t="n">
        <v>42370</v>
      </c>
      <c r="I14" t="n">
        <v>31055</v>
      </c>
      <c r="J14" t="n">
        <v>854469</v>
      </c>
      <c r="L14" t="n">
        <v>593685</v>
      </c>
      <c r="M14" t="n">
        <v>260784</v>
      </c>
      <c r="O14" t="n">
        <v>549887</v>
      </c>
      <c r="P14" t="n">
        <v>377089</v>
      </c>
      <c r="Q14" t="n">
        <v>172799</v>
      </c>
      <c r="R14" t="n">
        <v>23538</v>
      </c>
      <c r="S14" t="n">
        <v>330283</v>
      </c>
      <c r="T14" t="n">
        <v>122753</v>
      </c>
      <c r="U14" t="n">
        <v>142240</v>
      </c>
      <c r="V14" t="n">
        <v>41423</v>
      </c>
      <c r="W14" t="n">
        <v>328</v>
      </c>
      <c r="X14" t="n">
        <v>552691</v>
      </c>
      <c r="Y14" t="n">
        <v>70233</v>
      </c>
      <c r="Z14" t="n">
        <v>622924</v>
      </c>
      <c r="AA14" t="n">
        <v>17953</v>
      </c>
      <c r="AB14" t="n">
        <v>56721</v>
      </c>
      <c r="AC14" t="n">
        <v>74674</v>
      </c>
      <c r="AD14" t="n">
        <v>411431</v>
      </c>
    </row>
    <row r="15">
      <c r="A15" s="11" t="n">
        <v>42401</v>
      </c>
      <c r="F15" t="n">
        <v>3</v>
      </c>
      <c r="I15" t="n">
        <v>38906</v>
      </c>
      <c r="R15" t="n">
        <v>18764</v>
      </c>
      <c r="S15" t="n">
        <v>285885</v>
      </c>
      <c r="T15" t="n">
        <v>105227</v>
      </c>
      <c r="U15" t="n">
        <v>131520</v>
      </c>
      <c r="V15" t="n">
        <v>30067</v>
      </c>
      <c r="W15" t="n">
        <v>307</v>
      </c>
      <c r="X15" t="n">
        <v>529687</v>
      </c>
      <c r="Y15" t="n">
        <v>66633</v>
      </c>
      <c r="Z15" t="n">
        <v>596319</v>
      </c>
      <c r="AA15" t="n">
        <v>21048</v>
      </c>
      <c r="AB15" t="n">
        <v>24128</v>
      </c>
      <c r="AC15" t="n">
        <v>45176</v>
      </c>
      <c r="AD15" t="n">
        <v>386432</v>
      </c>
    </row>
    <row r="16">
      <c r="A16" s="11" t="n">
        <v>42430</v>
      </c>
      <c r="F16" t="n">
        <v>7</v>
      </c>
      <c r="I16" t="n">
        <v>40764</v>
      </c>
      <c r="R16" t="n">
        <v>14500</v>
      </c>
      <c r="S16" t="n">
        <v>289057</v>
      </c>
      <c r="T16" t="n">
        <v>119813</v>
      </c>
      <c r="U16" t="n">
        <v>137784</v>
      </c>
      <c r="V16" t="n">
        <v>16632</v>
      </c>
      <c r="W16" t="n">
        <v>328</v>
      </c>
      <c r="X16" t="n">
        <v>552385</v>
      </c>
      <c r="Y16" t="n">
        <v>70423</v>
      </c>
      <c r="Z16" t="n">
        <v>622809</v>
      </c>
      <c r="AA16" t="n">
        <v>46257</v>
      </c>
      <c r="AB16" t="n">
        <v>-19445</v>
      </c>
      <c r="AC16" t="n">
        <v>26812</v>
      </c>
      <c r="AD16" t="n">
        <v>405380</v>
      </c>
    </row>
    <row r="17">
      <c r="A17" s="11" t="n">
        <v>42461</v>
      </c>
      <c r="F17" t="n">
        <v>8</v>
      </c>
      <c r="I17" t="n">
        <v>41304</v>
      </c>
      <c r="R17" t="n">
        <v>12955</v>
      </c>
      <c r="S17" t="n">
        <v>269291</v>
      </c>
      <c r="T17" t="n">
        <v>117564</v>
      </c>
      <c r="U17" t="n">
        <v>126871</v>
      </c>
      <c r="V17" t="n">
        <v>11584</v>
      </c>
      <c r="W17" t="n">
        <v>318</v>
      </c>
      <c r="X17" t="n">
        <v>544494</v>
      </c>
      <c r="Y17" t="n">
        <v>68104</v>
      </c>
      <c r="Z17" t="n">
        <v>612599</v>
      </c>
      <c r="AA17" t="n">
        <v>52553</v>
      </c>
      <c r="AB17" t="n">
        <v>-38115</v>
      </c>
      <c r="AC17" t="n">
        <v>14438</v>
      </c>
      <c r="AD17" t="n">
        <v>438907</v>
      </c>
    </row>
    <row r="18">
      <c r="A18" s="11" t="n">
        <v>42491</v>
      </c>
      <c r="F18" t="n">
        <v>18</v>
      </c>
      <c r="I18" t="n">
        <v>46444</v>
      </c>
      <c r="R18" t="n">
        <v>10404</v>
      </c>
      <c r="S18" t="n">
        <v>279180</v>
      </c>
      <c r="T18" t="n">
        <v>132444</v>
      </c>
      <c r="U18" t="n">
        <v>128630</v>
      </c>
      <c r="V18" t="n">
        <v>7373</v>
      </c>
      <c r="W18" t="n">
        <v>328</v>
      </c>
      <c r="X18" t="n">
        <v>548906</v>
      </c>
      <c r="Y18" t="n">
        <v>69573</v>
      </c>
      <c r="Z18" t="n">
        <v>618479</v>
      </c>
      <c r="AA18" t="n">
        <v>44466</v>
      </c>
      <c r="AB18" t="n">
        <v>-29546</v>
      </c>
      <c r="AC18" t="n">
        <v>14920</v>
      </c>
      <c r="AD18" t="n">
        <v>468372</v>
      </c>
    </row>
    <row r="19">
      <c r="A19" s="11" t="n">
        <v>42522</v>
      </c>
      <c r="F19" t="n">
        <v>12</v>
      </c>
      <c r="I19" t="n">
        <v>45335</v>
      </c>
      <c r="R19" t="n">
        <v>11194</v>
      </c>
      <c r="S19" t="n">
        <v>298407</v>
      </c>
      <c r="T19" t="n">
        <v>151466</v>
      </c>
      <c r="U19" t="n">
        <v>128351</v>
      </c>
      <c r="V19" t="n">
        <v>7078</v>
      </c>
      <c r="W19" t="n">
        <v>318</v>
      </c>
      <c r="X19" t="n">
        <v>534905</v>
      </c>
      <c r="Y19" t="n">
        <v>66683</v>
      </c>
      <c r="Z19" t="n">
        <v>601588</v>
      </c>
      <c r="AA19" t="n">
        <v>16715</v>
      </c>
      <c r="AB19" t="n">
        <v>7624</v>
      </c>
      <c r="AC19" t="n">
        <v>24339</v>
      </c>
      <c r="AD19" t="n">
        <v>460919</v>
      </c>
    </row>
    <row r="20">
      <c r="A20" s="11" t="n">
        <v>42552</v>
      </c>
      <c r="F20" t="n">
        <v>21</v>
      </c>
      <c r="I20" t="n">
        <v>50104</v>
      </c>
      <c r="R20" t="n">
        <v>9940</v>
      </c>
      <c r="S20" t="n">
        <v>328972</v>
      </c>
      <c r="T20" t="n">
        <v>170485</v>
      </c>
      <c r="U20" t="n">
        <v>142462</v>
      </c>
      <c r="V20" t="n">
        <v>5756</v>
      </c>
      <c r="W20" t="n">
        <v>328</v>
      </c>
      <c r="X20" t="n">
        <v>555097</v>
      </c>
      <c r="Y20" t="n">
        <v>69470</v>
      </c>
      <c r="Z20" t="n">
        <v>624567</v>
      </c>
      <c r="AA20" t="n">
        <v>19641</v>
      </c>
      <c r="AB20" t="n">
        <v>18530</v>
      </c>
      <c r="AC20" t="n">
        <v>38170</v>
      </c>
      <c r="AD20" t="n">
        <v>442642</v>
      </c>
    </row>
    <row r="21">
      <c r="A21" s="11" t="n">
        <v>42583</v>
      </c>
      <c r="F21" t="n">
        <v>23</v>
      </c>
      <c r="I21" t="n">
        <v>55932</v>
      </c>
      <c r="R21" t="n">
        <v>9890</v>
      </c>
      <c r="S21" t="n">
        <v>333459</v>
      </c>
      <c r="T21" t="n">
        <v>174678</v>
      </c>
      <c r="U21" t="n">
        <v>143182</v>
      </c>
      <c r="V21" t="n">
        <v>5380</v>
      </c>
      <c r="W21" t="n">
        <v>328</v>
      </c>
      <c r="X21" t="n">
        <v>540737</v>
      </c>
      <c r="Y21" t="n">
        <v>68919</v>
      </c>
      <c r="Z21" t="n">
        <v>609656</v>
      </c>
      <c r="AA21" t="n">
        <v>21283</v>
      </c>
      <c r="AB21" t="n">
        <v>21348</v>
      </c>
      <c r="AC21" t="n">
        <v>42631</v>
      </c>
      <c r="AD21" t="n">
        <v>420932</v>
      </c>
    </row>
    <row r="22">
      <c r="A22" s="11" t="n">
        <v>42614</v>
      </c>
      <c r="F22" t="n">
        <v>27</v>
      </c>
      <c r="I22" t="n">
        <v>56445</v>
      </c>
      <c r="R22" t="n">
        <v>9892</v>
      </c>
      <c r="S22" t="n">
        <v>296870</v>
      </c>
      <c r="T22" t="n">
        <v>144410</v>
      </c>
      <c r="U22" t="n">
        <v>136898</v>
      </c>
      <c r="V22" t="n">
        <v>5353</v>
      </c>
      <c r="W22" t="n">
        <v>318</v>
      </c>
      <c r="X22" t="n">
        <v>515462</v>
      </c>
      <c r="Y22" t="n">
        <v>66254</v>
      </c>
      <c r="Z22" t="n">
        <v>581717</v>
      </c>
      <c r="AA22" t="n">
        <v>28346</v>
      </c>
      <c r="AB22" t="n">
        <v>112</v>
      </c>
      <c r="AC22" t="n">
        <v>28459</v>
      </c>
      <c r="AD22" t="n">
        <v>421208</v>
      </c>
    </row>
    <row r="23">
      <c r="A23" s="11" t="n">
        <v>42644</v>
      </c>
      <c r="F23" t="n">
        <v>28</v>
      </c>
      <c r="I23" t="n">
        <v>59893</v>
      </c>
      <c r="R23" t="n">
        <v>10547</v>
      </c>
      <c r="S23" t="n">
        <v>266076</v>
      </c>
      <c r="T23" t="n">
        <v>111464</v>
      </c>
      <c r="U23" t="n">
        <v>137229</v>
      </c>
      <c r="V23" t="n">
        <v>6508</v>
      </c>
      <c r="W23" t="n">
        <v>328</v>
      </c>
      <c r="X23" t="n">
        <v>526578</v>
      </c>
      <c r="Y23" t="n">
        <v>68194</v>
      </c>
      <c r="Z23" t="n">
        <v>594772</v>
      </c>
      <c r="AA23" t="n">
        <v>67536</v>
      </c>
      <c r="AB23" t="n">
        <v>-50646</v>
      </c>
      <c r="AC23" t="n">
        <v>16890</v>
      </c>
      <c r="AD23" t="n">
        <v>471829</v>
      </c>
    </row>
    <row r="24">
      <c r="A24" s="11" t="n">
        <v>42675</v>
      </c>
      <c r="F24" t="n">
        <v>33</v>
      </c>
      <c r="I24" t="n">
        <v>57703</v>
      </c>
      <c r="R24" t="n">
        <v>12834</v>
      </c>
      <c r="S24" t="n">
        <v>257158</v>
      </c>
      <c r="T24" t="n">
        <v>94746</v>
      </c>
      <c r="U24" t="n">
        <v>140148</v>
      </c>
      <c r="V24" t="n">
        <v>9112</v>
      </c>
      <c r="W24" t="n">
        <v>318</v>
      </c>
      <c r="X24" t="n">
        <v>502332</v>
      </c>
      <c r="Y24" t="n">
        <v>66545</v>
      </c>
      <c r="Z24" t="n">
        <v>568877</v>
      </c>
      <c r="AA24" t="n">
        <v>36399</v>
      </c>
      <c r="AB24" t="n">
        <v>-17919</v>
      </c>
      <c r="AC24" t="n">
        <v>18480</v>
      </c>
      <c r="AD24" t="n">
        <v>489277</v>
      </c>
    </row>
    <row r="25">
      <c r="A25" s="11" t="n">
        <v>42705</v>
      </c>
      <c r="F25" t="n">
        <v>24</v>
      </c>
      <c r="I25" t="n">
        <v>49561</v>
      </c>
      <c r="R25" t="n">
        <v>19848</v>
      </c>
      <c r="S25" t="n">
        <v>292696</v>
      </c>
      <c r="T25" t="n">
        <v>89011</v>
      </c>
      <c r="U25" t="n">
        <v>154444</v>
      </c>
      <c r="V25" t="n">
        <v>29065</v>
      </c>
      <c r="W25" t="n">
        <v>328</v>
      </c>
      <c r="X25" t="n">
        <v>503176</v>
      </c>
      <c r="Y25" t="n">
        <v>67989</v>
      </c>
      <c r="Z25" t="n">
        <v>571165</v>
      </c>
      <c r="AA25" t="n">
        <v>20769</v>
      </c>
      <c r="AB25" t="n">
        <v>65863</v>
      </c>
      <c r="AC25" t="n">
        <v>86632</v>
      </c>
      <c r="AD25" t="n">
        <v>423186</v>
      </c>
    </row>
    <row r="26">
      <c r="A26" s="11" t="n">
        <v>42736</v>
      </c>
      <c r="F26" t="n">
        <v>66</v>
      </c>
      <c r="I26" t="n">
        <v>58433</v>
      </c>
      <c r="J26" t="n">
        <v>853043</v>
      </c>
      <c r="K26" t="n">
        <v>0</v>
      </c>
      <c r="L26" t="n">
        <v>593685</v>
      </c>
      <c r="M26" t="n">
        <v>259357</v>
      </c>
      <c r="N26" t="n">
        <v>0</v>
      </c>
      <c r="O26" t="n">
        <v>549049</v>
      </c>
      <c r="P26" t="n">
        <v>377089</v>
      </c>
      <c r="Q26" t="n">
        <v>171961</v>
      </c>
      <c r="R26" t="n">
        <v>23872</v>
      </c>
      <c r="S26" t="n">
        <v>294170</v>
      </c>
      <c r="T26" t="n">
        <v>85861</v>
      </c>
      <c r="U26" t="n">
        <v>145245</v>
      </c>
      <c r="V26" t="n">
        <v>39036</v>
      </c>
      <c r="W26" t="n">
        <v>156</v>
      </c>
      <c r="X26" t="n">
        <v>498044</v>
      </c>
      <c r="Y26" t="n">
        <v>67339</v>
      </c>
      <c r="Z26" t="n">
        <v>565382</v>
      </c>
      <c r="AA26" t="n">
        <v>20090</v>
      </c>
      <c r="AB26" t="n">
        <v>78122</v>
      </c>
      <c r="AC26" t="n">
        <v>98212</v>
      </c>
      <c r="AD26" t="n">
        <v>345023</v>
      </c>
    </row>
    <row r="27">
      <c r="A27" s="11" t="n">
        <v>42767</v>
      </c>
      <c r="F27" t="n">
        <v>28</v>
      </c>
      <c r="I27" t="n">
        <v>55183</v>
      </c>
      <c r="R27" t="n">
        <v>16442</v>
      </c>
      <c r="S27" t="n">
        <v>245170</v>
      </c>
      <c r="T27" t="n">
        <v>74362</v>
      </c>
      <c r="U27" t="n">
        <v>132098</v>
      </c>
      <c r="V27" t="n">
        <v>22127</v>
      </c>
      <c r="W27" t="n">
        <v>141</v>
      </c>
      <c r="X27" t="n">
        <v>462770</v>
      </c>
      <c r="Y27" t="n">
        <v>61673</v>
      </c>
      <c r="Z27" t="n">
        <v>524442</v>
      </c>
      <c r="AA27" t="n">
        <v>28987</v>
      </c>
      <c r="AB27" t="n">
        <v>6329</v>
      </c>
      <c r="AC27" t="n">
        <v>35316</v>
      </c>
      <c r="AD27" t="n">
        <v>338811</v>
      </c>
    </row>
    <row r="28">
      <c r="A28" s="11" t="n">
        <v>42795</v>
      </c>
      <c r="F28" t="n">
        <v>45</v>
      </c>
      <c r="I28" t="n">
        <v>60650</v>
      </c>
      <c r="R28" t="n">
        <v>14591</v>
      </c>
      <c r="S28" t="n">
        <v>262085</v>
      </c>
      <c r="T28" t="n">
        <v>91146</v>
      </c>
      <c r="U28" t="n">
        <v>140169</v>
      </c>
      <c r="V28" t="n">
        <v>16023</v>
      </c>
      <c r="W28" t="n">
        <v>156</v>
      </c>
      <c r="X28" t="n">
        <v>526829</v>
      </c>
      <c r="Y28" t="n">
        <v>69825</v>
      </c>
      <c r="Z28" t="n">
        <v>596654</v>
      </c>
      <c r="AA28" t="n">
        <v>35803</v>
      </c>
      <c r="AB28" t="n">
        <v>1147</v>
      </c>
      <c r="AC28" t="n">
        <v>36951</v>
      </c>
      <c r="AD28" t="n">
        <v>336962</v>
      </c>
    </row>
    <row r="29">
      <c r="A29" s="11" t="n">
        <v>42826</v>
      </c>
      <c r="F29" t="n">
        <v>54</v>
      </c>
      <c r="I29" t="n">
        <v>50549</v>
      </c>
      <c r="R29" t="n">
        <v>12118</v>
      </c>
      <c r="S29" t="n">
        <v>246920</v>
      </c>
      <c r="T29" t="n">
        <v>93553</v>
      </c>
      <c r="U29" t="n">
        <v>131686</v>
      </c>
      <c r="V29" t="n">
        <v>9413</v>
      </c>
      <c r="W29" t="n">
        <v>151</v>
      </c>
      <c r="X29" t="n">
        <v>520798</v>
      </c>
      <c r="Y29" t="n">
        <v>67655</v>
      </c>
      <c r="Z29" t="n">
        <v>588453</v>
      </c>
      <c r="AA29" t="n">
        <v>52460</v>
      </c>
      <c r="AB29" t="n">
        <v>-30805</v>
      </c>
      <c r="AC29" t="n">
        <v>21655</v>
      </c>
      <c r="AD29" t="n">
        <v>367892</v>
      </c>
    </row>
    <row r="30">
      <c r="A30" s="11" t="n">
        <v>42856</v>
      </c>
      <c r="F30" t="n">
        <v>14</v>
      </c>
      <c r="I30" t="n">
        <v>58177</v>
      </c>
      <c r="R30" t="n">
        <v>11196</v>
      </c>
      <c r="S30" t="n">
        <v>261700</v>
      </c>
      <c r="T30" t="n">
        <v>109734</v>
      </c>
      <c r="U30" t="n">
        <v>132867</v>
      </c>
      <c r="V30" t="n">
        <v>7747</v>
      </c>
      <c r="W30" t="n">
        <v>156</v>
      </c>
      <c r="X30" t="n">
        <v>537332</v>
      </c>
      <c r="Y30" t="n">
        <v>69909</v>
      </c>
      <c r="Z30" t="n">
        <v>607241</v>
      </c>
      <c r="AA30" t="n">
        <v>57430</v>
      </c>
      <c r="AB30" t="n">
        <v>-37200</v>
      </c>
      <c r="AC30" t="n">
        <v>20230</v>
      </c>
      <c r="AD30" t="n">
        <v>405485</v>
      </c>
    </row>
    <row r="31">
      <c r="A31" s="11" t="n">
        <v>42887</v>
      </c>
      <c r="F31" t="n">
        <v>6</v>
      </c>
      <c r="I31" t="n">
        <v>58816</v>
      </c>
      <c r="R31" t="n">
        <v>10164</v>
      </c>
      <c r="S31" t="n">
        <v>301718</v>
      </c>
      <c r="T31" t="n">
        <v>145864</v>
      </c>
      <c r="U31" t="n">
        <v>139718</v>
      </c>
      <c r="V31" t="n">
        <v>5821</v>
      </c>
      <c r="W31" t="n">
        <v>151</v>
      </c>
      <c r="X31" t="n">
        <v>525576</v>
      </c>
      <c r="Y31" t="n">
        <v>68310</v>
      </c>
      <c r="Z31" t="n">
        <v>593886</v>
      </c>
      <c r="AA31" t="n">
        <v>42525</v>
      </c>
      <c r="AB31" t="n">
        <v>-15267</v>
      </c>
      <c r="AC31" t="n">
        <v>27258</v>
      </c>
      <c r="AD31" t="n">
        <v>421138</v>
      </c>
    </row>
    <row r="32">
      <c r="A32" s="11" t="n">
        <v>42917</v>
      </c>
      <c r="F32" t="n">
        <v>34</v>
      </c>
      <c r="I32" t="n">
        <v>59554</v>
      </c>
      <c r="R32" t="n">
        <v>10416</v>
      </c>
      <c r="S32" t="n">
        <v>342023</v>
      </c>
      <c r="T32" t="n">
        <v>182748</v>
      </c>
      <c r="U32" t="n">
        <v>142703</v>
      </c>
      <c r="V32" t="n">
        <v>6000</v>
      </c>
      <c r="W32" t="n">
        <v>156</v>
      </c>
      <c r="X32" t="n">
        <v>552413</v>
      </c>
      <c r="Y32" t="n">
        <v>71315</v>
      </c>
      <c r="Z32" t="n">
        <v>623728</v>
      </c>
      <c r="AA32" t="n">
        <v>21913</v>
      </c>
      <c r="AB32" t="n">
        <v>18244</v>
      </c>
      <c r="AC32" t="n">
        <v>40157</v>
      </c>
      <c r="AD32" t="n">
        <v>402490</v>
      </c>
    </row>
    <row r="33">
      <c r="A33" s="11" t="n">
        <v>42948</v>
      </c>
      <c r="F33" t="n">
        <v>21</v>
      </c>
      <c r="I33" t="n">
        <v>61717</v>
      </c>
      <c r="R33" t="n">
        <v>10378</v>
      </c>
      <c r="S33" t="n">
        <v>322888</v>
      </c>
      <c r="T33" t="n">
        <v>166870</v>
      </c>
      <c r="U33" t="n">
        <v>140049</v>
      </c>
      <c r="V33" t="n">
        <v>5436</v>
      </c>
      <c r="W33" t="n">
        <v>156</v>
      </c>
      <c r="X33" t="n">
        <v>535167</v>
      </c>
      <c r="Y33" t="n">
        <v>71275</v>
      </c>
      <c r="Z33" t="n">
        <v>606441</v>
      </c>
      <c r="AA33" t="n">
        <v>21742</v>
      </c>
      <c r="AB33" t="n">
        <v>19068</v>
      </c>
      <c r="AC33" t="n">
        <v>40810</v>
      </c>
      <c r="AD33" t="n">
        <v>383195</v>
      </c>
    </row>
    <row r="34">
      <c r="A34" s="11" t="n">
        <v>42979</v>
      </c>
      <c r="F34" t="n">
        <v>42</v>
      </c>
      <c r="I34" t="n">
        <v>56087</v>
      </c>
      <c r="R34" t="n">
        <v>10261</v>
      </c>
      <c r="S34" t="n">
        <v>268180</v>
      </c>
      <c r="T34" t="n">
        <v>121368</v>
      </c>
      <c r="U34" t="n">
        <v>130515</v>
      </c>
      <c r="V34" t="n">
        <v>5885</v>
      </c>
      <c r="W34" t="n">
        <v>151</v>
      </c>
      <c r="X34" t="n">
        <v>528362</v>
      </c>
      <c r="Y34" t="n">
        <v>70182</v>
      </c>
      <c r="Z34" t="n">
        <v>598544</v>
      </c>
      <c r="AA34" t="n">
        <v>40752</v>
      </c>
      <c r="AB34" t="n">
        <v>-16898</v>
      </c>
      <c r="AC34" t="n">
        <v>23854</v>
      </c>
      <c r="AD34" t="n">
        <v>401054</v>
      </c>
    </row>
    <row r="35">
      <c r="A35" s="11" t="n">
        <v>43009</v>
      </c>
      <c r="F35" t="n">
        <v>46</v>
      </c>
      <c r="I35" t="n">
        <v>59198</v>
      </c>
      <c r="R35" t="n">
        <v>12123</v>
      </c>
      <c r="S35" t="n">
        <v>265716</v>
      </c>
      <c r="T35" t="n">
        <v>103598</v>
      </c>
      <c r="U35" t="n">
        <v>142070</v>
      </c>
      <c r="V35" t="n">
        <v>7769</v>
      </c>
      <c r="W35" t="n">
        <v>156</v>
      </c>
      <c r="X35" t="n">
        <v>569935</v>
      </c>
      <c r="Y35" t="n">
        <v>73810</v>
      </c>
      <c r="Z35" t="n">
        <v>643745</v>
      </c>
      <c r="AA35" t="n">
        <v>51682</v>
      </c>
      <c r="AB35" t="n">
        <v>-30361</v>
      </c>
      <c r="AC35" t="n">
        <v>21321</v>
      </c>
      <c r="AD35" t="n">
        <v>431085</v>
      </c>
    </row>
    <row r="36">
      <c r="A36" s="11" t="n">
        <v>43040</v>
      </c>
      <c r="F36" t="n">
        <v>68</v>
      </c>
      <c r="I36" t="n">
        <v>57357</v>
      </c>
      <c r="R36" t="n">
        <v>13914</v>
      </c>
      <c r="S36" t="n">
        <v>258233</v>
      </c>
      <c r="T36" t="n">
        <v>84931</v>
      </c>
      <c r="U36" t="n">
        <v>146006</v>
      </c>
      <c r="V36" t="n">
        <v>13231</v>
      </c>
      <c r="W36" t="n">
        <v>151</v>
      </c>
      <c r="X36" t="n">
        <v>560351</v>
      </c>
      <c r="Y36" t="n">
        <v>73652</v>
      </c>
      <c r="Z36" t="n">
        <v>634003</v>
      </c>
      <c r="AA36" t="n">
        <v>35681</v>
      </c>
      <c r="AB36" t="n">
        <v>-11751</v>
      </c>
      <c r="AC36" t="n">
        <v>23930</v>
      </c>
      <c r="AD36" t="n">
        <v>443064</v>
      </c>
    </row>
    <row r="37">
      <c r="A37" s="11" t="n">
        <v>43070</v>
      </c>
      <c r="F37" t="n">
        <v>79</v>
      </c>
      <c r="I37" t="n">
        <v>56217</v>
      </c>
      <c r="R37" t="n">
        <v>19309</v>
      </c>
      <c r="S37" t="n">
        <v>310944</v>
      </c>
      <c r="T37" t="n">
        <v>110440</v>
      </c>
      <c r="U37" t="n">
        <v>155380</v>
      </c>
      <c r="V37" t="n">
        <v>25659</v>
      </c>
      <c r="W37" t="n">
        <v>156</v>
      </c>
      <c r="X37" t="n">
        <v>565666</v>
      </c>
      <c r="Y37" t="n">
        <v>75656</v>
      </c>
      <c r="Z37" t="n">
        <v>641322</v>
      </c>
      <c r="AA37" t="n">
        <v>14524</v>
      </c>
      <c r="AB37" t="n">
        <v>84716</v>
      </c>
      <c r="AC37" t="n">
        <v>99240</v>
      </c>
      <c r="AD37" t="n">
        <v>358898</v>
      </c>
    </row>
    <row r="38">
      <c r="A38" s="11" t="n">
        <v>43101</v>
      </c>
      <c r="F38" t="n">
        <v>91</v>
      </c>
      <c r="I38" t="n">
        <v>58557</v>
      </c>
      <c r="J38" t="n">
        <v>845081</v>
      </c>
      <c r="K38" t="n">
        <v>0</v>
      </c>
      <c r="L38" t="n">
        <v>591820</v>
      </c>
      <c r="M38" t="n">
        <v>253261</v>
      </c>
      <c r="N38" t="n">
        <v>0</v>
      </c>
      <c r="O38" t="n">
        <v>545640</v>
      </c>
      <c r="P38" t="n">
        <v>377938</v>
      </c>
      <c r="Q38" t="n">
        <v>167702</v>
      </c>
      <c r="R38" t="n">
        <v>32926</v>
      </c>
      <c r="S38" t="n">
        <v>375409</v>
      </c>
      <c r="T38" t="n">
        <v>123323</v>
      </c>
      <c r="U38" t="n">
        <v>161055</v>
      </c>
      <c r="V38" t="n">
        <v>57953</v>
      </c>
      <c r="W38" t="n">
        <v>152</v>
      </c>
      <c r="X38" t="n">
        <v>537289</v>
      </c>
      <c r="Y38" t="n">
        <v>80254</v>
      </c>
      <c r="Z38" t="n">
        <v>617543</v>
      </c>
      <c r="AA38" t="n">
        <v>30201</v>
      </c>
      <c r="AB38" t="n">
        <v>107134</v>
      </c>
      <c r="AC38" t="n">
        <v>137335</v>
      </c>
      <c r="AD38" t="n">
        <v>254331</v>
      </c>
    </row>
    <row r="39">
      <c r="A39" s="11" t="n">
        <v>43132</v>
      </c>
      <c r="F39" t="n">
        <v>40</v>
      </c>
      <c r="I39" t="n">
        <v>54279</v>
      </c>
      <c r="R39" t="n">
        <v>24249</v>
      </c>
      <c r="S39" t="n">
        <v>303251</v>
      </c>
      <c r="T39" t="n">
        <v>105899</v>
      </c>
      <c r="U39" t="n">
        <v>138219</v>
      </c>
      <c r="V39" t="n">
        <v>34748</v>
      </c>
      <c r="W39" t="n">
        <v>137</v>
      </c>
      <c r="X39" t="n">
        <v>503884</v>
      </c>
      <c r="Y39" t="n">
        <v>74002</v>
      </c>
      <c r="Z39" t="n">
        <v>577886</v>
      </c>
      <c r="AA39" t="n">
        <v>31778</v>
      </c>
      <c r="AB39" t="n">
        <v>36356</v>
      </c>
      <c r="AC39" t="n">
        <v>68134</v>
      </c>
      <c r="AD39" t="n">
        <v>217967</v>
      </c>
    </row>
    <row r="40">
      <c r="A40" s="11" t="n">
        <v>43160</v>
      </c>
      <c r="F40" t="n">
        <v>46</v>
      </c>
      <c r="I40" t="n">
        <v>56015</v>
      </c>
      <c r="R40" t="n">
        <v>22247</v>
      </c>
      <c r="S40" t="n">
        <v>308880</v>
      </c>
      <c r="T40" t="n">
        <v>108287</v>
      </c>
      <c r="U40" t="n">
        <v>153610</v>
      </c>
      <c r="V40" t="n">
        <v>24585</v>
      </c>
      <c r="W40" t="n">
        <v>152</v>
      </c>
      <c r="X40" t="n">
        <v>578160</v>
      </c>
      <c r="Y40" t="n">
        <v>82887</v>
      </c>
      <c r="Z40" t="n">
        <v>661047</v>
      </c>
      <c r="AA40" t="n">
        <v>53204</v>
      </c>
      <c r="AB40" t="n">
        <v>-15080</v>
      </c>
      <c r="AC40" t="n">
        <v>38124</v>
      </c>
      <c r="AD40" t="n">
        <v>234312</v>
      </c>
    </row>
    <row r="41">
      <c r="A41" s="11" t="n">
        <v>43191</v>
      </c>
      <c r="F41" t="n">
        <v>4</v>
      </c>
      <c r="I41" t="n">
        <v>57390</v>
      </c>
      <c r="R41" t="n">
        <v>15773</v>
      </c>
      <c r="S41" t="n">
        <v>281514</v>
      </c>
      <c r="T41" t="n">
        <v>101037</v>
      </c>
      <c r="U41" t="n">
        <v>151073</v>
      </c>
      <c r="V41" t="n">
        <v>13484</v>
      </c>
      <c r="W41" t="n">
        <v>147</v>
      </c>
      <c r="X41" t="n">
        <v>556569</v>
      </c>
      <c r="Y41" t="n">
        <v>80077</v>
      </c>
      <c r="Z41" t="n">
        <v>636646</v>
      </c>
      <c r="AA41" t="n">
        <v>48915</v>
      </c>
      <c r="AB41" t="n">
        <v>-28408</v>
      </c>
      <c r="AC41" t="n">
        <v>20507</v>
      </c>
      <c r="AD41" t="n">
        <v>261850</v>
      </c>
    </row>
    <row r="42">
      <c r="A42" s="11" t="n">
        <v>43221</v>
      </c>
      <c r="F42" t="n">
        <v>6</v>
      </c>
      <c r="I42" t="n">
        <v>60702</v>
      </c>
      <c r="R42" t="n">
        <v>13464</v>
      </c>
      <c r="S42" t="n">
        <v>326264</v>
      </c>
      <c r="T42" t="n">
        <v>150012</v>
      </c>
      <c r="U42" t="n">
        <v>154422</v>
      </c>
      <c r="V42" t="n">
        <v>8214</v>
      </c>
      <c r="W42" t="n">
        <v>152</v>
      </c>
      <c r="X42" t="n">
        <v>590334</v>
      </c>
      <c r="Y42" t="n">
        <v>83698</v>
      </c>
      <c r="Z42" t="n">
        <v>674031</v>
      </c>
      <c r="AA42" t="n">
        <v>56260</v>
      </c>
      <c r="AB42" t="n">
        <v>-37196</v>
      </c>
      <c r="AC42" t="n">
        <v>19063</v>
      </c>
      <c r="AD42" t="n">
        <v>299249</v>
      </c>
    </row>
    <row r="43">
      <c r="A43" s="11" t="n">
        <v>43252</v>
      </c>
      <c r="F43" t="n">
        <v>17</v>
      </c>
      <c r="I43" t="n">
        <v>58165</v>
      </c>
      <c r="R43" t="n">
        <v>10960</v>
      </c>
      <c r="S43" t="n">
        <v>326543</v>
      </c>
      <c r="T43" t="n">
        <v>160952</v>
      </c>
      <c r="U43" t="n">
        <v>149036</v>
      </c>
      <c r="V43" t="n">
        <v>5448</v>
      </c>
      <c r="W43" t="n">
        <v>147</v>
      </c>
      <c r="X43" t="n">
        <v>577497</v>
      </c>
      <c r="Y43" t="n">
        <v>81408</v>
      </c>
      <c r="Z43" t="n">
        <v>658905</v>
      </c>
      <c r="AA43" t="n">
        <v>42267</v>
      </c>
      <c r="AB43" t="n">
        <v>-22377</v>
      </c>
      <c r="AC43" t="n">
        <v>19890</v>
      </c>
      <c r="AD43" t="n">
        <v>322468</v>
      </c>
    </row>
    <row r="44">
      <c r="A44" s="11" t="n">
        <v>43282</v>
      </c>
      <c r="F44" t="n">
        <v>26</v>
      </c>
      <c r="H44" t="n">
        <v>17</v>
      </c>
      <c r="I44" t="n">
        <v>58466</v>
      </c>
      <c r="R44" t="n">
        <v>10399</v>
      </c>
      <c r="S44" t="n">
        <v>380917</v>
      </c>
      <c r="T44" t="n">
        <v>208167</v>
      </c>
      <c r="U44" t="n">
        <v>157290</v>
      </c>
      <c r="V44" t="n">
        <v>4910</v>
      </c>
      <c r="W44" t="n">
        <v>152</v>
      </c>
      <c r="X44" t="n">
        <v>589148</v>
      </c>
      <c r="Y44" t="n">
        <v>85797</v>
      </c>
      <c r="Z44" t="n">
        <v>674944</v>
      </c>
      <c r="AA44" t="n">
        <v>24233</v>
      </c>
      <c r="AB44" t="n">
        <v>26156</v>
      </c>
      <c r="AC44" t="n">
        <v>50390</v>
      </c>
      <c r="AD44" t="n">
        <v>296286</v>
      </c>
    </row>
    <row r="45">
      <c r="A45" s="11" t="n">
        <v>43313</v>
      </c>
      <c r="F45" t="n">
        <v>33</v>
      </c>
      <c r="H45" t="n">
        <v>245</v>
      </c>
      <c r="I45" t="n">
        <v>59148</v>
      </c>
      <c r="R45" t="n">
        <v>11509</v>
      </c>
      <c r="S45" t="n">
        <v>360546</v>
      </c>
      <c r="T45" t="n">
        <v>189239</v>
      </c>
      <c r="U45" t="n">
        <v>154658</v>
      </c>
      <c r="V45" t="n">
        <v>4989</v>
      </c>
      <c r="W45" t="n">
        <v>152</v>
      </c>
      <c r="X45" t="n">
        <v>607756</v>
      </c>
      <c r="Y45" t="n">
        <v>87527</v>
      </c>
      <c r="Z45" t="n">
        <v>695283</v>
      </c>
      <c r="AA45" t="n">
        <v>37738</v>
      </c>
      <c r="AB45" t="n">
        <v>28909</v>
      </c>
      <c r="AC45" t="n">
        <v>66647</v>
      </c>
      <c r="AD45" t="n">
        <v>267368</v>
      </c>
    </row>
    <row r="46">
      <c r="A46" s="11" t="n">
        <v>43344</v>
      </c>
      <c r="F46" t="n">
        <v>17</v>
      </c>
      <c r="H46" t="n">
        <v>458</v>
      </c>
      <c r="I46" t="n">
        <v>57097</v>
      </c>
      <c r="R46" t="n">
        <v>11513</v>
      </c>
      <c r="S46" t="n">
        <v>318178</v>
      </c>
      <c r="T46" t="n">
        <v>151010</v>
      </c>
      <c r="U46" t="n">
        <v>150376</v>
      </c>
      <c r="V46" t="n">
        <v>5132</v>
      </c>
      <c r="W46" t="n">
        <v>147</v>
      </c>
      <c r="X46" t="n">
        <v>607191</v>
      </c>
      <c r="Y46" t="n">
        <v>86093</v>
      </c>
      <c r="Z46" t="n">
        <v>693284</v>
      </c>
      <c r="AA46" t="n">
        <v>54465</v>
      </c>
      <c r="AB46" t="n">
        <v>-12209</v>
      </c>
      <c r="AC46" t="n">
        <v>42256</v>
      </c>
      <c r="AD46" t="n">
        <v>279608</v>
      </c>
    </row>
    <row r="47">
      <c r="A47" s="11" t="n">
        <v>43374</v>
      </c>
      <c r="F47" t="n">
        <v>31</v>
      </c>
      <c r="H47" t="n">
        <v>386</v>
      </c>
      <c r="I47" t="n">
        <v>59928</v>
      </c>
      <c r="R47" t="n">
        <v>13865</v>
      </c>
      <c r="S47" t="n">
        <v>297020</v>
      </c>
      <c r="T47" t="n">
        <v>126829</v>
      </c>
      <c r="U47" t="n">
        <v>148106</v>
      </c>
      <c r="V47" t="n">
        <v>8068</v>
      </c>
      <c r="W47" t="n">
        <v>152</v>
      </c>
      <c r="X47" t="n">
        <v>619920</v>
      </c>
      <c r="Y47" t="n">
        <v>90091</v>
      </c>
      <c r="Z47" t="n">
        <v>710011</v>
      </c>
      <c r="AA47" t="n">
        <v>59186</v>
      </c>
      <c r="AB47" t="n">
        <v>-35252</v>
      </c>
      <c r="AC47" t="n">
        <v>23935</v>
      </c>
      <c r="AD47" t="n">
        <v>314767</v>
      </c>
    </row>
    <row r="48">
      <c r="A48" s="11" t="n">
        <v>43405</v>
      </c>
      <c r="F48" t="n">
        <v>115</v>
      </c>
      <c r="H48" t="n">
        <v>3116</v>
      </c>
      <c r="I48" t="n">
        <v>54908</v>
      </c>
      <c r="R48" t="n">
        <v>22097</v>
      </c>
      <c r="S48" t="n">
        <v>307654</v>
      </c>
      <c r="T48" t="n">
        <v>105850</v>
      </c>
      <c r="U48" t="n">
        <v>156425</v>
      </c>
      <c r="V48" t="n">
        <v>23135</v>
      </c>
      <c r="W48" t="n">
        <v>147</v>
      </c>
      <c r="X48" t="n">
        <v>629640</v>
      </c>
      <c r="Y48" t="n">
        <v>88707</v>
      </c>
      <c r="Z48" t="n">
        <v>718347</v>
      </c>
      <c r="AA48" t="n">
        <v>47306</v>
      </c>
      <c r="AB48" t="n">
        <v>-3988</v>
      </c>
      <c r="AC48" t="n">
        <v>43318</v>
      </c>
      <c r="AD48" t="n">
        <v>318570</v>
      </c>
    </row>
    <row r="49">
      <c r="A49" s="11" t="n">
        <v>43435</v>
      </c>
      <c r="B49" t="n">
        <v>6864</v>
      </c>
      <c r="F49" t="n">
        <v>121</v>
      </c>
      <c r="H49" t="n">
        <v>3182</v>
      </c>
      <c r="I49" t="n">
        <v>50555</v>
      </c>
      <c r="R49" t="n">
        <v>25171</v>
      </c>
      <c r="S49" t="n">
        <v>339066</v>
      </c>
      <c r="T49" t="n">
        <v>113249</v>
      </c>
      <c r="U49" t="n">
        <v>164134</v>
      </c>
      <c r="V49" t="n">
        <v>36361</v>
      </c>
      <c r="W49" t="n">
        <v>152</v>
      </c>
      <c r="X49" t="n">
        <v>631868</v>
      </c>
      <c r="Y49" t="n">
        <v>91215</v>
      </c>
      <c r="Z49" t="n">
        <v>723083</v>
      </c>
      <c r="AA49" t="n">
        <v>32699</v>
      </c>
      <c r="AB49" t="n">
        <v>15521</v>
      </c>
      <c r="AC49" t="n">
        <v>48220</v>
      </c>
      <c r="AD49" t="n">
        <v>302991</v>
      </c>
    </row>
    <row r="50">
      <c r="A50" s="11" t="n">
        <v>43466</v>
      </c>
      <c r="B50" t="n">
        <v>10759</v>
      </c>
      <c r="F50" t="n">
        <v>104</v>
      </c>
      <c r="H50" t="n">
        <v>5001</v>
      </c>
      <c r="I50" t="n">
        <v>57502</v>
      </c>
      <c r="J50" t="n">
        <v>845081</v>
      </c>
      <c r="K50" t="n">
        <v>0</v>
      </c>
      <c r="L50" t="n">
        <v>591820</v>
      </c>
      <c r="M50" t="n">
        <v>253261</v>
      </c>
      <c r="N50" t="n">
        <v>0</v>
      </c>
      <c r="O50" t="n">
        <v>543975</v>
      </c>
      <c r="P50" t="n">
        <v>376938</v>
      </c>
      <c r="Q50" t="n">
        <v>167036</v>
      </c>
      <c r="R50" t="n">
        <v>26819</v>
      </c>
      <c r="S50" t="n">
        <v>365667</v>
      </c>
      <c r="T50" t="n">
        <v>128961</v>
      </c>
      <c r="U50" t="n">
        <v>164545</v>
      </c>
      <c r="V50" t="n">
        <v>45207</v>
      </c>
      <c r="W50" t="n">
        <v>135</v>
      </c>
      <c r="X50" t="n">
        <v>638775</v>
      </c>
      <c r="Y50" t="n">
        <v>98600</v>
      </c>
      <c r="Z50" t="n">
        <v>737375</v>
      </c>
      <c r="AA50" t="n">
        <v>20266</v>
      </c>
      <c r="AB50" t="n">
        <v>42024</v>
      </c>
      <c r="AC50" t="n">
        <v>62289</v>
      </c>
      <c r="AD50" t="n">
        <v>261677</v>
      </c>
    </row>
    <row r="51">
      <c r="A51" s="11" t="n">
        <v>43497</v>
      </c>
      <c r="B51" t="n">
        <v>3720</v>
      </c>
      <c r="F51" t="n">
        <v>43</v>
      </c>
      <c r="H51" t="n">
        <v>3169</v>
      </c>
      <c r="I51" t="n">
        <v>52877</v>
      </c>
      <c r="R51" t="n">
        <v>24045</v>
      </c>
      <c r="S51" t="n">
        <v>313223</v>
      </c>
      <c r="T51" t="n">
        <v>104462</v>
      </c>
      <c r="U51" t="n">
        <v>146425</v>
      </c>
      <c r="V51" t="n">
        <v>38169</v>
      </c>
      <c r="W51" t="n">
        <v>122</v>
      </c>
      <c r="X51" t="n">
        <v>588401</v>
      </c>
      <c r="Y51" t="n">
        <v>89665</v>
      </c>
      <c r="Z51" t="n">
        <v>678066</v>
      </c>
      <c r="AA51" t="n">
        <v>32536</v>
      </c>
      <c r="AB51" t="n">
        <v>18399</v>
      </c>
      <c r="AC51" t="n">
        <v>50935</v>
      </c>
      <c r="AD51" t="n">
        <v>243209</v>
      </c>
    </row>
    <row r="52">
      <c r="A52" s="11" t="n">
        <v>43525</v>
      </c>
      <c r="B52" t="n">
        <v>20078</v>
      </c>
      <c r="F52" t="n">
        <v>70</v>
      </c>
      <c r="H52" t="n">
        <v>4386</v>
      </c>
      <c r="I52" t="n">
        <v>59428</v>
      </c>
      <c r="R52" t="n">
        <v>22434</v>
      </c>
      <c r="S52" t="n">
        <v>326480</v>
      </c>
      <c r="T52" t="n">
        <v>116536</v>
      </c>
      <c r="U52" t="n">
        <v>154046</v>
      </c>
      <c r="V52" t="n">
        <v>33328</v>
      </c>
      <c r="W52" t="n">
        <v>135</v>
      </c>
      <c r="X52" t="n">
        <v>658920</v>
      </c>
      <c r="Y52" t="n">
        <v>99726</v>
      </c>
      <c r="Z52" t="n">
        <v>758646</v>
      </c>
      <c r="AA52" t="n">
        <v>44827</v>
      </c>
      <c r="AB52" t="n">
        <v>1132</v>
      </c>
      <c r="AC52" t="n">
        <v>45959</v>
      </c>
      <c r="AD52" t="n">
        <v>241882</v>
      </c>
    </row>
    <row r="53">
      <c r="A53" s="11" t="n">
        <v>43556</v>
      </c>
      <c r="B53" t="n">
        <v>19043</v>
      </c>
      <c r="F53" t="n">
        <v>85</v>
      </c>
      <c r="H53" t="n">
        <v>5049</v>
      </c>
      <c r="I53" t="n">
        <v>52754</v>
      </c>
      <c r="R53" t="n">
        <v>16434</v>
      </c>
      <c r="S53" t="n">
        <v>282466</v>
      </c>
      <c r="T53" t="n">
        <v>105065</v>
      </c>
      <c r="U53" t="n">
        <v>143845</v>
      </c>
      <c r="V53" t="n">
        <v>16991</v>
      </c>
      <c r="W53" t="n">
        <v>130</v>
      </c>
      <c r="X53" t="n">
        <v>630551</v>
      </c>
      <c r="Y53" t="n">
        <v>96976</v>
      </c>
      <c r="Z53" t="n">
        <v>727527</v>
      </c>
      <c r="AA53" t="n">
        <v>80205</v>
      </c>
      <c r="AB53" t="n">
        <v>-64861</v>
      </c>
      <c r="AC53" t="n">
        <v>15344</v>
      </c>
      <c r="AD53" t="n">
        <v>306162</v>
      </c>
    </row>
    <row r="54">
      <c r="A54" s="11" t="n">
        <v>43586</v>
      </c>
      <c r="B54" t="n">
        <v>17465</v>
      </c>
      <c r="F54" t="n">
        <v>73</v>
      </c>
      <c r="H54" t="n">
        <v>6054</v>
      </c>
      <c r="I54" t="n">
        <v>59414</v>
      </c>
      <c r="R54" t="n">
        <v>12138</v>
      </c>
      <c r="S54" t="n">
        <v>311077</v>
      </c>
      <c r="T54" t="n">
        <v>145840</v>
      </c>
      <c r="U54" t="n">
        <v>145051</v>
      </c>
      <c r="V54" t="n">
        <v>7913</v>
      </c>
      <c r="W54" t="n">
        <v>135</v>
      </c>
      <c r="X54" t="n">
        <v>680029</v>
      </c>
      <c r="Y54" t="n">
        <v>100973</v>
      </c>
      <c r="Z54" t="n">
        <v>781002</v>
      </c>
      <c r="AA54" t="n">
        <v>60261</v>
      </c>
      <c r="AB54" t="n">
        <v>-38598</v>
      </c>
      <c r="AC54" t="n">
        <v>21663</v>
      </c>
      <c r="AD54" t="n">
        <v>344777</v>
      </c>
    </row>
    <row r="55">
      <c r="A55" s="11" t="n">
        <v>43617</v>
      </c>
      <c r="B55" t="n">
        <v>21042</v>
      </c>
      <c r="F55" t="n">
        <v>91</v>
      </c>
      <c r="G55" t="n">
        <v>1682</v>
      </c>
      <c r="H55" t="n">
        <v>7151</v>
      </c>
      <c r="I55" t="n">
        <v>57467</v>
      </c>
      <c r="R55" t="n">
        <v>12154</v>
      </c>
      <c r="S55" t="n">
        <v>333719</v>
      </c>
      <c r="T55" t="n">
        <v>171990</v>
      </c>
      <c r="U55" t="n">
        <v>142830</v>
      </c>
      <c r="V55" t="n">
        <v>6614</v>
      </c>
      <c r="W55" t="n">
        <v>130</v>
      </c>
      <c r="X55" t="n">
        <v>668775</v>
      </c>
      <c r="Y55" t="n">
        <v>97986</v>
      </c>
      <c r="Z55" t="n">
        <v>766761</v>
      </c>
      <c r="AA55" t="n">
        <v>46411</v>
      </c>
      <c r="AB55" t="n">
        <v>-18342</v>
      </c>
      <c r="AC55" t="n">
        <v>28069</v>
      </c>
      <c r="AD55" t="n">
        <v>362451</v>
      </c>
    </row>
    <row r="56">
      <c r="A56" s="11" t="n">
        <v>43647</v>
      </c>
      <c r="B56" t="n">
        <v>33686</v>
      </c>
      <c r="F56" t="n">
        <v>101</v>
      </c>
      <c r="G56" t="n">
        <v>304</v>
      </c>
      <c r="H56" t="n">
        <v>7665</v>
      </c>
      <c r="I56" t="n">
        <v>63448</v>
      </c>
      <c r="R56" t="n">
        <v>10964</v>
      </c>
      <c r="S56" t="n">
        <v>366865</v>
      </c>
      <c r="T56" t="n">
        <v>201489</v>
      </c>
      <c r="U56" t="n">
        <v>148069</v>
      </c>
      <c r="V56" t="n">
        <v>6209</v>
      </c>
      <c r="W56" t="n">
        <v>135</v>
      </c>
      <c r="X56" t="n">
        <v>703088</v>
      </c>
      <c r="Y56" t="n">
        <v>101810</v>
      </c>
      <c r="Z56" t="n">
        <v>804899</v>
      </c>
      <c r="AA56" t="n">
        <v>33193</v>
      </c>
      <c r="AB56" t="n">
        <v>11375</v>
      </c>
      <c r="AC56" t="n">
        <v>44569</v>
      </c>
      <c r="AD56" t="n">
        <v>351079</v>
      </c>
    </row>
    <row r="57">
      <c r="A57" s="11" t="n">
        <v>43678</v>
      </c>
      <c r="B57" t="n">
        <v>30835</v>
      </c>
      <c r="F57" t="n">
        <v>113</v>
      </c>
      <c r="H57" t="n">
        <v>7619</v>
      </c>
      <c r="I57" t="n">
        <v>60966</v>
      </c>
      <c r="R57" t="n">
        <v>10540</v>
      </c>
      <c r="S57" t="n">
        <v>395153</v>
      </c>
      <c r="T57" t="n">
        <v>230057</v>
      </c>
      <c r="U57" t="n">
        <v>149207</v>
      </c>
      <c r="V57" t="n">
        <v>5214</v>
      </c>
      <c r="W57" t="n">
        <v>135</v>
      </c>
      <c r="X57" t="n">
        <v>733173</v>
      </c>
      <c r="Y57" t="n">
        <v>104286</v>
      </c>
      <c r="Z57" t="n">
        <v>837459</v>
      </c>
      <c r="AA57" t="n">
        <v>50141</v>
      </c>
      <c r="AB57" t="n">
        <v>22555</v>
      </c>
      <c r="AC57" t="n">
        <v>72696</v>
      </c>
      <c r="AD57" t="n">
        <v>328459</v>
      </c>
    </row>
    <row r="58">
      <c r="A58" s="11" t="n">
        <v>43709</v>
      </c>
      <c r="B58" t="n">
        <v>34672</v>
      </c>
      <c r="D58" t="n">
        <v>6455</v>
      </c>
      <c r="F58" t="n">
        <v>88</v>
      </c>
      <c r="G58" t="n">
        <v>7697</v>
      </c>
      <c r="H58" t="n">
        <v>6894</v>
      </c>
      <c r="I58" t="n">
        <v>55162</v>
      </c>
      <c r="R58" t="n">
        <v>10249</v>
      </c>
      <c r="S58" t="n">
        <v>345113</v>
      </c>
      <c r="T58" t="n">
        <v>189553</v>
      </c>
      <c r="U58" t="n">
        <v>140135</v>
      </c>
      <c r="V58" t="n">
        <v>5045</v>
      </c>
      <c r="W58" t="n">
        <v>130</v>
      </c>
      <c r="X58" t="n">
        <v>696883</v>
      </c>
      <c r="Y58" t="n">
        <v>101308</v>
      </c>
      <c r="Z58" t="n">
        <v>798191</v>
      </c>
      <c r="AA58" t="n">
        <v>77430</v>
      </c>
      <c r="AB58" t="n">
        <v>-31098</v>
      </c>
      <c r="AC58" t="n">
        <v>46332</v>
      </c>
      <c r="AD58" t="n">
        <v>359538</v>
      </c>
    </row>
    <row r="59">
      <c r="A59" s="11" t="n">
        <v>43739</v>
      </c>
      <c r="B59" t="n">
        <v>42308</v>
      </c>
      <c r="D59" t="n">
        <v>10373</v>
      </c>
      <c r="F59" t="n">
        <v>120</v>
      </c>
      <c r="G59" t="n">
        <v>19695</v>
      </c>
      <c r="H59" t="n">
        <v>9852</v>
      </c>
      <c r="I59" t="n">
        <v>51742</v>
      </c>
      <c r="R59" t="n">
        <v>11985</v>
      </c>
      <c r="S59" t="n">
        <v>306062</v>
      </c>
      <c r="T59" t="n">
        <v>141418</v>
      </c>
      <c r="U59" t="n">
        <v>145196</v>
      </c>
      <c r="V59" t="n">
        <v>7328</v>
      </c>
      <c r="W59" t="n">
        <v>135</v>
      </c>
      <c r="X59" t="n">
        <v>722786</v>
      </c>
      <c r="Y59" t="n">
        <v>105604</v>
      </c>
      <c r="Z59" t="n">
        <v>828390</v>
      </c>
      <c r="AA59" t="n">
        <v>79955</v>
      </c>
      <c r="AB59" t="n">
        <v>-59099</v>
      </c>
      <c r="AC59" t="n">
        <v>20856</v>
      </c>
      <c r="AD59" t="n">
        <v>418805</v>
      </c>
    </row>
    <row r="60">
      <c r="A60" s="11" t="n">
        <v>43770</v>
      </c>
      <c r="B60" t="n">
        <v>37349</v>
      </c>
      <c r="D60" t="n">
        <v>9717</v>
      </c>
      <c r="F60" t="n">
        <v>63</v>
      </c>
      <c r="G60" t="n">
        <v>19880</v>
      </c>
      <c r="H60" t="n">
        <v>8947</v>
      </c>
      <c r="I60" t="n">
        <v>50333</v>
      </c>
      <c r="R60" t="n">
        <v>18799</v>
      </c>
      <c r="S60" t="n">
        <v>316328</v>
      </c>
      <c r="T60" t="n">
        <v>120458</v>
      </c>
      <c r="U60" t="n">
        <v>152645</v>
      </c>
      <c r="V60" t="n">
        <v>24295</v>
      </c>
      <c r="W60" t="n">
        <v>130</v>
      </c>
      <c r="X60" t="n">
        <v>711216</v>
      </c>
      <c r="Y60" t="n">
        <v>103873</v>
      </c>
      <c r="Z60" t="n">
        <v>815089</v>
      </c>
      <c r="AA60" t="n">
        <v>38932</v>
      </c>
      <c r="AB60" t="n">
        <v>2360</v>
      </c>
      <c r="AC60" t="n">
        <v>41292</v>
      </c>
      <c r="AD60" t="n">
        <v>416200</v>
      </c>
    </row>
    <row r="61">
      <c r="A61" s="11" t="n">
        <v>43800</v>
      </c>
      <c r="B61" t="n">
        <v>41543</v>
      </c>
      <c r="D61" t="n">
        <v>22473</v>
      </c>
      <c r="F61" t="n">
        <v>67</v>
      </c>
      <c r="G61" t="n">
        <v>20064</v>
      </c>
      <c r="H61" t="n">
        <v>8308</v>
      </c>
      <c r="I61" t="n">
        <v>46862</v>
      </c>
      <c r="R61" t="n">
        <v>21498</v>
      </c>
      <c r="S61" t="n">
        <v>352155</v>
      </c>
      <c r="T61" t="n">
        <v>131370</v>
      </c>
      <c r="U61" t="n">
        <v>167322</v>
      </c>
      <c r="V61" t="n">
        <v>31830</v>
      </c>
      <c r="W61" t="n">
        <v>135</v>
      </c>
      <c r="X61" t="n">
        <v>737869</v>
      </c>
      <c r="Y61" t="n">
        <v>107215</v>
      </c>
      <c r="Z61" t="n">
        <v>845084</v>
      </c>
      <c r="AA61" t="n">
        <v>26031</v>
      </c>
      <c r="AB61" t="n">
        <v>34819</v>
      </c>
      <c r="AC61" t="n">
        <v>60850</v>
      </c>
      <c r="AD61" t="n">
        <v>380928</v>
      </c>
    </row>
    <row r="62">
      <c r="A62" s="11" t="n">
        <v>43831</v>
      </c>
      <c r="B62" t="n">
        <v>40561</v>
      </c>
      <c r="D62" t="n">
        <v>41403</v>
      </c>
      <c r="F62" t="n">
        <v>80</v>
      </c>
      <c r="G62" t="n">
        <v>17881</v>
      </c>
      <c r="H62" t="n">
        <v>8510</v>
      </c>
      <c r="I62" t="n">
        <v>53027</v>
      </c>
      <c r="J62" t="n">
        <v>847640</v>
      </c>
      <c r="K62" t="n">
        <v>0</v>
      </c>
      <c r="L62" t="n">
        <v>594379</v>
      </c>
      <c r="M62" t="n">
        <v>253261</v>
      </c>
      <c r="N62" t="n">
        <v>0</v>
      </c>
      <c r="O62" t="n">
        <v>544665</v>
      </c>
      <c r="P62" t="n">
        <v>377602</v>
      </c>
      <c r="Q62" t="n">
        <v>167064</v>
      </c>
      <c r="R62" t="n">
        <v>23396</v>
      </c>
      <c r="S62" t="n">
        <v>355491</v>
      </c>
      <c r="T62" t="n">
        <v>129783</v>
      </c>
      <c r="U62" t="n">
        <v>163577</v>
      </c>
      <c r="V62" t="n">
        <v>38641</v>
      </c>
      <c r="W62" t="n">
        <v>94</v>
      </c>
      <c r="X62" t="n">
        <v>807665</v>
      </c>
      <c r="Y62" t="n">
        <v>117956</v>
      </c>
      <c r="Z62" t="n">
        <v>925622</v>
      </c>
      <c r="AA62" t="n">
        <v>19791</v>
      </c>
      <c r="AB62" t="n">
        <v>42711</v>
      </c>
      <c r="AC62" t="n">
        <v>62502</v>
      </c>
      <c r="AD62" t="n">
        <v>338104</v>
      </c>
    </row>
    <row r="63">
      <c r="A63" s="11" t="n">
        <v>43862</v>
      </c>
      <c r="B63" t="n">
        <v>41232</v>
      </c>
      <c r="D63" t="n">
        <v>38471</v>
      </c>
      <c r="F63" t="n">
        <v>48</v>
      </c>
      <c r="G63" t="n">
        <v>22797</v>
      </c>
      <c r="H63" t="n">
        <v>7507</v>
      </c>
      <c r="I63" t="n">
        <v>47650</v>
      </c>
      <c r="R63" t="n">
        <v>22824</v>
      </c>
      <c r="S63" t="n">
        <v>336812</v>
      </c>
      <c r="T63" t="n">
        <v>125705</v>
      </c>
      <c r="U63" t="n">
        <v>153438</v>
      </c>
      <c r="V63" t="n">
        <v>34757</v>
      </c>
      <c r="W63" t="n">
        <v>88</v>
      </c>
      <c r="X63" t="n">
        <v>696277</v>
      </c>
      <c r="Y63" t="n">
        <v>110218</v>
      </c>
      <c r="Z63" t="n">
        <v>806495</v>
      </c>
      <c r="AA63" t="n">
        <v>31314</v>
      </c>
      <c r="AB63" t="n">
        <v>27121</v>
      </c>
      <c r="AC63" t="n">
        <v>58435</v>
      </c>
      <c r="AD63" t="n">
        <v>310979</v>
      </c>
    </row>
    <row r="64">
      <c r="A64" s="11" t="n">
        <v>43891</v>
      </c>
      <c r="B64" t="n">
        <v>41580</v>
      </c>
      <c r="D64" t="n">
        <v>46502</v>
      </c>
      <c r="F64" t="n">
        <v>53</v>
      </c>
      <c r="G64" t="n">
        <v>23602</v>
      </c>
      <c r="H64" t="n">
        <v>8302</v>
      </c>
      <c r="I64" t="n">
        <v>55946</v>
      </c>
      <c r="R64" t="n">
        <v>16064</v>
      </c>
      <c r="S64" t="n">
        <v>318743</v>
      </c>
      <c r="T64" t="n">
        <v>124746</v>
      </c>
      <c r="U64" t="n">
        <v>158884</v>
      </c>
      <c r="V64" t="n">
        <v>18955</v>
      </c>
      <c r="W64" t="n">
        <v>94</v>
      </c>
      <c r="X64" t="n">
        <v>745862</v>
      </c>
      <c r="Y64" t="n">
        <v>118032</v>
      </c>
      <c r="Z64" t="n">
        <v>863894</v>
      </c>
      <c r="AA64" t="n">
        <v>56965</v>
      </c>
      <c r="AB64" t="n">
        <v>-30105</v>
      </c>
      <c r="AC64" t="n">
        <v>26861</v>
      </c>
      <c r="AD64" t="n">
        <v>341067</v>
      </c>
    </row>
    <row r="65">
      <c r="A65" s="11" t="n">
        <v>43922</v>
      </c>
      <c r="B65" t="n">
        <v>34255</v>
      </c>
      <c r="D65" t="n">
        <v>31875</v>
      </c>
      <c r="F65" t="n">
        <v>21</v>
      </c>
      <c r="G65" t="n">
        <v>23327</v>
      </c>
      <c r="H65" t="n">
        <v>7490</v>
      </c>
      <c r="I65" t="n">
        <v>36149</v>
      </c>
      <c r="R65" t="n">
        <v>12388</v>
      </c>
      <c r="S65" t="n">
        <v>283285</v>
      </c>
      <c r="T65" t="n">
        <v>114512</v>
      </c>
      <c r="U65" t="n">
        <v>145624</v>
      </c>
      <c r="V65" t="n">
        <v>10670</v>
      </c>
      <c r="W65" t="n">
        <v>91</v>
      </c>
      <c r="X65" t="n">
        <v>758304</v>
      </c>
      <c r="Y65" t="n">
        <v>111223</v>
      </c>
      <c r="Z65" t="n">
        <v>869527</v>
      </c>
      <c r="AA65" t="n">
        <v>82041</v>
      </c>
      <c r="AB65" t="n">
        <v>-65511</v>
      </c>
      <c r="AC65" t="n">
        <v>16530</v>
      </c>
      <c r="AD65" t="n">
        <v>405302</v>
      </c>
    </row>
    <row r="66">
      <c r="A66" s="11" t="n">
        <v>43952</v>
      </c>
      <c r="B66" t="n">
        <v>23648</v>
      </c>
      <c r="D66" t="n">
        <v>28671</v>
      </c>
      <c r="F66" t="n">
        <v>17</v>
      </c>
      <c r="G66" t="n">
        <v>18453</v>
      </c>
      <c r="H66" t="n">
        <v>8153</v>
      </c>
      <c r="I66" t="n">
        <v>47832</v>
      </c>
      <c r="R66" t="n">
        <v>9685</v>
      </c>
      <c r="S66" t="n">
        <v>304441</v>
      </c>
      <c r="T66" t="n">
        <v>138805</v>
      </c>
      <c r="U66" t="n">
        <v>147428</v>
      </c>
      <c r="V66" t="n">
        <v>8428</v>
      </c>
      <c r="W66" t="n">
        <v>94</v>
      </c>
      <c r="X66" t="n">
        <v>660219</v>
      </c>
      <c r="Y66" t="n">
        <v>108091</v>
      </c>
      <c r="Z66" t="n">
        <v>768310</v>
      </c>
      <c r="AA66" t="n">
        <v>59569</v>
      </c>
      <c r="AB66" t="n">
        <v>-38554</v>
      </c>
      <c r="AC66" t="n">
        <v>21015</v>
      </c>
      <c r="AD66" t="n">
        <v>443847</v>
      </c>
    </row>
    <row r="67">
      <c r="A67" s="11" t="n">
        <v>43983</v>
      </c>
      <c r="B67" t="n">
        <v>8459</v>
      </c>
      <c r="D67" t="n">
        <v>14933</v>
      </c>
      <c r="F67" t="n">
        <v>20</v>
      </c>
      <c r="G67" t="n">
        <v>20771</v>
      </c>
      <c r="H67" t="n">
        <v>9492</v>
      </c>
      <c r="I67" t="n">
        <v>49877</v>
      </c>
      <c r="R67" t="n">
        <v>7969</v>
      </c>
      <c r="S67" t="n">
        <v>323642</v>
      </c>
      <c r="T67" t="n">
        <v>167442</v>
      </c>
      <c r="U67" t="n">
        <v>141044</v>
      </c>
      <c r="V67" t="n">
        <v>7096</v>
      </c>
      <c r="W67" t="n">
        <v>91</v>
      </c>
      <c r="X67" t="n">
        <v>704143</v>
      </c>
      <c r="Y67" t="n">
        <v>106096</v>
      </c>
      <c r="Z67" t="n">
        <v>810238</v>
      </c>
      <c r="AA67" t="n">
        <v>43843</v>
      </c>
      <c r="AB67" t="n">
        <v>-24368</v>
      </c>
      <c r="AC67" t="n">
        <v>19475</v>
      </c>
      <c r="AD67" t="n">
        <v>468312</v>
      </c>
    </row>
    <row r="68">
      <c r="A68" s="11" t="n">
        <v>44013</v>
      </c>
      <c r="B68" t="n">
        <v>10622</v>
      </c>
      <c r="D68" t="n">
        <v>3741</v>
      </c>
      <c r="F68" t="n">
        <v>36</v>
      </c>
      <c r="G68" t="n">
        <v>23416</v>
      </c>
      <c r="H68" t="n">
        <v>9046</v>
      </c>
      <c r="I68" t="n">
        <v>52442</v>
      </c>
      <c r="R68" t="n">
        <v>10520</v>
      </c>
      <c r="S68" t="n">
        <v>382868</v>
      </c>
      <c r="T68" t="n">
        <v>212107</v>
      </c>
      <c r="U68" t="n">
        <v>153055</v>
      </c>
      <c r="V68" t="n">
        <v>7092</v>
      </c>
      <c r="W68" t="n">
        <v>94</v>
      </c>
      <c r="X68" t="n">
        <v>678408</v>
      </c>
      <c r="Y68" t="n">
        <v>111573</v>
      </c>
      <c r="Z68" t="n">
        <v>789981</v>
      </c>
      <c r="AA68" t="n">
        <v>27234</v>
      </c>
      <c r="AB68" t="n">
        <v>11730</v>
      </c>
      <c r="AC68" t="n">
        <v>38964</v>
      </c>
      <c r="AD68" t="n">
        <v>456456</v>
      </c>
    </row>
    <row r="69">
      <c r="A69" s="11" t="n">
        <v>44044</v>
      </c>
      <c r="B69" t="n">
        <v>17103</v>
      </c>
      <c r="D69" t="n">
        <v>11338</v>
      </c>
      <c r="F69" t="n">
        <v>31</v>
      </c>
      <c r="G69" t="n">
        <v>22170</v>
      </c>
      <c r="H69" t="n">
        <v>10350</v>
      </c>
      <c r="I69" t="n">
        <v>51219</v>
      </c>
      <c r="R69" t="n">
        <v>10000</v>
      </c>
      <c r="S69" t="n">
        <v>378367</v>
      </c>
      <c r="T69" t="n">
        <v>208324</v>
      </c>
      <c r="U69" t="n">
        <v>153600</v>
      </c>
      <c r="V69" t="n">
        <v>6348</v>
      </c>
      <c r="W69" t="n">
        <v>94</v>
      </c>
      <c r="X69" t="n">
        <v>691777</v>
      </c>
      <c r="Y69" t="n">
        <v>111213</v>
      </c>
      <c r="Z69" t="n">
        <v>802991</v>
      </c>
      <c r="AA69" t="n">
        <v>60349</v>
      </c>
      <c r="AB69" t="n">
        <v>8451</v>
      </c>
      <c r="AC69" t="n">
        <v>68800</v>
      </c>
      <c r="AD69" t="n">
        <v>447979</v>
      </c>
    </row>
    <row r="70">
      <c r="A70" s="11" t="n">
        <v>44075</v>
      </c>
      <c r="B70" t="n">
        <v>37513</v>
      </c>
      <c r="D70" t="n">
        <v>31018</v>
      </c>
      <c r="F70" t="n">
        <v>40</v>
      </c>
      <c r="G70" t="n">
        <v>23110</v>
      </c>
      <c r="H70" t="n">
        <v>9378</v>
      </c>
      <c r="I70" t="n">
        <v>51971</v>
      </c>
      <c r="R70" t="n">
        <v>10518</v>
      </c>
      <c r="S70" t="n">
        <v>326393</v>
      </c>
      <c r="T70" t="n">
        <v>159518</v>
      </c>
      <c r="U70" t="n">
        <v>149727</v>
      </c>
      <c r="V70" t="n">
        <v>6539</v>
      </c>
      <c r="W70" t="n">
        <v>91</v>
      </c>
      <c r="X70" t="n">
        <v>698295</v>
      </c>
      <c r="Y70" t="n">
        <v>107742</v>
      </c>
      <c r="Z70" t="n">
        <v>806037</v>
      </c>
      <c r="AA70" t="n">
        <v>72848</v>
      </c>
      <c r="AB70" t="n">
        <v>-18300</v>
      </c>
      <c r="AC70" t="n">
        <v>54548</v>
      </c>
      <c r="AD70" t="n">
        <v>466280</v>
      </c>
    </row>
    <row r="71">
      <c r="A71" s="11" t="n">
        <v>44105</v>
      </c>
      <c r="B71" t="n">
        <v>44116</v>
      </c>
      <c r="D71" t="n">
        <v>53799</v>
      </c>
      <c r="F71" t="n">
        <v>65</v>
      </c>
      <c r="G71" t="n">
        <v>23976</v>
      </c>
      <c r="H71" t="n">
        <v>9447</v>
      </c>
      <c r="I71" t="n">
        <v>49305</v>
      </c>
      <c r="R71" t="n">
        <v>12979</v>
      </c>
      <c r="S71" t="n">
        <v>323706</v>
      </c>
      <c r="T71" t="n">
        <v>141379</v>
      </c>
      <c r="U71" t="n">
        <v>159976</v>
      </c>
      <c r="V71" t="n">
        <v>9278</v>
      </c>
      <c r="W71" t="n">
        <v>94</v>
      </c>
      <c r="X71" t="n">
        <v>681233</v>
      </c>
      <c r="Y71" t="n">
        <v>110484</v>
      </c>
      <c r="Z71" t="n">
        <v>791717</v>
      </c>
      <c r="AA71" t="n">
        <v>30732</v>
      </c>
      <c r="AB71" t="n">
        <v>13464</v>
      </c>
      <c r="AC71" t="n">
        <v>44195</v>
      </c>
      <c r="AD71" t="n">
        <v>452810</v>
      </c>
    </row>
    <row r="72">
      <c r="A72" s="11" t="n">
        <v>44136</v>
      </c>
      <c r="B72" t="n">
        <v>44951</v>
      </c>
      <c r="D72" t="n">
        <v>53747</v>
      </c>
      <c r="F72" t="n">
        <v>46</v>
      </c>
      <c r="G72" t="n">
        <v>24772</v>
      </c>
      <c r="H72" t="n">
        <v>8659</v>
      </c>
      <c r="I72" t="n">
        <v>44713</v>
      </c>
      <c r="R72" t="n">
        <v>13916</v>
      </c>
      <c r="S72" t="n">
        <v>299797</v>
      </c>
      <c r="T72" t="n">
        <v>106204</v>
      </c>
      <c r="U72" t="n">
        <v>163179</v>
      </c>
      <c r="V72" t="n">
        <v>16407</v>
      </c>
      <c r="W72" t="n">
        <v>91</v>
      </c>
      <c r="X72" t="n">
        <v>663202</v>
      </c>
      <c r="Y72" t="n">
        <v>110214</v>
      </c>
      <c r="Z72" t="n">
        <v>773417</v>
      </c>
      <c r="AA72" t="n">
        <v>40387</v>
      </c>
      <c r="AB72" t="n">
        <v>-17889</v>
      </c>
      <c r="AC72" t="n">
        <v>22498</v>
      </c>
      <c r="AD72" t="n">
        <v>470665</v>
      </c>
    </row>
    <row r="73">
      <c r="A73" s="11" t="n">
        <v>44166</v>
      </c>
      <c r="B73" t="n">
        <v>51800</v>
      </c>
      <c r="D73" t="n">
        <v>58489</v>
      </c>
      <c r="F73" t="n">
        <v>42</v>
      </c>
      <c r="G73" t="n">
        <v>23254</v>
      </c>
      <c r="H73" t="n">
        <v>7922</v>
      </c>
      <c r="I73" t="n">
        <v>46577</v>
      </c>
      <c r="R73" t="n">
        <v>22367</v>
      </c>
      <c r="S73" t="n">
        <v>349158</v>
      </c>
      <c r="T73" t="n">
        <v>110236</v>
      </c>
      <c r="U73" t="n">
        <v>176212</v>
      </c>
      <c r="V73" t="n">
        <v>40248</v>
      </c>
      <c r="W73" t="n">
        <v>94</v>
      </c>
      <c r="X73" t="n">
        <v>690746</v>
      </c>
      <c r="Y73" t="n">
        <v>114061</v>
      </c>
      <c r="Z73" t="n">
        <v>804807</v>
      </c>
      <c r="AA73" t="n">
        <v>22775</v>
      </c>
      <c r="AB73" t="n">
        <v>40026</v>
      </c>
      <c r="AC73" t="n">
        <v>62800</v>
      </c>
      <c r="AD73" t="n">
        <v>429437</v>
      </c>
    </row>
    <row r="74">
      <c r="A74" s="11" t="n">
        <v>44197</v>
      </c>
      <c r="B74" t="n">
        <v>57216</v>
      </c>
      <c r="D74" t="n">
        <v>61103</v>
      </c>
      <c r="F74" t="n">
        <v>77</v>
      </c>
      <c r="G74" t="n">
        <v>23182</v>
      </c>
      <c r="H74" t="n">
        <v>7226</v>
      </c>
      <c r="I74" t="n">
        <v>48719</v>
      </c>
      <c r="J74" t="n">
        <v>847485</v>
      </c>
      <c r="K74" t="n">
        <v>0</v>
      </c>
      <c r="L74" t="n">
        <v>594664</v>
      </c>
      <c r="M74" t="n">
        <v>252821</v>
      </c>
      <c r="N74" t="n">
        <v>0</v>
      </c>
      <c r="O74" t="n">
        <v>544315</v>
      </c>
      <c r="P74" t="n">
        <v>377817</v>
      </c>
      <c r="Q74" t="n">
        <v>166497</v>
      </c>
      <c r="R74" t="n">
        <v>24638</v>
      </c>
      <c r="S74" t="n">
        <v>361903</v>
      </c>
      <c r="T74" t="n">
        <v>113820</v>
      </c>
      <c r="U74" t="n">
        <v>178191</v>
      </c>
      <c r="V74" t="n">
        <v>45173</v>
      </c>
      <c r="W74" t="n">
        <v>80</v>
      </c>
      <c r="X74" t="n">
        <v>685219</v>
      </c>
      <c r="Y74" t="n">
        <v>114164</v>
      </c>
      <c r="Z74" t="n">
        <v>799384</v>
      </c>
      <c r="AA74" t="n">
        <v>16109</v>
      </c>
      <c r="AB74" t="n">
        <v>63252</v>
      </c>
      <c r="AC74" t="n">
        <v>79360</v>
      </c>
      <c r="AD74" t="n">
        <v>366023</v>
      </c>
    </row>
    <row r="75">
      <c r="A75" s="11" t="n">
        <v>44228</v>
      </c>
      <c r="B75" t="n">
        <v>33330</v>
      </c>
      <c r="D75" t="n">
        <v>30471</v>
      </c>
      <c r="F75" t="n">
        <v>55</v>
      </c>
      <c r="G75" t="n">
        <v>20381</v>
      </c>
      <c r="H75" t="n">
        <v>6043</v>
      </c>
      <c r="I75" t="n">
        <v>36644</v>
      </c>
      <c r="R75" t="n">
        <v>25894</v>
      </c>
      <c r="S75" t="n">
        <v>335215</v>
      </c>
      <c r="T75" t="n">
        <v>125874</v>
      </c>
      <c r="U75" t="n">
        <v>132988</v>
      </c>
      <c r="V75" t="n">
        <v>50386</v>
      </c>
      <c r="W75" t="n">
        <v>72</v>
      </c>
      <c r="X75" t="n">
        <v>515228</v>
      </c>
      <c r="Y75" t="n">
        <v>95477</v>
      </c>
      <c r="Z75" t="n">
        <v>610705</v>
      </c>
      <c r="AA75" t="n">
        <v>35619</v>
      </c>
      <c r="AB75" t="n">
        <v>87938</v>
      </c>
      <c r="AC75" t="n">
        <v>123557</v>
      </c>
      <c r="AD75" t="n">
        <v>280432</v>
      </c>
    </row>
    <row r="76">
      <c r="A76" s="11" t="n">
        <v>44256</v>
      </c>
      <c r="B76" t="n">
        <v>62591</v>
      </c>
      <c r="D76" t="n">
        <v>63625</v>
      </c>
      <c r="F76" t="n">
        <v>9</v>
      </c>
      <c r="G76" t="n">
        <v>25314</v>
      </c>
      <c r="H76" t="n">
        <v>6771</v>
      </c>
      <c r="I76" t="n">
        <v>49877</v>
      </c>
      <c r="R76" t="n">
        <v>16980</v>
      </c>
      <c r="S76" t="n">
        <v>282860</v>
      </c>
      <c r="T76" t="n">
        <v>89081</v>
      </c>
      <c r="U76" t="n">
        <v>150331</v>
      </c>
      <c r="V76" t="n">
        <v>26389</v>
      </c>
      <c r="W76" t="n">
        <v>80</v>
      </c>
      <c r="X76" t="n">
        <v>712770</v>
      </c>
      <c r="Y76" t="n">
        <v>115285</v>
      </c>
      <c r="Z76" t="n">
        <v>828055</v>
      </c>
      <c r="AA76" t="n">
        <v>54633</v>
      </c>
      <c r="AB76" t="n">
        <v>-19159</v>
      </c>
      <c r="AC76" t="n">
        <v>35475</v>
      </c>
      <c r="AD76" t="n">
        <v>299158</v>
      </c>
    </row>
    <row r="77">
      <c r="A77" s="11" t="n">
        <v>44287</v>
      </c>
      <c r="B77" t="n">
        <v>59861</v>
      </c>
      <c r="D77" t="n">
        <v>60625</v>
      </c>
      <c r="F77" t="n">
        <v>12</v>
      </c>
      <c r="G77" t="n">
        <v>28715</v>
      </c>
      <c r="H77" t="n">
        <v>7829</v>
      </c>
      <c r="I77" t="n">
        <v>43563</v>
      </c>
      <c r="R77" t="n">
        <v>14233</v>
      </c>
      <c r="S77" t="n">
        <v>297643</v>
      </c>
      <c r="T77" t="n">
        <v>112387</v>
      </c>
      <c r="U77" t="n">
        <v>158615</v>
      </c>
      <c r="V77" t="n">
        <v>12331</v>
      </c>
      <c r="W77" t="n">
        <v>77</v>
      </c>
      <c r="X77" t="n">
        <v>711367</v>
      </c>
      <c r="Y77" t="n">
        <v>112440</v>
      </c>
      <c r="Z77" t="n">
        <v>823807</v>
      </c>
      <c r="AA77" t="n">
        <v>46770</v>
      </c>
      <c r="AB77" t="n">
        <v>-23764</v>
      </c>
      <c r="AC77" t="n">
        <v>23006</v>
      </c>
      <c r="AD77" t="n">
        <v>323595</v>
      </c>
    </row>
    <row r="78">
      <c r="A78" s="11" t="n">
        <v>44317</v>
      </c>
      <c r="B78" t="n">
        <v>58768</v>
      </c>
      <c r="D78" t="n">
        <v>63214</v>
      </c>
      <c r="F78" t="n">
        <v>27</v>
      </c>
      <c r="G78" t="n">
        <v>29513</v>
      </c>
      <c r="H78" t="n">
        <v>9527</v>
      </c>
      <c r="I78" t="n">
        <v>46716</v>
      </c>
      <c r="R78" t="n">
        <v>10890</v>
      </c>
      <c r="S78" t="n">
        <v>301182</v>
      </c>
      <c r="T78" t="n">
        <v>119157</v>
      </c>
      <c r="U78" t="n">
        <v>162278</v>
      </c>
      <c r="V78" t="n">
        <v>8778</v>
      </c>
      <c r="W78" t="n">
        <v>80</v>
      </c>
      <c r="X78" t="n">
        <v>731219</v>
      </c>
      <c r="Y78" t="n">
        <v>116095</v>
      </c>
      <c r="Z78" t="n">
        <v>847314</v>
      </c>
      <c r="AA78" t="n">
        <v>63869</v>
      </c>
      <c r="AB78" t="n">
        <v>-52373</v>
      </c>
      <c r="AC78" t="n">
        <v>11496</v>
      </c>
      <c r="AD78" t="n">
        <v>375994</v>
      </c>
    </row>
    <row r="79">
      <c r="A79" s="11" t="n">
        <v>44348</v>
      </c>
      <c r="B79" t="n">
        <v>61536</v>
      </c>
      <c r="D79" t="n">
        <v>58539</v>
      </c>
      <c r="F79" t="n">
        <v>87</v>
      </c>
      <c r="G79" t="n">
        <v>31775</v>
      </c>
      <c r="H79" t="n">
        <v>10520</v>
      </c>
      <c r="I79" t="n">
        <v>45603</v>
      </c>
      <c r="R79" t="n">
        <v>10881</v>
      </c>
      <c r="S79" t="n">
        <v>349278</v>
      </c>
      <c r="T79" t="n">
        <v>172535</v>
      </c>
      <c r="U79" t="n">
        <v>158888</v>
      </c>
      <c r="V79" t="n">
        <v>6897</v>
      </c>
      <c r="W79" t="n">
        <v>77</v>
      </c>
      <c r="X79" t="n">
        <v>705635</v>
      </c>
      <c r="Y79" t="n">
        <v>111947</v>
      </c>
      <c r="Z79" t="n">
        <v>817582</v>
      </c>
      <c r="AA79" t="n">
        <v>34218</v>
      </c>
      <c r="AB79" t="n">
        <v>5963</v>
      </c>
      <c r="AC79" t="n">
        <v>40180</v>
      </c>
      <c r="AD79" t="n">
        <v>370019</v>
      </c>
    </row>
    <row r="80">
      <c r="A80" s="11" t="n">
        <v>44378</v>
      </c>
      <c r="B80" t="n">
        <v>60477</v>
      </c>
      <c r="D80" t="n">
        <v>60901</v>
      </c>
      <c r="F80" t="n">
        <v>79</v>
      </c>
      <c r="G80" t="n">
        <v>31350</v>
      </c>
      <c r="H80" t="n">
        <v>10401</v>
      </c>
      <c r="I80" t="n">
        <v>47411</v>
      </c>
      <c r="R80" t="n">
        <v>11506</v>
      </c>
      <c r="S80" t="n">
        <v>379649</v>
      </c>
      <c r="T80" t="n">
        <v>193281</v>
      </c>
      <c r="U80" t="n">
        <v>168108</v>
      </c>
      <c r="V80" t="n">
        <v>6673</v>
      </c>
      <c r="W80" t="n">
        <v>80</v>
      </c>
      <c r="X80" t="n">
        <v>743908</v>
      </c>
      <c r="Y80" t="n">
        <v>116772</v>
      </c>
      <c r="Z80" t="n">
        <v>860680</v>
      </c>
      <c r="AA80" t="n">
        <v>29100</v>
      </c>
      <c r="AB80" t="n">
        <v>9832</v>
      </c>
      <c r="AC80" t="n">
        <v>38932</v>
      </c>
      <c r="AD80" t="n">
        <v>360180</v>
      </c>
    </row>
    <row r="81">
      <c r="A81" s="11" t="n">
        <v>44409</v>
      </c>
      <c r="B81" t="n">
        <v>61749</v>
      </c>
      <c r="D81" t="n">
        <v>65626</v>
      </c>
      <c r="F81" t="n">
        <v>128</v>
      </c>
      <c r="G81" t="n">
        <v>31197</v>
      </c>
      <c r="H81" t="n">
        <v>10099</v>
      </c>
      <c r="I81" t="n">
        <v>45591</v>
      </c>
      <c r="R81" t="n">
        <v>11347</v>
      </c>
      <c r="S81" t="n">
        <v>382962</v>
      </c>
      <c r="T81" t="n">
        <v>196140</v>
      </c>
      <c r="U81" t="n">
        <v>169214</v>
      </c>
      <c r="V81" t="n">
        <v>6182</v>
      </c>
      <c r="W81" t="n">
        <v>80</v>
      </c>
      <c r="X81" t="n">
        <v>745280</v>
      </c>
      <c r="Y81" t="n">
        <v>117118</v>
      </c>
      <c r="Z81" t="n">
        <v>862398</v>
      </c>
      <c r="AA81" t="n">
        <v>32285</v>
      </c>
      <c r="AB81" t="n">
        <v>20036</v>
      </c>
      <c r="AC81" t="n">
        <v>52321</v>
      </c>
      <c r="AD81" t="n">
        <v>339759</v>
      </c>
    </row>
    <row r="82">
      <c r="A82" s="11" t="n">
        <v>44440</v>
      </c>
      <c r="B82" t="n">
        <v>64392</v>
      </c>
      <c r="D82" t="n">
        <v>48552</v>
      </c>
      <c r="F82" t="n">
        <v>135</v>
      </c>
      <c r="G82" t="n">
        <v>25869</v>
      </c>
      <c r="H82" t="n">
        <v>9900</v>
      </c>
      <c r="I82" t="n">
        <v>42645</v>
      </c>
      <c r="R82" t="n">
        <v>11117</v>
      </c>
      <c r="S82" t="n">
        <v>341704</v>
      </c>
      <c r="T82" t="n">
        <v>158960</v>
      </c>
      <c r="U82" t="n">
        <v>165542</v>
      </c>
      <c r="V82" t="n">
        <v>6008</v>
      </c>
      <c r="W82" t="n">
        <v>77</v>
      </c>
      <c r="X82" t="n">
        <v>744643</v>
      </c>
      <c r="Y82" t="n">
        <v>114109</v>
      </c>
      <c r="Z82" t="n">
        <v>858752</v>
      </c>
      <c r="AA82" t="n">
        <v>64826</v>
      </c>
      <c r="AB82" t="n">
        <v>-44566</v>
      </c>
      <c r="AC82" t="n">
        <v>20260</v>
      </c>
      <c r="AD82" t="n">
        <v>382958</v>
      </c>
    </row>
    <row r="83">
      <c r="A83" s="11" t="n">
        <v>44470</v>
      </c>
      <c r="B83" t="n">
        <v>64835</v>
      </c>
      <c r="D83" t="n">
        <v>60038</v>
      </c>
      <c r="F83" t="n">
        <v>167</v>
      </c>
      <c r="G83" t="n">
        <v>29460</v>
      </c>
      <c r="H83" t="n">
        <v>9104</v>
      </c>
      <c r="I83" t="n">
        <v>47240</v>
      </c>
      <c r="R83" t="n">
        <v>12008</v>
      </c>
      <c r="S83" t="n">
        <v>319987</v>
      </c>
      <c r="T83" t="n">
        <v>136791</v>
      </c>
      <c r="U83" t="n">
        <v>163143</v>
      </c>
      <c r="V83" t="n">
        <v>7965</v>
      </c>
      <c r="W83" t="n">
        <v>80</v>
      </c>
      <c r="X83" t="n">
        <v>767203</v>
      </c>
      <c r="Y83" t="n">
        <v>119785</v>
      </c>
      <c r="Z83" t="n">
        <v>886988</v>
      </c>
      <c r="AA83" t="n">
        <v>66775</v>
      </c>
      <c r="AB83" t="n">
        <v>-48507</v>
      </c>
      <c r="AC83" t="n">
        <v>18268</v>
      </c>
      <c r="AD83" t="n">
        <v>431071</v>
      </c>
    </row>
    <row r="84">
      <c r="A84" s="11" t="n">
        <v>44501</v>
      </c>
      <c r="B84" t="n">
        <v>63495</v>
      </c>
      <c r="D84" t="n">
        <v>43941</v>
      </c>
      <c r="F84" t="n">
        <v>149</v>
      </c>
      <c r="G84" t="n">
        <v>26302</v>
      </c>
      <c r="H84" t="n">
        <v>7793</v>
      </c>
      <c r="I84" t="n">
        <v>42632</v>
      </c>
      <c r="R84" t="n">
        <v>15388</v>
      </c>
      <c r="S84" t="n">
        <v>304836</v>
      </c>
      <c r="T84" t="n">
        <v>103728</v>
      </c>
      <c r="U84" t="n">
        <v>169491</v>
      </c>
      <c r="V84" t="n">
        <v>16153</v>
      </c>
      <c r="W84" t="n">
        <v>77</v>
      </c>
      <c r="X84" t="n">
        <v>739259</v>
      </c>
      <c r="Y84" t="n">
        <v>117229</v>
      </c>
      <c r="Z84" t="n">
        <v>856488</v>
      </c>
      <c r="AA84" t="n">
        <v>38831</v>
      </c>
      <c r="AB84" t="n">
        <v>-5385</v>
      </c>
      <c r="AC84" t="n">
        <v>33446</v>
      </c>
      <c r="AD84" t="n">
        <v>436713</v>
      </c>
    </row>
    <row r="85">
      <c r="A85" s="11" t="n">
        <v>44531</v>
      </c>
      <c r="B85" t="n">
        <v>63975</v>
      </c>
      <c r="D85" t="n">
        <v>67263</v>
      </c>
      <c r="F85" t="n">
        <v>137</v>
      </c>
      <c r="G85" t="n">
        <v>22887</v>
      </c>
      <c r="H85" t="n">
        <v>6844</v>
      </c>
      <c r="I85" t="n">
        <v>44847</v>
      </c>
      <c r="R85" t="n">
        <v>16495</v>
      </c>
      <c r="S85" t="n">
        <v>318849</v>
      </c>
      <c r="T85" t="n">
        <v>104727</v>
      </c>
      <c r="U85" t="n">
        <v>179283</v>
      </c>
      <c r="V85" t="n">
        <v>18264</v>
      </c>
      <c r="W85" t="n">
        <v>80</v>
      </c>
      <c r="X85" t="n">
        <v>774845</v>
      </c>
      <c r="Y85" t="n">
        <v>122158</v>
      </c>
      <c r="Z85" t="n">
        <v>897003</v>
      </c>
      <c r="AA85" t="n">
        <v>43027</v>
      </c>
      <c r="AB85" t="n">
        <v>-634</v>
      </c>
      <c r="AC85" t="n">
        <v>42393</v>
      </c>
      <c r="AD85" t="n">
        <v>438618</v>
      </c>
    </row>
    <row r="86">
      <c r="A86" s="11" t="n">
        <v>44562</v>
      </c>
      <c r="B86" t="n">
        <v>66754</v>
      </c>
      <c r="D86" t="n">
        <v>63940</v>
      </c>
      <c r="F86" t="n">
        <v>138</v>
      </c>
      <c r="G86" t="n">
        <v>23397</v>
      </c>
      <c r="H86" t="n">
        <v>8781</v>
      </c>
      <c r="I86" t="n">
        <v>47263</v>
      </c>
      <c r="J86" t="n">
        <v>860268</v>
      </c>
      <c r="K86" t="n">
        <v>0</v>
      </c>
      <c r="L86" t="n">
        <v>595804</v>
      </c>
      <c r="M86" t="n">
        <v>264464</v>
      </c>
      <c r="N86" t="n">
        <v>0</v>
      </c>
      <c r="O86" t="n">
        <v>551806</v>
      </c>
      <c r="P86" t="n">
        <v>378958</v>
      </c>
      <c r="Q86" t="n">
        <v>172847</v>
      </c>
      <c r="R86" t="n">
        <v>23280</v>
      </c>
      <c r="S86" t="n">
        <v>364425</v>
      </c>
      <c r="T86" t="n">
        <v>126918</v>
      </c>
      <c r="U86" t="n">
        <v>173574</v>
      </c>
      <c r="V86" t="n">
        <v>40545</v>
      </c>
      <c r="W86" t="n">
        <v>108</v>
      </c>
      <c r="X86" t="n">
        <v>718576</v>
      </c>
      <c r="Y86" t="n">
        <v>129069</v>
      </c>
      <c r="Z86" t="n">
        <v>847645</v>
      </c>
      <c r="AA86" t="n">
        <v>15964</v>
      </c>
      <c r="AB86" t="n">
        <v>108055</v>
      </c>
      <c r="AC86" t="n">
        <v>124019</v>
      </c>
      <c r="AD86" t="n">
        <v>328690</v>
      </c>
    </row>
    <row r="87">
      <c r="A87" s="11" t="n">
        <v>44593</v>
      </c>
      <c r="B87" t="n">
        <v>68177</v>
      </c>
      <c r="D87" t="n">
        <v>52484</v>
      </c>
      <c r="F87" t="n">
        <v>149</v>
      </c>
      <c r="G87" t="n">
        <v>24071</v>
      </c>
      <c r="H87" t="n">
        <v>8881</v>
      </c>
      <c r="I87" t="n">
        <v>43405</v>
      </c>
      <c r="R87" t="n">
        <v>25023</v>
      </c>
      <c r="S87" t="n">
        <v>342351</v>
      </c>
      <c r="T87" t="n">
        <v>116379</v>
      </c>
      <c r="U87" t="n">
        <v>154764</v>
      </c>
      <c r="V87" t="n">
        <v>46088</v>
      </c>
      <c r="W87" t="n">
        <v>98</v>
      </c>
      <c r="X87" t="n">
        <v>681522</v>
      </c>
      <c r="Y87" t="n">
        <v>117694</v>
      </c>
      <c r="Z87" t="n">
        <v>799216</v>
      </c>
      <c r="AA87" t="n">
        <v>20716</v>
      </c>
      <c r="AB87" t="n">
        <v>82357</v>
      </c>
      <c r="AC87" t="n">
        <v>103073</v>
      </c>
      <c r="AD87" t="n">
        <v>246445</v>
      </c>
    </row>
    <row r="88">
      <c r="A88" s="11" t="n">
        <v>44621</v>
      </c>
      <c r="B88" t="n">
        <v>60147</v>
      </c>
      <c r="D88" t="n">
        <v>64493</v>
      </c>
      <c r="F88" t="n">
        <v>138</v>
      </c>
      <c r="G88" t="n">
        <v>26224</v>
      </c>
      <c r="H88" t="n">
        <v>8840</v>
      </c>
      <c r="I88" t="n">
        <v>47642</v>
      </c>
      <c r="R88" t="n">
        <v>19731</v>
      </c>
      <c r="S88" t="n">
        <v>313286</v>
      </c>
      <c r="T88" t="n">
        <v>91745</v>
      </c>
      <c r="U88" t="n">
        <v>170848</v>
      </c>
      <c r="V88" t="n">
        <v>30854</v>
      </c>
      <c r="W88" t="n">
        <v>108</v>
      </c>
      <c r="X88" t="n">
        <v>771276</v>
      </c>
      <c r="Y88" t="n">
        <v>132442</v>
      </c>
      <c r="Z88" t="n">
        <v>903718</v>
      </c>
      <c r="AA88" t="n">
        <v>44425</v>
      </c>
      <c r="AB88" t="n">
        <v>-221</v>
      </c>
      <c r="AC88" t="n">
        <v>44204</v>
      </c>
      <c r="AD88" t="n">
        <v>246634</v>
      </c>
    </row>
    <row r="89">
      <c r="A89" s="11" t="n">
        <v>44652</v>
      </c>
      <c r="B89" t="n">
        <v>58269</v>
      </c>
      <c r="D89" t="n">
        <v>39285</v>
      </c>
      <c r="F89" t="n">
        <v>113</v>
      </c>
      <c r="G89" t="n">
        <v>31176</v>
      </c>
      <c r="H89" t="n">
        <v>10183</v>
      </c>
      <c r="I89" t="n">
        <v>40373</v>
      </c>
      <c r="R89" t="n">
        <v>13640</v>
      </c>
      <c r="S89" t="n">
        <v>289525</v>
      </c>
      <c r="T89" t="n">
        <v>98488</v>
      </c>
      <c r="U89" t="n">
        <v>163619</v>
      </c>
      <c r="V89" t="n">
        <v>13674</v>
      </c>
      <c r="W89" t="n">
        <v>105</v>
      </c>
      <c r="X89" t="n">
        <v>761080</v>
      </c>
      <c r="Y89" t="n">
        <v>129431</v>
      </c>
      <c r="Z89" t="n">
        <v>890511</v>
      </c>
      <c r="AA89" t="n">
        <v>60331</v>
      </c>
      <c r="AB89" t="n">
        <v>-44712</v>
      </c>
      <c r="AC89" t="n">
        <v>15618</v>
      </c>
      <c r="AD89" t="n">
        <v>291172</v>
      </c>
    </row>
    <row r="90">
      <c r="A90" s="11" t="n">
        <v>44682</v>
      </c>
      <c r="B90" t="n">
        <v>61983</v>
      </c>
      <c r="D90" t="n">
        <v>63482</v>
      </c>
      <c r="F90" t="n">
        <v>107</v>
      </c>
      <c r="G90" t="n">
        <v>32090</v>
      </c>
      <c r="H90" t="n">
        <v>11282</v>
      </c>
      <c r="I90" t="n">
        <v>43588</v>
      </c>
      <c r="R90" t="n">
        <v>12147</v>
      </c>
      <c r="S90" t="n">
        <v>333692</v>
      </c>
      <c r="T90" t="n">
        <v>150515</v>
      </c>
      <c r="U90" t="n">
        <v>163611</v>
      </c>
      <c r="V90" t="n">
        <v>7311</v>
      </c>
      <c r="W90" t="n">
        <v>108</v>
      </c>
      <c r="X90" t="n">
        <v>767306</v>
      </c>
      <c r="Y90" t="n">
        <v>133838</v>
      </c>
      <c r="Z90" t="n">
        <v>901144</v>
      </c>
      <c r="AA90" t="n">
        <v>51603</v>
      </c>
      <c r="AB90" t="n">
        <v>-30876</v>
      </c>
      <c r="AC90" t="n">
        <v>20727</v>
      </c>
      <c r="AD90" t="n">
        <v>322460</v>
      </c>
    </row>
    <row r="91">
      <c r="A91" s="11" t="n">
        <v>44713</v>
      </c>
      <c r="B91" t="n">
        <v>63721</v>
      </c>
      <c r="D91" t="n">
        <v>17323</v>
      </c>
      <c r="F91" t="n">
        <v>98</v>
      </c>
      <c r="G91" t="n">
        <v>26775</v>
      </c>
      <c r="H91" t="n">
        <v>9760</v>
      </c>
      <c r="I91" t="n">
        <v>43687</v>
      </c>
      <c r="R91" t="n">
        <v>11308</v>
      </c>
      <c r="S91" t="n">
        <v>364046</v>
      </c>
      <c r="T91" t="n">
        <v>184392</v>
      </c>
      <c r="U91" t="n">
        <v>161998</v>
      </c>
      <c r="V91" t="n">
        <v>6243</v>
      </c>
      <c r="W91" t="n">
        <v>105</v>
      </c>
      <c r="X91" t="n">
        <v>736274</v>
      </c>
      <c r="Y91" t="n">
        <v>129907</v>
      </c>
      <c r="Z91" t="n">
        <v>866181</v>
      </c>
      <c r="AA91" t="n">
        <v>43595</v>
      </c>
      <c r="AB91" t="n">
        <v>-20141</v>
      </c>
      <c r="AC91" t="n">
        <v>23454</v>
      </c>
      <c r="AD91" t="n">
        <v>343020</v>
      </c>
    </row>
    <row r="92">
      <c r="A92" s="11" t="n">
        <v>44743</v>
      </c>
      <c r="B92" t="n">
        <v>63081</v>
      </c>
      <c r="F92" t="n">
        <v>69</v>
      </c>
      <c r="G92" t="n">
        <v>30496</v>
      </c>
      <c r="H92" t="n">
        <v>11331</v>
      </c>
      <c r="I92" t="n">
        <v>45521</v>
      </c>
      <c r="R92" t="n">
        <v>11817</v>
      </c>
      <c r="S92" t="n">
        <v>408563</v>
      </c>
      <c r="T92" t="n">
        <v>224657</v>
      </c>
      <c r="U92" t="n">
        <v>165843</v>
      </c>
      <c r="V92" t="n">
        <v>6138</v>
      </c>
      <c r="W92" t="n">
        <v>108</v>
      </c>
      <c r="X92" t="n">
        <v>758904</v>
      </c>
      <c r="Y92" t="n">
        <v>135308</v>
      </c>
      <c r="Z92" t="n">
        <v>894212</v>
      </c>
      <c r="AA92" t="n">
        <v>37266</v>
      </c>
      <c r="AB92" t="n">
        <v>5761</v>
      </c>
      <c r="AC92" t="n">
        <v>43028</v>
      </c>
      <c r="AD92" t="n">
        <v>335775</v>
      </c>
    </row>
    <row r="93">
      <c r="A93" s="11" t="n">
        <v>44774</v>
      </c>
      <c r="B93" t="n">
        <v>63408</v>
      </c>
      <c r="F93" t="n">
        <v>88</v>
      </c>
      <c r="G93" t="n">
        <v>28888</v>
      </c>
      <c r="H93" t="n">
        <v>11368</v>
      </c>
      <c r="I93" t="n">
        <v>46262</v>
      </c>
      <c r="R93" t="n">
        <v>11251</v>
      </c>
      <c r="S93" t="n">
        <v>400647</v>
      </c>
      <c r="T93" t="n">
        <v>219428</v>
      </c>
      <c r="U93" t="n">
        <v>164493</v>
      </c>
      <c r="V93" t="n">
        <v>5367</v>
      </c>
      <c r="W93" t="n">
        <v>108</v>
      </c>
      <c r="X93" t="n">
        <v>775691</v>
      </c>
      <c r="Y93" t="n">
        <v>136186</v>
      </c>
      <c r="Z93" t="n">
        <v>911877</v>
      </c>
      <c r="AA93" t="n">
        <v>53674</v>
      </c>
      <c r="AB93" t="n">
        <v>378</v>
      </c>
      <c r="AC93" t="n">
        <v>54052</v>
      </c>
      <c r="AD93" t="n">
        <v>334806</v>
      </c>
    </row>
    <row r="94">
      <c r="A94" s="11" t="n">
        <v>44805</v>
      </c>
      <c r="B94" t="n">
        <v>59811</v>
      </c>
      <c r="F94" t="n">
        <v>94</v>
      </c>
      <c r="G94" t="n">
        <v>28560</v>
      </c>
      <c r="H94" t="n">
        <v>9275</v>
      </c>
      <c r="I94" t="n">
        <v>44963</v>
      </c>
      <c r="R94" t="n">
        <v>11266</v>
      </c>
      <c r="S94" t="n">
        <v>352641</v>
      </c>
      <c r="T94" t="n">
        <v>180900</v>
      </c>
      <c r="U94" t="n">
        <v>154701</v>
      </c>
      <c r="V94" t="n">
        <v>5669</v>
      </c>
      <c r="W94" t="n">
        <v>105</v>
      </c>
      <c r="X94" t="n">
        <v>769546</v>
      </c>
      <c r="Y94" t="n">
        <v>133836</v>
      </c>
      <c r="Z94" t="n">
        <v>903382</v>
      </c>
      <c r="AA94" t="n">
        <v>78018</v>
      </c>
      <c r="AB94" t="n">
        <v>-43934</v>
      </c>
      <c r="AC94" t="n">
        <v>34084</v>
      </c>
      <c r="AD94" t="n">
        <v>378599</v>
      </c>
    </row>
    <row r="95">
      <c r="A95" s="11" t="n">
        <v>44835</v>
      </c>
      <c r="B95" t="n">
        <v>66786</v>
      </c>
      <c r="F95" t="n">
        <v>174</v>
      </c>
      <c r="G95" t="n">
        <v>29604</v>
      </c>
      <c r="H95" t="n">
        <v>6782</v>
      </c>
      <c r="I95" t="n">
        <v>48575</v>
      </c>
      <c r="R95" t="n">
        <v>13447</v>
      </c>
      <c r="S95" t="n">
        <v>324802</v>
      </c>
      <c r="T95" t="n">
        <v>138746</v>
      </c>
      <c r="U95" t="n">
        <v>163328</v>
      </c>
      <c r="V95" t="n">
        <v>9173</v>
      </c>
      <c r="W95" t="n">
        <v>108</v>
      </c>
      <c r="X95" t="n">
        <v>785289</v>
      </c>
      <c r="Y95" t="n">
        <v>138052</v>
      </c>
      <c r="Z95" t="n">
        <v>923341</v>
      </c>
      <c r="AA95" t="n">
        <v>76479</v>
      </c>
      <c r="AB95" t="n">
        <v>-62435</v>
      </c>
      <c r="AC95" t="n">
        <v>14045</v>
      </c>
      <c r="AD95" t="n">
        <v>440783</v>
      </c>
    </row>
    <row r="96">
      <c r="A96" s="11" t="n">
        <v>44866</v>
      </c>
      <c r="B96" t="n">
        <v>57028</v>
      </c>
      <c r="F96" t="n">
        <v>150</v>
      </c>
      <c r="G96" t="n">
        <v>26280</v>
      </c>
      <c r="H96" t="n">
        <v>7494</v>
      </c>
      <c r="I96" t="n">
        <v>48755</v>
      </c>
      <c r="R96" t="n">
        <v>21018</v>
      </c>
      <c r="S96" t="n">
        <v>340225</v>
      </c>
      <c r="T96" t="n">
        <v>129779</v>
      </c>
      <c r="U96" t="n">
        <v>163832</v>
      </c>
      <c r="V96" t="n">
        <v>25492</v>
      </c>
      <c r="W96" t="n">
        <v>105</v>
      </c>
      <c r="X96" t="n">
        <v>761293</v>
      </c>
      <c r="Y96" t="n">
        <v>133766</v>
      </c>
      <c r="Z96" t="n">
        <v>895059</v>
      </c>
      <c r="AA96" t="n">
        <v>46637</v>
      </c>
      <c r="AB96" t="n">
        <v>-4110</v>
      </c>
      <c r="AC96" t="n">
        <v>42528</v>
      </c>
      <c r="AD96" t="n">
        <v>445661</v>
      </c>
    </row>
    <row r="97">
      <c r="A97" s="11" t="n">
        <v>44896</v>
      </c>
      <c r="B97" t="n">
        <v>64119</v>
      </c>
      <c r="C97" t="n">
        <v>1</v>
      </c>
      <c r="F97" t="n">
        <v>160</v>
      </c>
      <c r="G97" t="n">
        <v>21409</v>
      </c>
      <c r="H97" t="n">
        <v>9474</v>
      </c>
      <c r="I97" t="n">
        <v>47346</v>
      </c>
      <c r="R97" t="n">
        <v>22955</v>
      </c>
      <c r="S97" t="n">
        <v>364669</v>
      </c>
      <c r="T97" t="n">
        <v>143387</v>
      </c>
      <c r="U97" t="n">
        <v>162006</v>
      </c>
      <c r="V97" t="n">
        <v>36212</v>
      </c>
      <c r="W97" t="n">
        <v>108</v>
      </c>
      <c r="X97" t="n">
        <v>792060</v>
      </c>
      <c r="Y97" t="n">
        <v>136240</v>
      </c>
      <c r="Z97" t="n">
        <v>928299</v>
      </c>
      <c r="AA97" t="n">
        <v>43273</v>
      </c>
      <c r="AB97" t="n">
        <v>27534</v>
      </c>
      <c r="AC97" t="n">
        <v>70807</v>
      </c>
      <c r="AD97" t="n">
        <v>417487</v>
      </c>
    </row>
    <row r="98">
      <c r="A98" s="11" t="n">
        <v>44927</v>
      </c>
      <c r="B98" t="n">
        <v>62568</v>
      </c>
      <c r="F98" t="n">
        <v>133</v>
      </c>
      <c r="G98" t="n">
        <v>28947</v>
      </c>
      <c r="H98" t="n">
        <v>7978</v>
      </c>
      <c r="I98" t="n">
        <v>47015</v>
      </c>
      <c r="J98" t="n">
        <v>863422</v>
      </c>
      <c r="K98" t="n">
        <v>0</v>
      </c>
      <c r="L98" t="n">
        <v>595805</v>
      </c>
      <c r="M98" t="n">
        <v>267617</v>
      </c>
      <c r="N98" t="n">
        <v>0</v>
      </c>
      <c r="O98" t="n">
        <v>554483</v>
      </c>
      <c r="P98" t="n">
        <v>378958</v>
      </c>
      <c r="Q98" t="n">
        <v>175525</v>
      </c>
      <c r="R98" t="n">
        <v>23581</v>
      </c>
      <c r="S98" t="n">
        <v>360208</v>
      </c>
      <c r="T98" t="n">
        <v>128086</v>
      </c>
      <c r="U98" t="n">
        <v>170991</v>
      </c>
      <c r="V98" t="n">
        <v>37472</v>
      </c>
      <c r="W98" t="n">
        <v>79</v>
      </c>
      <c r="X98" t="n">
        <v>780633</v>
      </c>
      <c r="Y98" t="n">
        <v>149251</v>
      </c>
      <c r="Z98" t="n">
        <v>929884</v>
      </c>
      <c r="AA98" t="n">
        <v>36889</v>
      </c>
      <c r="AB98" t="n">
        <v>23014</v>
      </c>
      <c r="AC98" t="n">
        <v>59903</v>
      </c>
      <c r="AD98" t="n">
        <v>394359</v>
      </c>
    </row>
    <row r="99">
      <c r="A99" s="11" t="n">
        <v>44958</v>
      </c>
      <c r="B99" t="n">
        <v>64114</v>
      </c>
      <c r="C99" t="n">
        <v>1</v>
      </c>
      <c r="D99" t="n">
        <v>11556</v>
      </c>
      <c r="F99" t="n">
        <v>105</v>
      </c>
      <c r="G99" t="n">
        <v>24217</v>
      </c>
      <c r="H99" t="n">
        <v>10011</v>
      </c>
      <c r="I99" t="n">
        <v>41584</v>
      </c>
      <c r="R99" t="n">
        <v>22417</v>
      </c>
      <c r="S99" t="n">
        <v>331215</v>
      </c>
      <c r="T99" t="n">
        <v>118982</v>
      </c>
      <c r="U99" t="n">
        <v>154729</v>
      </c>
      <c r="V99" t="n">
        <v>35016</v>
      </c>
      <c r="W99" t="n">
        <v>71</v>
      </c>
      <c r="X99" t="n">
        <v>706358</v>
      </c>
      <c r="Y99" t="n">
        <v>134275</v>
      </c>
      <c r="Z99" t="n">
        <v>840633</v>
      </c>
      <c r="AA99" t="n">
        <v>36927</v>
      </c>
      <c r="AB99" t="n">
        <v>16095</v>
      </c>
      <c r="AC99" t="n">
        <v>53022</v>
      </c>
      <c r="AD99" t="n">
        <v>378107</v>
      </c>
    </row>
    <row r="100">
      <c r="A100" s="11" t="n">
        <v>44986</v>
      </c>
      <c r="B100" t="n">
        <v>67142</v>
      </c>
      <c r="D100" t="n">
        <v>28981</v>
      </c>
      <c r="F100" t="n">
        <v>96</v>
      </c>
      <c r="G100" t="n">
        <v>27594</v>
      </c>
      <c r="H100" t="n">
        <v>10997</v>
      </c>
      <c r="I100" t="n">
        <v>49947</v>
      </c>
      <c r="R100" t="n">
        <v>19072</v>
      </c>
      <c r="S100" t="n">
        <v>328859</v>
      </c>
      <c r="T100" t="n">
        <v>120711</v>
      </c>
      <c r="U100" t="n">
        <v>167467</v>
      </c>
      <c r="V100" t="n">
        <v>21530</v>
      </c>
      <c r="W100" t="n">
        <v>79</v>
      </c>
      <c r="X100" t="n">
        <v>827526</v>
      </c>
      <c r="Y100" t="n">
        <v>150793</v>
      </c>
      <c r="Z100" t="n">
        <v>978319</v>
      </c>
      <c r="AA100" t="n">
        <v>47731</v>
      </c>
      <c r="AB100" t="n">
        <v>-16136</v>
      </c>
      <c r="AC100" t="n">
        <v>31594</v>
      </c>
      <c r="AD100" t="n">
        <v>394207</v>
      </c>
    </row>
    <row r="101">
      <c r="A101" s="11" t="n">
        <v>45017</v>
      </c>
      <c r="B101" t="n">
        <v>55551</v>
      </c>
      <c r="D101" t="n">
        <v>62518</v>
      </c>
      <c r="F101" t="n">
        <v>58</v>
      </c>
      <c r="G101" t="n">
        <v>29643</v>
      </c>
      <c r="H101" t="n">
        <v>7675</v>
      </c>
      <c r="I101" t="n">
        <v>45265</v>
      </c>
      <c r="R101" t="n">
        <v>13391</v>
      </c>
      <c r="S101" t="n">
        <v>309482</v>
      </c>
      <c r="T101" t="n">
        <v>119862</v>
      </c>
      <c r="U101" t="n">
        <v>164114</v>
      </c>
      <c r="V101" t="n">
        <v>12040</v>
      </c>
      <c r="W101" t="n">
        <v>76</v>
      </c>
      <c r="X101" t="n">
        <v>782783</v>
      </c>
      <c r="Y101" t="n">
        <v>144719</v>
      </c>
      <c r="Z101" t="n">
        <v>927502</v>
      </c>
      <c r="AA101" t="n">
        <v>43249</v>
      </c>
      <c r="AB101" t="n">
        <v>-22389</v>
      </c>
      <c r="AC101" t="n">
        <v>20860</v>
      </c>
      <c r="AD101" t="n">
        <v>416400</v>
      </c>
    </row>
    <row r="102">
      <c r="A102" s="11" t="n">
        <v>45047</v>
      </c>
      <c r="B102" t="n">
        <v>57740</v>
      </c>
      <c r="D102" t="n">
        <v>68406</v>
      </c>
      <c r="F102" t="n">
        <v>26</v>
      </c>
      <c r="G102" t="n">
        <v>31307</v>
      </c>
      <c r="H102" t="n">
        <v>10225</v>
      </c>
      <c r="I102" t="n">
        <v>49607</v>
      </c>
      <c r="R102" t="n">
        <v>12786</v>
      </c>
      <c r="S102" t="n">
        <v>358343</v>
      </c>
      <c r="T102" t="n">
        <v>173024</v>
      </c>
      <c r="U102" t="n">
        <v>165180</v>
      </c>
      <c r="V102" t="n">
        <v>7275</v>
      </c>
      <c r="W102" t="n">
        <v>79</v>
      </c>
      <c r="X102" t="n">
        <v>815362</v>
      </c>
      <c r="Y102" t="n">
        <v>150789</v>
      </c>
      <c r="Z102" t="n">
        <v>966151</v>
      </c>
      <c r="AA102" t="n">
        <v>56334</v>
      </c>
      <c r="AB102" t="n">
        <v>-34464</v>
      </c>
      <c r="AC102" t="n">
        <v>21870</v>
      </c>
      <c r="AD102" t="n">
        <v>450940</v>
      </c>
    </row>
    <row r="103">
      <c r="A103" s="11" t="n">
        <v>45078</v>
      </c>
      <c r="B103" t="n">
        <v>62450</v>
      </c>
      <c r="D103" t="n">
        <v>63287</v>
      </c>
      <c r="F103" t="n">
        <v>34</v>
      </c>
      <c r="G103" t="n">
        <v>37478</v>
      </c>
      <c r="H103" t="n">
        <v>12397</v>
      </c>
      <c r="I103" t="n">
        <v>51165</v>
      </c>
      <c r="R103" t="n">
        <v>12220</v>
      </c>
      <c r="S103" t="n">
        <v>389806</v>
      </c>
      <c r="T103" t="n">
        <v>210449</v>
      </c>
      <c r="U103" t="n">
        <v>160290</v>
      </c>
      <c r="V103" t="n">
        <v>6770</v>
      </c>
      <c r="W103" t="n">
        <v>76</v>
      </c>
      <c r="X103" t="n">
        <v>779652</v>
      </c>
      <c r="Y103" t="n">
        <v>144227</v>
      </c>
      <c r="Z103" t="n">
        <v>923879</v>
      </c>
      <c r="AA103" t="n">
        <v>41183</v>
      </c>
      <c r="AB103" t="n">
        <v>-10724</v>
      </c>
      <c r="AC103" t="n">
        <v>30459</v>
      </c>
      <c r="AD103" t="n">
        <v>461639</v>
      </c>
    </row>
    <row r="104">
      <c r="A104" s="11" t="n">
        <v>45108</v>
      </c>
      <c r="B104" t="n">
        <v>58639</v>
      </c>
      <c r="D104" t="n">
        <v>59522</v>
      </c>
      <c r="F104" t="n">
        <v>25</v>
      </c>
      <c r="G104" t="n">
        <v>33820</v>
      </c>
      <c r="H104" t="n">
        <v>12072</v>
      </c>
      <c r="I104" t="n">
        <v>50924</v>
      </c>
      <c r="R104" t="n">
        <v>12615</v>
      </c>
      <c r="S104" t="n">
        <v>419665</v>
      </c>
      <c r="T104" t="n">
        <v>234904</v>
      </c>
      <c r="U104" t="n">
        <v>165604</v>
      </c>
      <c r="V104" t="n">
        <v>6464</v>
      </c>
      <c r="W104" t="n">
        <v>79</v>
      </c>
      <c r="X104" t="n">
        <v>813522</v>
      </c>
      <c r="Y104" t="n">
        <v>150171</v>
      </c>
      <c r="Z104" t="n">
        <v>963693</v>
      </c>
      <c r="AA104" t="n">
        <v>28596</v>
      </c>
      <c r="AB104" t="n">
        <v>17484</v>
      </c>
      <c r="AC104" t="n">
        <v>46080</v>
      </c>
      <c r="AD104" t="n">
        <v>444124</v>
      </c>
    </row>
    <row r="105">
      <c r="A105" s="11" t="n">
        <v>45139</v>
      </c>
      <c r="B105" t="n">
        <v>62434</v>
      </c>
      <c r="D105" t="n">
        <v>61436</v>
      </c>
      <c r="F105" t="n">
        <v>19</v>
      </c>
      <c r="G105" t="n">
        <v>34490</v>
      </c>
      <c r="H105" t="n">
        <v>12884</v>
      </c>
      <c r="I105" t="n">
        <v>50996</v>
      </c>
      <c r="R105" t="n">
        <v>11863</v>
      </c>
      <c r="S105" t="n">
        <v>454990</v>
      </c>
      <c r="T105" t="n">
        <v>268351</v>
      </c>
      <c r="U105" t="n">
        <v>168875</v>
      </c>
      <c r="V105" t="n">
        <v>5822</v>
      </c>
      <c r="W105" t="n">
        <v>79</v>
      </c>
      <c r="X105" t="n">
        <v>824402</v>
      </c>
      <c r="Y105" t="n">
        <v>151084</v>
      </c>
      <c r="Z105" t="n">
        <v>975487</v>
      </c>
      <c r="AA105" t="n">
        <v>60702</v>
      </c>
      <c r="AB105" t="n">
        <v>43831</v>
      </c>
      <c r="AC105" t="n">
        <v>104533</v>
      </c>
      <c r="AD105" t="n">
        <v>401143</v>
      </c>
    </row>
    <row r="106">
      <c r="A106" s="11" t="n">
        <v>45170</v>
      </c>
      <c r="B106" t="n">
        <v>59359</v>
      </c>
      <c r="D106" t="n">
        <v>54021</v>
      </c>
      <c r="F106" t="n">
        <v>35</v>
      </c>
      <c r="G106" t="n">
        <v>31747</v>
      </c>
      <c r="H106" t="n">
        <v>12891</v>
      </c>
      <c r="I106" t="n">
        <v>49104</v>
      </c>
      <c r="R106" t="n">
        <v>11295</v>
      </c>
      <c r="S106" t="n">
        <v>394687</v>
      </c>
      <c r="T106" t="n">
        <v>214662</v>
      </c>
      <c r="U106" t="n">
        <v>163362</v>
      </c>
      <c r="V106" t="n">
        <v>5292</v>
      </c>
      <c r="W106" t="n">
        <v>76</v>
      </c>
      <c r="X106" t="n">
        <v>808476</v>
      </c>
      <c r="Y106" t="n">
        <v>146507</v>
      </c>
      <c r="Z106" t="n">
        <v>954983</v>
      </c>
      <c r="AA106" t="n">
        <v>90707</v>
      </c>
      <c r="AB106" t="n">
        <v>-7081</v>
      </c>
      <c r="AC106" t="n">
        <v>83625</v>
      </c>
      <c r="AD106" t="n">
        <v>408178</v>
      </c>
    </row>
    <row r="107">
      <c r="A107" s="11" t="n">
        <v>45200</v>
      </c>
      <c r="B107" t="n">
        <v>63385</v>
      </c>
      <c r="D107" t="n">
        <v>63952</v>
      </c>
      <c r="F107" t="n">
        <v>27</v>
      </c>
      <c r="G107" t="n">
        <v>33563</v>
      </c>
      <c r="H107" t="n">
        <v>12421</v>
      </c>
      <c r="I107" t="n">
        <v>48702</v>
      </c>
      <c r="R107" t="n">
        <v>14455</v>
      </c>
      <c r="S107" t="n">
        <v>345810</v>
      </c>
      <c r="T107" t="n">
        <v>152893</v>
      </c>
      <c r="U107" t="n">
        <v>168480</v>
      </c>
      <c r="V107" t="n">
        <v>9903</v>
      </c>
      <c r="W107" t="n">
        <v>79</v>
      </c>
      <c r="X107" t="n">
        <v>835919</v>
      </c>
      <c r="Y107" t="n">
        <v>151547</v>
      </c>
      <c r="Z107" t="n">
        <v>987466</v>
      </c>
      <c r="AA107" t="n">
        <v>80555</v>
      </c>
      <c r="AB107" t="n">
        <v>-47981</v>
      </c>
      <c r="AC107" t="n">
        <v>32574</v>
      </c>
      <c r="AD107" t="n">
        <v>453602</v>
      </c>
    </row>
    <row r="108">
      <c r="A108" s="11" t="n">
        <v>45231</v>
      </c>
      <c r="B108" t="n">
        <v>64453</v>
      </c>
      <c r="D108" t="n">
        <v>60101</v>
      </c>
      <c r="F108" t="n">
        <v>26</v>
      </c>
      <c r="G108" t="n">
        <v>27826</v>
      </c>
      <c r="H108" t="n">
        <v>11364</v>
      </c>
      <c r="I108" t="n">
        <v>48073</v>
      </c>
      <c r="R108" t="n">
        <v>18489</v>
      </c>
      <c r="S108" t="n">
        <v>349943</v>
      </c>
      <c r="T108" t="n">
        <v>139010</v>
      </c>
      <c r="U108" t="n">
        <v>171383</v>
      </c>
      <c r="V108" t="n">
        <v>20985</v>
      </c>
      <c r="W108" t="n">
        <v>76</v>
      </c>
      <c r="X108" t="n">
        <v>815004</v>
      </c>
      <c r="Y108" t="n">
        <v>148898</v>
      </c>
      <c r="Z108" t="n">
        <v>963902</v>
      </c>
      <c r="AA108" t="n">
        <v>52426</v>
      </c>
      <c r="AB108" t="n">
        <v>-11057</v>
      </c>
      <c r="AC108" t="n">
        <v>41369</v>
      </c>
      <c r="AD108" t="n">
        <v>464640</v>
      </c>
    </row>
    <row r="109">
      <c r="A109" s="11" t="n">
        <v>45261</v>
      </c>
      <c r="B109" t="n">
        <v>64189</v>
      </c>
      <c r="D109" t="n">
        <v>71224</v>
      </c>
      <c r="F109" t="n">
        <v>20</v>
      </c>
      <c r="G109" t="n">
        <v>25032</v>
      </c>
      <c r="H109" t="n">
        <v>10632</v>
      </c>
      <c r="I109" t="n">
        <v>49095</v>
      </c>
      <c r="R109" t="n">
        <v>22238</v>
      </c>
      <c r="S109" t="n">
        <v>371356</v>
      </c>
      <c r="T109" t="n">
        <v>137051</v>
      </c>
      <c r="U109" t="n">
        <v>180344</v>
      </c>
      <c r="V109" t="n">
        <v>31644</v>
      </c>
      <c r="W109" t="n">
        <v>79</v>
      </c>
      <c r="X109" t="n">
        <v>838417</v>
      </c>
      <c r="Y109" t="n">
        <v>154071</v>
      </c>
      <c r="Z109" t="n">
        <v>992487</v>
      </c>
      <c r="AA109" t="n">
        <v>41766</v>
      </c>
      <c r="AB109" t="n">
        <v>2763</v>
      </c>
      <c r="AC109" t="n">
        <v>44530</v>
      </c>
      <c r="AD109" t="n">
        <v>461605</v>
      </c>
    </row>
    <row r="110">
      <c r="A110" s="11" t="n">
        <v>45292</v>
      </c>
      <c r="B110" t="n">
        <v>61078</v>
      </c>
      <c r="D110" t="n">
        <v>52766</v>
      </c>
      <c r="F110" t="n">
        <v>21</v>
      </c>
      <c r="G110" t="n">
        <v>31074</v>
      </c>
      <c r="H110" t="n">
        <v>8857</v>
      </c>
      <c r="I110" t="n">
        <v>54473</v>
      </c>
      <c r="J110" t="n">
        <v>878267</v>
      </c>
      <c r="K110" t="n">
        <v>0</v>
      </c>
      <c r="L110" t="n">
        <v>610783</v>
      </c>
      <c r="M110" t="n">
        <v>267484</v>
      </c>
      <c r="N110" t="n">
        <v>0</v>
      </c>
      <c r="O110" t="n">
        <v>563188</v>
      </c>
      <c r="P110" t="n">
        <v>388442</v>
      </c>
      <c r="Q110" t="n">
        <v>174746</v>
      </c>
      <c r="R110" t="n">
        <v>28302</v>
      </c>
      <c r="S110" t="n">
        <v>432077</v>
      </c>
      <c r="T110" t="n">
        <v>172404</v>
      </c>
      <c r="U110" t="n">
        <v>177875</v>
      </c>
      <c r="V110" t="n">
        <v>53267</v>
      </c>
      <c r="W110" t="n">
        <v>230</v>
      </c>
      <c r="X110" t="n">
        <v>778937</v>
      </c>
      <c r="Y110" t="n">
        <v>164364</v>
      </c>
      <c r="Z110" t="n">
        <v>943301</v>
      </c>
      <c r="AA110" t="n">
        <v>28450</v>
      </c>
      <c r="AB110" t="n">
        <v>94137</v>
      </c>
      <c r="AC110" t="n">
        <v>122587</v>
      </c>
      <c r="AD110" t="n">
        <v>367458</v>
      </c>
    </row>
    <row r="111">
      <c r="A111" s="11" t="n">
        <v>45323</v>
      </c>
      <c r="B111" t="n">
        <v>55752</v>
      </c>
      <c r="D111" t="n">
        <v>41476</v>
      </c>
      <c r="F111" t="n">
        <v>14</v>
      </c>
      <c r="G111" t="n">
        <v>27479</v>
      </c>
      <c r="H111" t="n">
        <v>9130</v>
      </c>
      <c r="I111" t="n">
        <v>46944</v>
      </c>
      <c r="R111" t="n">
        <v>22172</v>
      </c>
      <c r="S111" t="n">
        <v>331012</v>
      </c>
      <c r="T111" t="n">
        <v>116234</v>
      </c>
      <c r="U111" t="n">
        <v>160561</v>
      </c>
      <c r="V111" t="n">
        <v>31830</v>
      </c>
      <c r="W111" t="n">
        <v>215</v>
      </c>
      <c r="X111" t="n">
        <v>767678</v>
      </c>
      <c r="Y111" t="n">
        <v>157996</v>
      </c>
      <c r="Z111" t="n">
        <v>925674</v>
      </c>
      <c r="AA111" t="n">
        <v>58231</v>
      </c>
      <c r="AB111" t="n">
        <v>-11799</v>
      </c>
      <c r="AC111" t="n">
        <v>46432</v>
      </c>
      <c r="AD111" t="n">
        <v>379941</v>
      </c>
    </row>
    <row r="112">
      <c r="A112" s="11" t="n">
        <v>45352</v>
      </c>
      <c r="B112" t="n">
        <v>61274</v>
      </c>
      <c r="D112" t="n">
        <v>26250</v>
      </c>
      <c r="F112" t="n">
        <v>12</v>
      </c>
      <c r="G112" t="n">
        <v>35191</v>
      </c>
      <c r="H112" t="n">
        <v>9487</v>
      </c>
      <c r="I112" t="n">
        <v>47285</v>
      </c>
      <c r="R112" t="n">
        <v>17765</v>
      </c>
      <c r="S112" t="n">
        <v>347611</v>
      </c>
      <c r="T112" t="n">
        <v>138750</v>
      </c>
      <c r="U112" t="n">
        <v>172360</v>
      </c>
      <c r="V112" t="n">
        <v>18506</v>
      </c>
      <c r="W112" t="n">
        <v>230</v>
      </c>
      <c r="X112" t="n">
        <v>828067</v>
      </c>
      <c r="Y112" t="n">
        <v>165244</v>
      </c>
      <c r="Z112" t="n">
        <v>993311</v>
      </c>
      <c r="AA112" t="n">
        <v>71782</v>
      </c>
      <c r="AB112" t="n">
        <v>-36747</v>
      </c>
      <c r="AC112" t="n">
        <v>35035</v>
      </c>
      <c r="AD112" t="n">
        <v>419212</v>
      </c>
    </row>
    <row r="113">
      <c r="A113" s="11" t="n">
        <v>45383</v>
      </c>
      <c r="B113" t="n">
        <v>50129</v>
      </c>
      <c r="D113" t="n">
        <v>10736</v>
      </c>
      <c r="F113" t="n">
        <v>14</v>
      </c>
      <c r="G113" t="n">
        <v>34359</v>
      </c>
      <c r="H113" t="n">
        <v>11693</v>
      </c>
      <c r="I113" t="n">
        <v>49582</v>
      </c>
      <c r="R113" t="n">
        <v>13244</v>
      </c>
      <c r="S113" t="n">
        <v>322398</v>
      </c>
      <c r="T113" t="n">
        <v>135226</v>
      </c>
      <c r="U113" t="n">
        <v>163650</v>
      </c>
      <c r="V113" t="n">
        <v>10056</v>
      </c>
      <c r="W113" t="n">
        <v>222</v>
      </c>
      <c r="X113" t="n">
        <v>800629</v>
      </c>
      <c r="Y113" t="n">
        <v>158418</v>
      </c>
      <c r="Z113" t="n">
        <v>959047</v>
      </c>
      <c r="AA113" t="n">
        <v>69159</v>
      </c>
      <c r="AB113" t="n">
        <v>-29356</v>
      </c>
      <c r="AC113" t="n">
        <v>39803</v>
      </c>
      <c r="AD113" t="n">
        <v>448511</v>
      </c>
    </row>
    <row r="114">
      <c r="A114" s="11" t="n">
        <v>45413</v>
      </c>
      <c r="B114" t="n">
        <v>61508</v>
      </c>
      <c r="D114" t="n">
        <v>55238</v>
      </c>
      <c r="F114" t="n">
        <v>13</v>
      </c>
      <c r="G114" t="n">
        <v>37670</v>
      </c>
      <c r="H114" t="n">
        <v>12162</v>
      </c>
      <c r="I114" t="n">
        <v>51156</v>
      </c>
      <c r="R114" t="n">
        <v>12999</v>
      </c>
      <c r="S114" t="n">
        <v>369316</v>
      </c>
      <c r="T114" t="n">
        <v>186312</v>
      </c>
      <c r="U114" t="n">
        <v>162197</v>
      </c>
      <c r="V114" t="n">
        <v>7578</v>
      </c>
      <c r="W114" t="n">
        <v>230</v>
      </c>
      <c r="X114" t="n">
        <v>854723</v>
      </c>
      <c r="Y114" t="n">
        <v>163951</v>
      </c>
      <c r="Z114" t="n">
        <v>1018674</v>
      </c>
      <c r="AA114" t="n">
        <v>59063</v>
      </c>
      <c r="AB114" t="n">
        <v>-20524</v>
      </c>
      <c r="AC114" t="n">
        <v>38540</v>
      </c>
      <c r="AD114" t="n">
        <v>469057</v>
      </c>
    </row>
    <row r="115">
      <c r="A115" s="11" t="n">
        <v>45444</v>
      </c>
      <c r="B115" t="n">
        <v>64581</v>
      </c>
      <c r="D115" t="n">
        <v>64944</v>
      </c>
      <c r="F115" t="n">
        <v>14</v>
      </c>
      <c r="G115" t="n">
        <v>34537</v>
      </c>
      <c r="H115" t="n">
        <v>11394</v>
      </c>
      <c r="I115" t="n">
        <v>47583</v>
      </c>
      <c r="R115" t="n">
        <v>12366</v>
      </c>
      <c r="S115" t="n">
        <v>391504</v>
      </c>
      <c r="T115" t="n">
        <v>209302</v>
      </c>
      <c r="U115" t="n">
        <v>162379</v>
      </c>
      <c r="V115" t="n">
        <v>7235</v>
      </c>
      <c r="W115" t="n">
        <v>222</v>
      </c>
      <c r="X115" t="n">
        <v>833739</v>
      </c>
      <c r="Y115" t="n">
        <v>160569</v>
      </c>
      <c r="Z115" t="n">
        <v>994307</v>
      </c>
      <c r="AA115" t="n">
        <v>46511</v>
      </c>
      <c r="AB115" t="n">
        <v>-6605</v>
      </c>
      <c r="AC115" t="n">
        <v>39906</v>
      </c>
      <c r="AD115" t="n">
        <v>475850</v>
      </c>
    </row>
    <row r="116">
      <c r="A116" s="11" t="n">
        <v>45474</v>
      </c>
      <c r="B116" t="n">
        <v>57384</v>
      </c>
      <c r="D116" t="n">
        <v>24767</v>
      </c>
      <c r="F116" t="n">
        <v>12</v>
      </c>
      <c r="G116" t="n">
        <v>33299</v>
      </c>
      <c r="H116" t="n">
        <v>12105</v>
      </c>
      <c r="I116" t="n">
        <v>52156</v>
      </c>
      <c r="R116" t="n">
        <v>12639</v>
      </c>
      <c r="S116" t="n">
        <v>416234</v>
      </c>
      <c r="T116" t="n">
        <v>225101</v>
      </c>
      <c r="U116" t="n">
        <v>170864</v>
      </c>
      <c r="V116" t="n">
        <v>7400</v>
      </c>
      <c r="W116" t="n">
        <v>230</v>
      </c>
      <c r="X116" t="n">
        <v>859601</v>
      </c>
      <c r="Y116" t="n">
        <v>168028</v>
      </c>
      <c r="Z116" t="n">
        <v>1027629</v>
      </c>
      <c r="AA116" t="n">
        <v>35213</v>
      </c>
      <c r="AB116" t="n">
        <v>16581</v>
      </c>
      <c r="AC116" t="n">
        <v>51794</v>
      </c>
      <c r="AD116" t="n">
        <v>459361</v>
      </c>
    </row>
    <row r="117">
      <c r="A117" s="11" t="n">
        <v>45505</v>
      </c>
      <c r="B117" t="n">
        <v>63539</v>
      </c>
      <c r="D117" t="n">
        <v>62901</v>
      </c>
      <c r="F117" t="n">
        <v>8</v>
      </c>
      <c r="G117" t="n">
        <v>32698</v>
      </c>
      <c r="H117" t="n">
        <v>12221</v>
      </c>
      <c r="I117" t="n">
        <v>54081</v>
      </c>
      <c r="R117" t="n">
        <v>12151</v>
      </c>
      <c r="S117" t="n">
        <v>452832</v>
      </c>
      <c r="T117" t="n">
        <v>259113</v>
      </c>
      <c r="U117" t="n">
        <v>174770</v>
      </c>
      <c r="V117" t="n">
        <v>6568</v>
      </c>
      <c r="W117" t="n">
        <v>230</v>
      </c>
      <c r="X117" t="n">
        <v>865514</v>
      </c>
      <c r="Y117" t="n">
        <v>166464</v>
      </c>
      <c r="Z117" t="n">
        <v>1031978</v>
      </c>
      <c r="AA117" t="n">
        <v>58135</v>
      </c>
      <c r="AB117" t="n">
        <v>49582</v>
      </c>
      <c r="AC117" t="n">
        <v>107717</v>
      </c>
      <c r="AD117" t="n">
        <v>408159</v>
      </c>
    </row>
    <row r="118">
      <c r="A118" s="11" t="n">
        <v>45536</v>
      </c>
      <c r="B118" t="n">
        <v>64644</v>
      </c>
      <c r="D118" t="n">
        <v>62978</v>
      </c>
      <c r="F118" t="n">
        <v>4</v>
      </c>
      <c r="G118" t="n">
        <v>30931</v>
      </c>
      <c r="H118" t="n">
        <v>10828</v>
      </c>
      <c r="I118" t="n">
        <v>50977</v>
      </c>
      <c r="R118" t="n">
        <v>12428</v>
      </c>
      <c r="S118" t="n">
        <v>391829</v>
      </c>
      <c r="T118" t="n">
        <v>206936</v>
      </c>
      <c r="U118" t="n">
        <v>165948</v>
      </c>
      <c r="V118" t="n">
        <v>6295</v>
      </c>
      <c r="W118" t="n">
        <v>222</v>
      </c>
      <c r="X118" t="n">
        <v>847935</v>
      </c>
      <c r="Y118" t="n">
        <v>159965</v>
      </c>
      <c r="Z118" t="n">
        <v>1007901</v>
      </c>
      <c r="AA118" t="n">
        <v>75699</v>
      </c>
      <c r="AB118" t="n">
        <v>-8879</v>
      </c>
      <c r="AC118" t="n">
        <v>66821</v>
      </c>
      <c r="AD118" t="n">
        <v>415999</v>
      </c>
    </row>
    <row r="119">
      <c r="A119" s="11" t="n">
        <v>45566</v>
      </c>
      <c r="B119" t="n">
        <v>66780</v>
      </c>
      <c r="D119" t="n">
        <v>69031</v>
      </c>
      <c r="G119" t="n">
        <v>28261</v>
      </c>
      <c r="H119" t="n">
        <v>10841</v>
      </c>
      <c r="I119" t="n">
        <v>49849</v>
      </c>
      <c r="R119" t="n">
        <v>13310</v>
      </c>
      <c r="S119" t="n">
        <v>369138</v>
      </c>
      <c r="T119" t="n">
        <v>183680</v>
      </c>
      <c r="U119" t="n">
        <v>164415</v>
      </c>
      <c r="V119" t="n">
        <v>7503</v>
      </c>
      <c r="W119" t="n">
        <v>230</v>
      </c>
      <c r="X119" t="n">
        <v>885329</v>
      </c>
      <c r="Y119" t="n">
        <v>167601</v>
      </c>
      <c r="Z119" t="n">
        <v>1052929</v>
      </c>
      <c r="AA119" t="n">
        <v>86333</v>
      </c>
      <c r="AB119" t="n">
        <v>-55662</v>
      </c>
      <c r="AC119" t="n">
        <v>30670</v>
      </c>
      <c r="AD119" t="n">
        <v>471529</v>
      </c>
    </row>
    <row r="120">
      <c r="A120" s="11" t="n">
        <v>45597</v>
      </c>
      <c r="B120" t="n">
        <v>65495</v>
      </c>
      <c r="D120" t="n">
        <v>55615</v>
      </c>
      <c r="F120" t="n">
        <v>1</v>
      </c>
      <c r="G120" t="n">
        <v>26932</v>
      </c>
      <c r="H120" t="n">
        <v>9820</v>
      </c>
      <c r="I120" t="n">
        <v>45532</v>
      </c>
      <c r="R120" t="n">
        <v>15012</v>
      </c>
      <c r="S120" t="n">
        <v>343466</v>
      </c>
      <c r="T120" t="n">
        <v>144190</v>
      </c>
      <c r="U120" t="n">
        <v>171056</v>
      </c>
      <c r="V120" t="n">
        <v>12986</v>
      </c>
      <c r="W120" t="n">
        <v>222</v>
      </c>
      <c r="X120" t="n">
        <v>848561</v>
      </c>
      <c r="Y120" t="n">
        <v>162220</v>
      </c>
      <c r="Z120" t="n">
        <v>1010781</v>
      </c>
      <c r="AA120" t="n">
        <v>54503</v>
      </c>
      <c r="AB120" t="n">
        <v>-16798</v>
      </c>
      <c r="AC120" t="n">
        <v>37705</v>
      </c>
      <c r="AD120" t="n">
        <v>487899</v>
      </c>
    </row>
    <row r="121">
      <c r="A121" s="11" t="n">
        <v>45627</v>
      </c>
      <c r="B121" t="n">
        <v>67263</v>
      </c>
      <c r="D121" t="n">
        <v>68102</v>
      </c>
      <c r="G121" t="n">
        <v>26074</v>
      </c>
      <c r="H121" t="n">
        <v>9971</v>
      </c>
      <c r="I121" t="n">
        <v>47582</v>
      </c>
      <c r="R121" t="n">
        <v>21126</v>
      </c>
      <c r="S121" t="n">
        <v>380820</v>
      </c>
      <c r="T121" t="n">
        <v>144256</v>
      </c>
      <c r="U121" t="n">
        <v>187348</v>
      </c>
      <c r="V121" t="n">
        <v>27861</v>
      </c>
      <c r="W121" t="n">
        <v>230</v>
      </c>
      <c r="X121" t="n">
        <v>883483</v>
      </c>
      <c r="Y121" t="n">
        <v>170689</v>
      </c>
      <c r="Z121" t="n">
        <v>1054173</v>
      </c>
      <c r="AA121" t="n">
        <v>44920</v>
      </c>
      <c r="AB121" t="n">
        <v>13176</v>
      </c>
      <c r="AC121" t="n">
        <v>58096</v>
      </c>
      <c r="AD121" t="n">
        <v>473928</v>
      </c>
    </row>
    <row r="122">
      <c r="A122" s="11" t="n">
        <v>45658</v>
      </c>
      <c r="B122" t="n">
        <v>62139</v>
      </c>
      <c r="D122" t="n">
        <v>56010</v>
      </c>
      <c r="G122" t="n">
        <v>33947</v>
      </c>
      <c r="H122" t="n">
        <v>10782</v>
      </c>
      <c r="I122" t="n">
        <v>52288</v>
      </c>
      <c r="R122" t="n">
        <v>34143</v>
      </c>
      <c r="S122" t="n">
        <v>459813</v>
      </c>
      <c r="T122" t="n">
        <v>181939</v>
      </c>
      <c r="U122" t="n">
        <v>181218</v>
      </c>
      <c r="V122" t="n">
        <v>62321</v>
      </c>
      <c r="W122" t="n">
        <v>192</v>
      </c>
      <c r="Z122" t="n">
        <v>1046911</v>
      </c>
      <c r="AA122" t="n">
        <v>32026</v>
      </c>
      <c r="AB122" t="n">
        <v>113055</v>
      </c>
      <c r="AC122" t="n">
        <v>145081</v>
      </c>
      <c r="AD122" t="n">
        <v>358838</v>
      </c>
    </row>
    <row r="123">
      <c r="A123" s="11" t="n">
        <v>45689</v>
      </c>
      <c r="B123" t="n">
        <v>66327</v>
      </c>
      <c r="D123" t="n">
        <v>61750</v>
      </c>
      <c r="G123" t="n">
        <v>30011</v>
      </c>
      <c r="H123" t="n">
        <v>7587</v>
      </c>
      <c r="I123" t="n">
        <v>47462</v>
      </c>
      <c r="R123" t="n">
        <v>26917</v>
      </c>
      <c r="S123" t="n">
        <v>379931</v>
      </c>
      <c r="T123" t="n">
        <v>147638</v>
      </c>
      <c r="U123" t="n">
        <v>161267</v>
      </c>
      <c r="V123" t="n">
        <v>43936</v>
      </c>
      <c r="W123" t="n">
        <v>174</v>
      </c>
      <c r="Z123" t="n">
        <v>948592</v>
      </c>
      <c r="AA123" t="n">
        <v>36191</v>
      </c>
      <c r="AB123" t="n">
        <v>77543</v>
      </c>
      <c r="AC123" t="n">
        <v>113734</v>
      </c>
      <c r="AD123" t="n">
        <v>281412</v>
      </c>
    </row>
    <row r="124">
      <c r="A124" s="11" t="n">
        <v>45717</v>
      </c>
      <c r="B124" t="n">
        <v>66591</v>
      </c>
      <c r="D124" t="n">
        <v>64191</v>
      </c>
      <c r="G124" t="n">
        <v>28403</v>
      </c>
      <c r="H124" t="n">
        <v>10299</v>
      </c>
      <c r="I124" t="n">
        <v>50094</v>
      </c>
      <c r="R124" t="n">
        <v>14413</v>
      </c>
      <c r="S124" t="n">
        <v>322428</v>
      </c>
      <c r="T124" t="n">
        <v>114651</v>
      </c>
      <c r="U124" t="n">
        <v>176625</v>
      </c>
      <c r="V124" t="n">
        <v>16547</v>
      </c>
      <c r="W124" t="n">
        <v>192</v>
      </c>
      <c r="Z124" t="n">
        <v>1053465</v>
      </c>
      <c r="AA124" t="n">
        <v>82507</v>
      </c>
      <c r="AB124" t="n">
        <v>-43846</v>
      </c>
      <c r="AC124" t="n">
        <v>38661</v>
      </c>
      <c r="AD124" t="n">
        <v>325574</v>
      </c>
    </row>
    <row r="125">
      <c r="A125" s="11" t="n">
        <v>45748</v>
      </c>
      <c r="B125" t="n">
        <v>63764</v>
      </c>
      <c r="D125" t="n">
        <v>68866</v>
      </c>
      <c r="G125" t="n">
        <v>36690</v>
      </c>
      <c r="H125" t="n">
        <v>10714</v>
      </c>
      <c r="I125" t="n">
        <v>50156</v>
      </c>
      <c r="R125" t="n">
        <v>16325</v>
      </c>
      <c r="S125" t="n">
        <v>323775</v>
      </c>
      <c r="T125" t="n">
        <v>128628</v>
      </c>
      <c r="U125" t="n">
        <v>166135</v>
      </c>
      <c r="V125" t="n">
        <v>12501</v>
      </c>
      <c r="W125" t="n">
        <v>186</v>
      </c>
      <c r="Z125" t="n">
        <v>1028373</v>
      </c>
      <c r="AA125" t="n">
        <v>72683</v>
      </c>
      <c r="AB125" t="n">
        <v>-42042</v>
      </c>
      <c r="AC125" t="n">
        <v>30641</v>
      </c>
      <c r="AD125" t="n">
        <v>367289</v>
      </c>
    </row>
    <row r="126">
      <c r="A126" s="11" t="n">
        <v>45778</v>
      </c>
      <c r="B126" t="n">
        <v>62452</v>
      </c>
      <c r="D126" t="n">
        <v>65408</v>
      </c>
      <c r="G126" t="n">
        <v>38637</v>
      </c>
      <c r="H126" t="n">
        <v>12776</v>
      </c>
      <c r="I126" t="n">
        <v>57826</v>
      </c>
      <c r="R126" t="n">
        <v>13108</v>
      </c>
      <c r="S126" t="n">
        <v>370506</v>
      </c>
      <c r="T126" t="n">
        <v>179110</v>
      </c>
      <c r="U126" t="n">
        <v>169325</v>
      </c>
      <c r="V126" t="n">
        <v>8770</v>
      </c>
      <c r="W126" t="n">
        <v>192</v>
      </c>
      <c r="Z126" t="n">
        <v>1052688</v>
      </c>
      <c r="AA126" t="n">
        <v>75692</v>
      </c>
      <c r="AB126" t="n">
        <v>-49558</v>
      </c>
      <c r="AC126" t="n">
        <v>26134</v>
      </c>
      <c r="AD126" t="n">
        <v>416461</v>
      </c>
    </row>
    <row r="127">
      <c r="A127" s="11" t="n">
        <v>45809</v>
      </c>
      <c r="B127" t="n">
        <v>62166</v>
      </c>
      <c r="D127" t="n">
        <v>67199</v>
      </c>
      <c r="G127" t="n">
        <v>34627</v>
      </c>
      <c r="H127" t="n">
        <v>11514</v>
      </c>
      <c r="I127" t="n">
        <v>57243</v>
      </c>
      <c r="R127" t="n">
        <v>12570</v>
      </c>
      <c r="S127" t="n">
        <v>375473</v>
      </c>
      <c r="T127" t="n">
        <v>193302</v>
      </c>
      <c r="U127" t="n">
        <v>162337</v>
      </c>
      <c r="V127" t="n">
        <v>7077</v>
      </c>
      <c r="W127" t="n">
        <v>186</v>
      </c>
      <c r="Z127" t="n">
        <v>1032734</v>
      </c>
      <c r="AA127" t="n">
        <v>60350</v>
      </c>
      <c r="AB127" t="n">
        <v>-36434</v>
      </c>
      <c r="AC127" t="n">
        <v>23916</v>
      </c>
      <c r="AD127" t="n">
        <v>452267</v>
      </c>
    </row>
    <row r="128">
      <c r="A128" s="11" t="n">
        <v>45839</v>
      </c>
      <c r="B128" t="n">
        <v>67922</v>
      </c>
      <c r="D128" t="n">
        <v>59980</v>
      </c>
      <c r="G128" t="n">
        <v>32237</v>
      </c>
      <c r="H128" t="n">
        <v>10413</v>
      </c>
      <c r="I128" t="n">
        <v>53282</v>
      </c>
      <c r="R128" t="n">
        <v>12521</v>
      </c>
      <c r="S128" t="n">
        <v>408516</v>
      </c>
      <c r="T128" t="n">
        <v>221310</v>
      </c>
      <c r="U128" t="n">
        <v>167732</v>
      </c>
      <c r="V128" t="n">
        <v>6760</v>
      </c>
      <c r="W128" t="n">
        <v>192</v>
      </c>
      <c r="Z128" t="n">
        <v>1081426</v>
      </c>
      <c r="AA128" t="n">
        <v>51965</v>
      </c>
      <c r="AB128" t="n">
        <v>-6987</v>
      </c>
      <c r="AC128" t="n">
        <v>44978</v>
      </c>
      <c r="AD128" t="n">
        <v>458453</v>
      </c>
    </row>
    <row r="129">
      <c r="A129" s="11" t="n">
        <v>45870</v>
      </c>
      <c r="B129" t="n">
        <v>66393</v>
      </c>
      <c r="D129" t="n">
        <v>60683</v>
      </c>
      <c r="G129" t="n">
        <v>37068</v>
      </c>
      <c r="H129" t="n">
        <v>10898</v>
      </c>
      <c r="I129" t="n">
        <v>55893</v>
      </c>
      <c r="R129" t="n">
        <v>11873</v>
      </c>
      <c r="S129" t="n">
        <v>428928</v>
      </c>
      <c r="T129" t="n">
        <v>239114</v>
      </c>
      <c r="U129" t="n">
        <v>171704</v>
      </c>
      <c r="V129" t="n">
        <v>6044</v>
      </c>
      <c r="W129" t="n">
        <v>192</v>
      </c>
      <c r="Z129" t="n">
        <v>1093055</v>
      </c>
      <c r="AA129" t="n">
        <v>43147</v>
      </c>
      <c r="AB129" t="n">
        <v>12772</v>
      </c>
      <c r="AC129" t="n">
        <v>55920</v>
      </c>
      <c r="AD129" t="n">
        <v>445611</v>
      </c>
    </row>
    <row r="130">
      <c r="A130" s="11" t="n">
        <v>45901</v>
      </c>
      <c r="B130" t="n">
        <v>70072</v>
      </c>
      <c r="D130" t="n">
        <v>59967</v>
      </c>
      <c r="G130" t="n">
        <v>28596</v>
      </c>
      <c r="H130" t="n">
        <v>10750</v>
      </c>
      <c r="I130" t="n">
        <v>49152</v>
      </c>
      <c r="R130" t="n">
        <v>11948</v>
      </c>
      <c r="S130" t="n">
        <v>392402</v>
      </c>
      <c r="T130" t="n">
        <v>207419</v>
      </c>
      <c r="U130" t="n">
        <v>166868</v>
      </c>
      <c r="V130" t="n">
        <v>5982</v>
      </c>
      <c r="W130" t="n">
        <v>186</v>
      </c>
      <c r="Z130" t="n">
        <v>1056578</v>
      </c>
      <c r="AA130" t="n">
        <v>50686</v>
      </c>
      <c r="AB130" t="n">
        <v>-11695</v>
      </c>
      <c r="AC130" t="n">
        <v>38991</v>
      </c>
      <c r="AD130" t="n">
        <v>456882</v>
      </c>
    </row>
    <row r="131">
      <c r="A131" s="11" t="n">
        <v>45931</v>
      </c>
      <c r="B131" t="n">
        <v>76347</v>
      </c>
      <c r="D131" t="n">
        <v>69946</v>
      </c>
      <c r="G131" t="n">
        <v>25268</v>
      </c>
      <c r="H131" t="n">
        <v>10372</v>
      </c>
      <c r="I131" t="n">
        <v>52198</v>
      </c>
      <c r="R131" t="n">
        <v>12718</v>
      </c>
      <c r="S131" t="n">
        <v>361183</v>
      </c>
      <c r="T131" t="n">
        <v>174506</v>
      </c>
      <c r="U131" t="n">
        <v>165906</v>
      </c>
      <c r="V131" t="n">
        <v>7861</v>
      </c>
      <c r="W131" t="n">
        <v>192</v>
      </c>
      <c r="Z131" t="n">
        <v>1080175</v>
      </c>
      <c r="AA131" t="n">
        <v>67797</v>
      </c>
      <c r="AB131" t="n">
        <v>-32760</v>
      </c>
      <c r="AC131" t="n">
        <v>35037</v>
      </c>
      <c r="AD131" t="n">
        <v>488923</v>
      </c>
    </row>
    <row r="132">
      <c r="A132" s="11" t="n">
        <v>45962</v>
      </c>
      <c r="B132" t="n">
        <v>85171</v>
      </c>
      <c r="D132" t="n">
        <v>64018</v>
      </c>
      <c r="G132" t="n">
        <v>27183</v>
      </c>
      <c r="H132" t="n">
        <v>9771</v>
      </c>
      <c r="I132" t="n">
        <v>50649</v>
      </c>
      <c r="R132" t="n">
        <v>15661</v>
      </c>
      <c r="S132" t="n">
        <v>342670</v>
      </c>
      <c r="T132" t="n">
        <v>139462</v>
      </c>
      <c r="U132" t="n">
        <v>174066</v>
      </c>
      <c r="V132" t="n">
        <v>13296</v>
      </c>
      <c r="W132" t="n">
        <v>186</v>
      </c>
      <c r="Z132" t="n">
        <v>1067639</v>
      </c>
      <c r="AA132" t="n">
        <v>62432</v>
      </c>
      <c r="AB132" t="n">
        <v>-25615</v>
      </c>
      <c r="AC132" t="n">
        <v>36817</v>
      </c>
      <c r="AD132" t="n">
        <v>515843</v>
      </c>
    </row>
    <row r="133">
      <c r="A133" s="11" t="n">
        <v>45992</v>
      </c>
      <c r="B133" t="n">
        <v>90692</v>
      </c>
      <c r="D133" t="n">
        <v>69330</v>
      </c>
      <c r="G133" t="n">
        <v>23403</v>
      </c>
      <c r="H133" t="n">
        <v>10067</v>
      </c>
      <c r="I133" t="n">
        <v>52228</v>
      </c>
      <c r="R133" t="n">
        <v>21554</v>
      </c>
      <c r="S133" t="n">
        <v>386248</v>
      </c>
      <c r="T133" t="n">
        <v>150302</v>
      </c>
      <c r="U133" t="n">
        <v>183830</v>
      </c>
      <c r="V133" t="n">
        <v>30369</v>
      </c>
      <c r="W133" t="n">
        <v>192</v>
      </c>
      <c r="Z133" t="n">
        <v>1114920</v>
      </c>
      <c r="AA133" t="n">
        <v>41580</v>
      </c>
      <c r="AB133" t="n">
        <v>56560</v>
      </c>
      <c r="AC133" t="n">
        <v>98140</v>
      </c>
      <c r="AD133" t="n">
        <v>458395</v>
      </c>
    </row>
    <row r="134">
      <c r="A134" s="11" t="n">
        <v>46023</v>
      </c>
      <c r="B134" t="n">
        <v>83760</v>
      </c>
      <c r="D134" t="n">
        <v>63490</v>
      </c>
      <c r="G134" t="n">
        <v>26629</v>
      </c>
      <c r="H134" t="n">
        <v>8194</v>
      </c>
      <c r="I134" t="n">
        <v>54251</v>
      </c>
      <c r="R134" t="n">
        <v>28559</v>
      </c>
      <c r="S134" t="n">
        <v>423162</v>
      </c>
      <c r="T134" t="n">
        <v>168558</v>
      </c>
      <c r="U134" t="n">
        <v>179414</v>
      </c>
      <c r="V134" t="n">
        <v>46438</v>
      </c>
      <c r="W134" t="n">
        <v>192</v>
      </c>
      <c r="Z134" t="n">
        <v>1076284</v>
      </c>
      <c r="AA134" t="n">
        <v>32088</v>
      </c>
      <c r="AB134" t="n">
        <v>112731</v>
      </c>
      <c r="AC134" t="n">
        <v>144819</v>
      </c>
      <c r="AD134" t="n">
        <v>347764</v>
      </c>
    </row>
    <row r="135">
      <c r="A135" s="11" t="n">
        <v>46054</v>
      </c>
      <c r="B135" t="n">
        <v>85202</v>
      </c>
      <c r="D135" t="n">
        <v>62705</v>
      </c>
      <c r="G135" t="n">
        <v>24939</v>
      </c>
      <c r="H135" t="n">
        <v>7808</v>
      </c>
      <c r="I135" t="n">
        <v>50948</v>
      </c>
      <c r="R135" t="n">
        <v>16837</v>
      </c>
      <c r="S135" t="n">
        <v>332475</v>
      </c>
      <c r="T135" t="n">
        <v>127523</v>
      </c>
      <c r="U135" t="n">
        <v>159764</v>
      </c>
      <c r="V135" t="n">
        <v>28178</v>
      </c>
      <c r="W135" t="n">
        <v>174</v>
      </c>
      <c r="Z135" t="n">
        <v>1000944</v>
      </c>
      <c r="AA135" t="n">
        <v>45173</v>
      </c>
      <c r="AB135" t="n">
        <v>35906</v>
      </c>
      <c r="AC135" t="n">
        <v>81079</v>
      </c>
      <c r="AD135" t="n">
        <v>311856</v>
      </c>
    </row>
    <row r="136">
      <c r="A136" s="11" t="n">
        <v>46082</v>
      </c>
      <c r="B136" t="n">
        <v>95587</v>
      </c>
      <c r="D136" t="n">
        <v>69812</v>
      </c>
      <c r="G136" t="n">
        <v>25849</v>
      </c>
      <c r="H136" t="n">
        <v>7481</v>
      </c>
      <c r="I136" t="n">
        <v>52496</v>
      </c>
      <c r="R136" t="n">
        <v>17107</v>
      </c>
      <c r="S136" t="n">
        <v>337261</v>
      </c>
      <c r="T136" t="n">
        <v>127999</v>
      </c>
      <c r="U136" t="n">
        <v>175250</v>
      </c>
      <c r="V136" t="n">
        <v>16712</v>
      </c>
      <c r="W136" t="n">
        <v>192</v>
      </c>
      <c r="Z136" t="n">
        <v>1113633</v>
      </c>
      <c r="AA136" t="n">
        <v>68183</v>
      </c>
      <c r="AB136" t="n">
        <v>-31464</v>
      </c>
      <c r="AC136" t="n">
        <v>36720</v>
      </c>
      <c r="AD136" t="n">
        <v>341700</v>
      </c>
    </row>
    <row r="137">
      <c r="A137" s="11" t="n">
        <v>46113</v>
      </c>
      <c r="B137" t="n">
        <v>86801</v>
      </c>
      <c r="D137" t="n">
        <v>69104</v>
      </c>
      <c r="E137" t="n">
        <v>3619</v>
      </c>
      <c r="G137" t="n">
        <v>26299</v>
      </c>
      <c r="H137" t="n">
        <v>9094</v>
      </c>
      <c r="I137" t="n">
        <v>49737</v>
      </c>
      <c r="R137" t="n">
        <v>14107</v>
      </c>
      <c r="S137" t="n">
        <v>340314</v>
      </c>
      <c r="T137" t="n">
        <v>144241</v>
      </c>
      <c r="U137" t="n">
        <v>171586</v>
      </c>
      <c r="V137" t="n">
        <v>10194</v>
      </c>
      <c r="W137" t="n">
        <v>186</v>
      </c>
      <c r="Z137" t="n">
        <v>1086101</v>
      </c>
      <c r="AA137" t="n">
        <v>62631</v>
      </c>
      <c r="AB137" t="n">
        <v>-28705</v>
      </c>
      <c r="AC137" t="n">
        <v>33926</v>
      </c>
      <c r="AD137" t="n">
        <v>370631</v>
      </c>
    </row>
    <row r="138">
      <c r="A138" s="11" t="n">
        <v>46143</v>
      </c>
      <c r="B138" t="n">
        <v>88799</v>
      </c>
      <c r="D138" t="n">
        <v>56678</v>
      </c>
      <c r="E138" t="n">
        <v>3464</v>
      </c>
      <c r="G138" t="n">
        <v>34779</v>
      </c>
      <c r="H138" t="n">
        <v>11308</v>
      </c>
      <c r="I138" t="n">
        <v>56723</v>
      </c>
      <c r="R138" t="n">
        <v>11888</v>
      </c>
      <c r="S138" t="n">
        <v>372026</v>
      </c>
      <c r="T138" t="n">
        <v>178139</v>
      </c>
      <c r="U138" t="n">
        <v>174648</v>
      </c>
      <c r="V138" t="n">
        <v>7158</v>
      </c>
      <c r="W138" t="n">
        <v>192</v>
      </c>
      <c r="Z138" t="n">
        <v>1113318</v>
      </c>
      <c r="AA138" t="n">
        <v>67915</v>
      </c>
      <c r="AB138" t="n">
        <v>-28147</v>
      </c>
      <c r="AC138" t="n">
        <v>39768</v>
      </c>
      <c r="AD138" t="n">
        <v>398667</v>
      </c>
    </row>
    <row r="139">
      <c r="A139" s="11" t="n">
        <v>46174</v>
      </c>
      <c r="B139" t="n">
        <v>90027</v>
      </c>
      <c r="D139" t="n">
        <v>59438</v>
      </c>
      <c r="E139" t="n">
        <v>3449</v>
      </c>
      <c r="G139" t="n">
        <v>34305</v>
      </c>
      <c r="H139" t="n">
        <v>11288</v>
      </c>
      <c r="I139" t="n">
        <v>55042</v>
      </c>
      <c r="R139" t="n">
        <v>12162</v>
      </c>
      <c r="S139" t="n">
        <v>393950</v>
      </c>
      <c r="T139" t="n">
        <v>204182</v>
      </c>
      <c r="U139" t="n">
        <v>170169</v>
      </c>
      <c r="V139" t="n">
        <v>7251</v>
      </c>
      <c r="W139" t="n">
        <v>186</v>
      </c>
      <c r="Z139" t="n">
        <v>1092203</v>
      </c>
      <c r="AA139" t="n">
        <v>58331</v>
      </c>
      <c r="AB139" t="n">
        <v>-18723</v>
      </c>
      <c r="AC139" t="n">
        <v>39607</v>
      </c>
      <c r="AD139" t="n">
        <v>417361</v>
      </c>
    </row>
    <row r="140">
      <c r="A140" s="11" t="n">
        <v>46204</v>
      </c>
      <c r="B140" t="n">
        <v>97129</v>
      </c>
      <c r="D140" t="n">
        <v>52023</v>
      </c>
      <c r="E140" t="n">
        <v>6772</v>
      </c>
      <c r="G140" t="n">
        <v>34783</v>
      </c>
      <c r="H140" t="n">
        <v>10920</v>
      </c>
      <c r="I140" t="n">
        <v>54637</v>
      </c>
      <c r="R140" t="n">
        <v>11598</v>
      </c>
      <c r="S140" t="n">
        <v>425915</v>
      </c>
      <c r="T140" t="n">
        <v>236276</v>
      </c>
      <c r="U140" t="n">
        <v>171100</v>
      </c>
      <c r="V140" t="n">
        <v>6747</v>
      </c>
      <c r="W140" t="n">
        <v>192</v>
      </c>
      <c r="Z140" t="n">
        <v>1157796</v>
      </c>
      <c r="AA140" t="n">
        <v>47214</v>
      </c>
      <c r="AB140" t="n">
        <v>-2496</v>
      </c>
      <c r="AC140" t="n">
        <v>44717</v>
      </c>
      <c r="AD140" t="n">
        <v>420105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2026-10-28T01:42:59Z</dcterms:created>
  <dcterms:modified xsi:type="dcterms:W3CDTF">2026-10-28T01:43:01Z</dcterms:modified>
</cp:coreProperties>
</file>