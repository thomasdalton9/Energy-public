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Chart - Injections vs off-take" sheetId="3" state="visible" r:id="rId3"/>
    <sheet name="Chart - HT customers" sheetId="4" state="visible" r:id="rId4"/>
    <sheet name="Plant injections" sheetId="5" state="visible" r:id="rId5"/>
    <sheet name="Substation off-take" sheetId="6" state="visible" r:id="rId6"/>
    <sheet name="HT customers" sheetId="7" state="visible" r:id="rId7"/>
    <sheet name="Parse checks" sheetId="8" state="visible" r:id="rId8"/>
    <sheet name="Source files" sheetId="9" state="visible" r:id="rId9"/>
  </sheets>
  <definedNames/>
  <calcPr calcId="124519" fullCalcOnLoad="1"/>
</workbook>
</file>

<file path=xl/styles.xml><?xml version="1.0" encoding="utf-8"?>
<styleSheet xmlns="http://schemas.openxmlformats.org/spreadsheetml/2006/main">
  <numFmts count="2">
    <numFmt numFmtId="164" formatCode="yyyy-mm-dd h:mm:ss"/>
    <numFmt numFmtId="165" formatCode="mmm/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p>
            <a:pPr>
              <a:defRPr/>
            </a:pPr>
            <a:r>
              <a:rPr sz="1200" b="1"/>
              <a:t>Cameroon grid injections by plant (ARSEL / SONATREL-ENEO) (to Dec/25)</a:t>
            </a:r>
          </a:p>
        </rich>
      </tx>
      <overlay val="0"/>
    </title>
    <plotArea>
      <barChart>
        <barDir val="col"/>
        <grouping val="stacked"/>
        <ser>
          <idx val="0"/>
          <order val="0"/>
          <tx>
            <strRef>
              <f>'Chart'!B1</f>
            </strRef>
          </tx>
          <spPr>
            <a:solidFill>
              <a:srgbClr val="2A78D6"/>
            </a:solidFill>
            <a:ln>
              <a:noFill/>
              <a:prstDash val="solid"/>
            </a:ln>
          </spPr>
          <cat>
            <numRef>
              <f>'Chart'!$A$2:$A$13</f>
            </numRef>
          </cat>
          <val>
            <numRef>
              <f>'Chart'!$B$2:$B$13</f>
            </numRef>
          </val>
        </ser>
        <ser>
          <idx val="1"/>
          <order val="1"/>
          <tx>
            <strRef>
              <f>'Chart'!C1</f>
            </strRef>
          </tx>
          <spPr>
            <a:solidFill>
              <a:srgbClr val="EB6834"/>
            </a:solidFill>
            <a:ln>
              <a:noFill/>
              <a:prstDash val="solid"/>
            </a:ln>
          </spPr>
          <cat>
            <numRef>
              <f>'Chart'!$A$2:$A$13</f>
            </numRef>
          </cat>
          <val>
            <numRef>
              <f>'Chart'!$C$2:$C$13</f>
            </numRef>
          </val>
        </ser>
        <ser>
          <idx val="2"/>
          <order val="2"/>
          <tx>
            <strRef>
              <f>'Chart'!D1</f>
            </strRef>
          </tx>
          <spPr>
            <a:solidFill>
              <a:srgbClr val="1BAF7A"/>
            </a:solidFill>
            <a:ln>
              <a:noFill/>
              <a:prstDash val="solid"/>
            </a:ln>
          </spPr>
          <cat>
            <numRef>
              <f>'Chart'!$A$2:$A$13</f>
            </numRef>
          </cat>
          <val>
            <numRef>
              <f>'Chart'!$D$2:$D$13</f>
            </numRef>
          </val>
        </ser>
        <ser>
          <idx val="3"/>
          <order val="3"/>
          <tx>
            <strRef>
              <f>'Chart'!E1</f>
            </strRef>
          </tx>
          <spPr>
            <a:solidFill>
              <a:srgbClr val="EDA100"/>
            </a:solidFill>
            <a:ln>
              <a:noFill/>
              <a:prstDash val="solid"/>
            </a:ln>
          </spPr>
          <cat>
            <numRef>
              <f>'Chart'!$A$2:$A$13</f>
            </numRef>
          </cat>
          <val>
            <numRef>
              <f>'Chart'!$E$2:$E$13</f>
            </numRef>
          </val>
        </ser>
        <ser>
          <idx val="4"/>
          <order val="4"/>
          <tx>
            <strRef>
              <f>'Chart'!F1</f>
            </strRef>
          </tx>
          <spPr>
            <a:solidFill>
              <a:srgbClr val="E87BA4"/>
            </a:solidFill>
            <a:ln>
              <a:noFill/>
              <a:prstDash val="solid"/>
            </a:ln>
          </spPr>
          <cat>
            <numRef>
              <f>'Chart'!$A$2:$A$13</f>
            </numRef>
          </cat>
          <val>
            <numRef>
              <f>'Chart'!$F$2:$F$13</f>
            </numRef>
          </val>
        </ser>
        <ser>
          <idx val="5"/>
          <order val="5"/>
          <tx>
            <strRef>
              <f>'Chart'!G1</f>
            </strRef>
          </tx>
          <spPr>
            <a:solidFill>
              <a:srgbClr val="008300"/>
            </a:solidFill>
            <a:ln>
              <a:noFill/>
              <a:prstDash val="solid"/>
            </a:ln>
          </spPr>
          <cat>
            <numRef>
              <f>'Chart'!$A$2:$A$13</f>
            </numRef>
          </cat>
          <val>
            <numRef>
              <f>'Chart'!$G$2:$G$13</f>
            </numRef>
          </val>
        </ser>
        <ser>
          <idx val="6"/>
          <order val="6"/>
          <tx>
            <strRef>
              <f>'Chart'!H1</f>
            </strRef>
          </tx>
          <spPr>
            <a:solidFill>
              <a:srgbClr val="4A3AA7"/>
            </a:solidFill>
            <a:ln>
              <a:noFill/>
              <a:prstDash val="solid"/>
            </a:ln>
          </spPr>
          <cat>
            <numRef>
              <f>'Chart'!$A$2:$A$13</f>
            </numRef>
          </cat>
          <val>
            <numRef>
              <f>'Chart'!$H$2:$H$13</f>
            </numRef>
          </val>
        </ser>
        <ser>
          <idx val="7"/>
          <order val="7"/>
          <tx>
            <strRef>
              <f>'Chart'!I1</f>
            </strRef>
          </tx>
          <spPr>
            <a:solidFill>
              <a:srgbClr val="9A9A9A"/>
            </a:solidFill>
            <a:ln>
              <a:noFill/>
              <a:prstDash val="solid"/>
            </a:ln>
          </spPr>
          <cat>
            <numRef>
              <f>'Chart'!$A$2:$A$13</f>
            </numRef>
          </cat>
          <val>
            <numRef>
              <f>'Chart'!$I$2:$I$13</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Cameroon transmission balance: plant injections and substation off-take (ARSEL) (to Dec/25)</a:t>
            </a:r>
          </a:p>
        </rich>
      </tx>
      <overlay val="0"/>
    </title>
    <plotArea>
      <lineChart>
        <grouping val="standard"/>
        <ser>
          <idx val="0"/>
          <order val="0"/>
          <tx>
            <strRef>
              <f>'Chart - Injections vs off-take'!B1</f>
            </strRef>
          </tx>
          <spPr>
            <a:ln w="22225">
              <a:solidFill>
                <a:srgbClr val="2A78D6"/>
              </a:solidFill>
              <a:prstDash val="solid"/>
            </a:ln>
          </spPr>
          <marker>
            <symbol val="none"/>
            <spPr>
              <a:ln>
                <a:prstDash val="solid"/>
              </a:ln>
            </spPr>
          </marker>
          <cat>
            <numRef>
              <f>'Chart - Injections vs off-take'!$A$2:$A$13</f>
            </numRef>
          </cat>
          <val>
            <numRef>
              <f>'Chart - Injections vs off-take'!$B$2:$B$13</f>
            </numRef>
          </val>
          <smooth val="0"/>
        </ser>
        <ser>
          <idx val="1"/>
          <order val="1"/>
          <tx>
            <strRef>
              <f>'Chart - Injections vs off-take'!C1</f>
            </strRef>
          </tx>
          <spPr>
            <a:ln w="22225">
              <a:solidFill>
                <a:srgbClr val="EB6834"/>
              </a:solidFill>
              <a:prstDash val="solid"/>
            </a:ln>
          </spPr>
          <marker>
            <symbol val="none"/>
            <spPr>
              <a:ln>
                <a:prstDash val="solid"/>
              </a:ln>
            </spPr>
          </marker>
          <cat>
            <numRef>
              <f>'Chart - Injections vs off-take'!$A$2:$A$13</f>
            </numRef>
          </cat>
          <val>
            <numRef>
              <f>'Chart - Injections vs off-take'!$C$2:$C$13</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Cameroon direct HT customer off-take (ARSEL / SONATREL-ENEO) (to Dec/25)</a:t>
            </a:r>
          </a:p>
        </rich>
      </tx>
      <overlay val="0"/>
    </title>
    <plotArea>
      <barChart>
        <barDir val="col"/>
        <grouping val="stacked"/>
        <ser>
          <idx val="0"/>
          <order val="0"/>
          <tx>
            <strRef>
              <f>'Chart - HT customers'!B1</f>
            </strRef>
          </tx>
          <spPr>
            <a:solidFill>
              <a:srgbClr val="2A78D6"/>
            </a:solidFill>
            <a:ln>
              <a:noFill/>
              <a:prstDash val="solid"/>
            </a:ln>
          </spPr>
          <cat>
            <numRef>
              <f>'Chart - HT customers'!$A$2:$A$13</f>
            </numRef>
          </cat>
          <val>
            <numRef>
              <f>'Chart - HT customers'!$B$2:$B$13</f>
            </numRef>
          </val>
        </ser>
        <ser>
          <idx val="1"/>
          <order val="1"/>
          <tx>
            <strRef>
              <f>'Chart - HT customers'!C1</f>
            </strRef>
          </tx>
          <spPr>
            <a:solidFill>
              <a:srgbClr val="EB6834"/>
            </a:solidFill>
            <a:ln>
              <a:noFill/>
              <a:prstDash val="solid"/>
            </a:ln>
          </spPr>
          <cat>
            <numRef>
              <f>'Chart - HT customers'!$A$2:$A$13</f>
            </numRef>
          </cat>
          <val>
            <numRef>
              <f>'Chart - HT customers'!$C$2:$C$13</f>
            </numRef>
          </val>
        </ser>
        <ser>
          <idx val="2"/>
          <order val="2"/>
          <tx>
            <strRef>
              <f>'Chart - HT customers'!D1</f>
            </strRef>
          </tx>
          <spPr>
            <a:solidFill>
              <a:srgbClr val="1BAF7A"/>
            </a:solidFill>
            <a:ln>
              <a:noFill/>
              <a:prstDash val="solid"/>
            </a:ln>
          </spPr>
          <cat>
            <numRef>
              <f>'Chart - HT customers'!$A$2:$A$13</f>
            </numRef>
          </cat>
          <val>
            <numRef>
              <f>'Chart - HT customers'!$D$2:$D$13</f>
            </numRef>
          </val>
        </ser>
        <ser>
          <idx val="3"/>
          <order val="3"/>
          <tx>
            <strRef>
              <f>'Chart - HT customers'!E1</f>
            </strRef>
          </tx>
          <spPr>
            <a:solidFill>
              <a:srgbClr val="EDA100"/>
            </a:solidFill>
            <a:ln>
              <a:noFill/>
              <a:prstDash val="solid"/>
            </a:ln>
          </spPr>
          <cat>
            <numRef>
              <f>'Chart - HT customers'!$A$2:$A$13</f>
            </numRef>
          </cat>
          <val>
            <numRef>
              <f>'Chart - HT customers'!$E$2:$E$13</f>
            </numRef>
          </val>
        </ser>
        <ser>
          <idx val="4"/>
          <order val="4"/>
          <tx>
            <strRef>
              <f>'Chart - HT customers'!F1</f>
            </strRef>
          </tx>
          <spPr>
            <a:solidFill>
              <a:srgbClr val="E87BA4"/>
            </a:solidFill>
            <a:ln>
              <a:noFill/>
              <a:prstDash val="solid"/>
            </a:ln>
          </spPr>
          <cat>
            <numRef>
              <f>'Chart - HT customers'!$A$2:$A$13</f>
            </numRef>
          </cat>
          <val>
            <numRef>
              <f>'Chart - HT customers'!$F$2:$F$13</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GWh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 t="inlineStr">
        <is>
          <t>Notes</t>
        </is>
      </c>
    </row>
    <row r="2">
      <c r="A2" t="inlineStr">
        <is>
          <t>Cameroon monthly energy balance (ARSEL / SONATREL - ENEO)</t>
        </is>
      </c>
    </row>
    <row r="3"/>
    <row r="4">
      <c r="A4" s="1" t="inlineStr">
        <is>
          <t>What it is</t>
        </is>
      </c>
    </row>
    <row r="5">
      <c r="A5" t="inlineStr">
        <is>
          <t>Monthly validation minutes (PV de validation du bilan energetique) of the transmission energy balance, signed by SONATREL (grid operator) and ENEO (utility), published by ARSEL, the electricity regulator. Values are MWh at the metering node.</t>
        </is>
      </c>
    </row>
    <row r="6">
      <c r="A6" t="inlineStr">
        <is>
          <t>Sheets: Plant injections (MWh injected per plant to the grid; IPP = independent producers), Substation off-take (MWh drawn at transmission substations: RIS = southern interconnected grid, RIN = northern grid; approximates distribution-level sales before distribution losses), HT customers (direct high-voltage customers), Parse checks (parsed sums vs totals printed in the PDF), Source files (URL, month, size, last-modified).</t>
        </is>
      </c>
    </row>
    <row r="7">
      <c r="A7" t="inlineStr">
        <is>
          <t>Hydro: Songloulou, Edea 3, Lagdo, Nachtigal, Memve'ele, Lom Pangar. Thermal: Kribi (gas), Dibamba, Limbe HFO, Oyomabang. Edea 3 = the four Edea 3 nodes (Ndjock Nkong, Mangombe 1+2, Alucam). Solar is not reported as a separate plant.</t>
        </is>
      </c>
    </row>
    <row r="8"/>
    <row r="9">
      <c r="A9" s="1" t="inlineStr">
        <is>
          <t>Caveats</t>
        </is>
      </c>
    </row>
    <row r="10">
      <c r="A10" t="inlineStr">
        <is>
          <t>Publication lag is 8+ months: the twelve months of 2025 were all posted in February 2026 and no 2026 month had been posted by October 2026. File names are irregular and contain typos, so months are read from the title on page 1 of each PDF; new files are found by scraping the ARSEL page and the WordPress media list (names containing 'bilan').</t>
        </is>
      </c>
    </row>
    <row r="11">
      <c r="A11" t="inlineStr">
        <is>
          <t>Plant injections are at the grid connection (net of plant auxiliaries). Off-take is transmission-substation withdrawal, not retail sales. Behind-the-meter / off-grid generation and the Eneo-owned isolated networks are not covered. Values are as validated by SONATREL/ENEO and can be revised. Any month where Parse checks shows MISMATCH should be treated with caution (a PDF row layout parsed differently).</t>
        </is>
      </c>
    </row>
    <row r="12">
      <c r="A12" t="inlineStr">
        <is>
          <t>The ARSEL Power BI dashboards (production, energies produites, transport) are image-only snapshots and are not used.</t>
        </is>
      </c>
    </row>
    <row r="13"/>
    <row r="14">
      <c r="A14" s="1" t="inlineStr">
        <is>
          <t>Source</t>
        </is>
      </c>
    </row>
    <row r="15">
      <c r="A15" t="inlineStr">
        <is>
          <t>ARSEL (Cameroon electricity regulator), monthly energy balance validation minutes: https://arsel-cm.org/bilan-energetique-mensuel/</t>
        </is>
      </c>
    </row>
    <row r="16"/>
    <row r="17">
      <c r="A17" t="inlineStr">
        <is>
          <t>Months covered: 2025-01 to 2025-12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1" customWidth="1" min="1" max="1"/>
  </cols>
  <sheetData>
    <row r="1">
      <c r="A1" t="inlineStr">
        <is>
          <t>Date</t>
        </is>
      </c>
      <c r="B1" t="inlineStr">
        <is>
          <t>Songloulou</t>
        </is>
      </c>
      <c r="C1" t="inlineStr">
        <is>
          <t>Nachtigal</t>
        </is>
      </c>
      <c r="D1" t="inlineStr">
        <is>
          <t>Edea 3</t>
        </is>
      </c>
      <c r="E1" t="inlineStr">
        <is>
          <t>Memve'ele</t>
        </is>
      </c>
      <c r="F1" t="inlineStr">
        <is>
          <t>Kribi (gas)</t>
        </is>
      </c>
      <c r="G1" t="inlineStr">
        <is>
          <t>Lagdo</t>
        </is>
      </c>
      <c r="H1" t="inlineStr">
        <is>
          <t>Lom Pangar</t>
        </is>
      </c>
      <c r="I1" t="inlineStr">
        <is>
          <t>Other</t>
        </is>
      </c>
    </row>
    <row r="2">
      <c r="A2" s="2" t="n">
        <v>45658</v>
      </c>
      <c r="B2" t="n">
        <v>237.633</v>
      </c>
      <c r="C2" t="n">
        <v>228.886225</v>
      </c>
      <c r="D2" t="n">
        <v>94.05</v>
      </c>
      <c r="E2" t="n">
        <v>26.093</v>
      </c>
      <c r="F2" t="n">
        <v>10.738</v>
      </c>
      <c r="G2" t="n">
        <v>33.45138</v>
      </c>
      <c r="H2" t="n">
        <v>7.10332</v>
      </c>
      <c r="I2" t="n">
        <v>11.074</v>
      </c>
    </row>
    <row r="3">
      <c r="A3" s="2" t="n">
        <v>45689</v>
      </c>
      <c r="B3" t="n">
        <v>215.216</v>
      </c>
      <c r="C3" t="n">
        <v>192.116004</v>
      </c>
      <c r="D3" t="n">
        <v>80.821</v>
      </c>
      <c r="E3" t="n">
        <v>14.694</v>
      </c>
      <c r="F3" t="n">
        <v>26.952</v>
      </c>
      <c r="G3" t="n">
        <v>31.95517</v>
      </c>
      <c r="H3" t="n">
        <v>6.34216</v>
      </c>
      <c r="I3" t="n">
        <v>9.144</v>
      </c>
    </row>
    <row r="4">
      <c r="A4" s="2" t="n">
        <v>45717</v>
      </c>
      <c r="B4" t="n">
        <v>204.388</v>
      </c>
      <c r="C4" t="n">
        <v>208.024754</v>
      </c>
      <c r="D4" t="n">
        <v>78.48399999999999</v>
      </c>
      <c r="E4" t="n">
        <v>29.443</v>
      </c>
      <c r="F4" t="n">
        <v>42.507</v>
      </c>
      <c r="G4" t="n">
        <v>39.46553</v>
      </c>
      <c r="H4" t="n">
        <v>6.14263</v>
      </c>
      <c r="I4" t="n">
        <v>9.177</v>
      </c>
    </row>
    <row r="5">
      <c r="A5" s="2" t="n">
        <v>45748</v>
      </c>
      <c r="B5" t="n">
        <v>211.461</v>
      </c>
      <c r="C5" t="n">
        <v>156.53831</v>
      </c>
      <c r="D5" t="n">
        <v>75.41500000000001</v>
      </c>
      <c r="E5" t="n">
        <v>62.194</v>
      </c>
      <c r="F5" t="n">
        <v>43.505</v>
      </c>
      <c r="G5" t="n">
        <v>38.6016</v>
      </c>
      <c r="H5" t="n">
        <v>6.08966</v>
      </c>
      <c r="I5" t="n">
        <v>5.155</v>
      </c>
    </row>
    <row r="6">
      <c r="A6" s="2" t="n">
        <v>45778</v>
      </c>
      <c r="B6" t="n">
        <v>218.458</v>
      </c>
      <c r="C6" t="n">
        <v>128.581164</v>
      </c>
      <c r="D6" t="n">
        <v>77.03</v>
      </c>
      <c r="E6" t="n">
        <v>73.521</v>
      </c>
      <c r="F6" t="n">
        <v>75.678</v>
      </c>
      <c r="G6" t="n">
        <v>34.79385</v>
      </c>
      <c r="H6" t="n">
        <v>1.23886</v>
      </c>
      <c r="I6" t="n">
        <v>5.245</v>
      </c>
    </row>
    <row r="7">
      <c r="A7" s="2" t="n">
        <v>45809</v>
      </c>
      <c r="B7" t="n">
        <v>215.673</v>
      </c>
      <c r="C7" t="n">
        <v>124.234705</v>
      </c>
      <c r="D7" t="n">
        <v>85.56</v>
      </c>
      <c r="E7" t="n">
        <v>71.702</v>
      </c>
      <c r="F7" t="n">
        <v>56.997</v>
      </c>
      <c r="G7" t="n">
        <v>26.88844</v>
      </c>
      <c r="H7" t="n">
        <v>0</v>
      </c>
      <c r="I7" t="n">
        <v>3.844</v>
      </c>
    </row>
    <row r="8">
      <c r="A8" s="2" t="n">
        <v>45839</v>
      </c>
      <c r="B8" t="n">
        <v>200.388</v>
      </c>
      <c r="C8" t="n">
        <v>144.213379</v>
      </c>
      <c r="D8" t="n">
        <v>89.746</v>
      </c>
      <c r="E8" t="n">
        <v>52.55</v>
      </c>
      <c r="F8" t="n">
        <v>60.451</v>
      </c>
      <c r="G8" t="n">
        <v>22.69423</v>
      </c>
      <c r="H8" t="n">
        <v>0.75806</v>
      </c>
      <c r="I8" t="n">
        <v>2.043</v>
      </c>
    </row>
    <row r="9">
      <c r="A9" s="2" t="n">
        <v>45870</v>
      </c>
      <c r="B9" t="n">
        <v>193.413</v>
      </c>
      <c r="C9" t="n">
        <v>190.294783</v>
      </c>
      <c r="D9" t="n">
        <v>77.164</v>
      </c>
      <c r="E9" t="n">
        <v>21.961</v>
      </c>
      <c r="F9" t="n">
        <v>51.31</v>
      </c>
      <c r="G9" t="n">
        <v>31.02929</v>
      </c>
      <c r="H9" t="n">
        <v>5.06406</v>
      </c>
      <c r="I9" t="n">
        <v>0.483</v>
      </c>
    </row>
    <row r="10">
      <c r="A10" s="2" t="n">
        <v>45901</v>
      </c>
      <c r="B10" t="n">
        <v>205.416</v>
      </c>
      <c r="C10" t="n">
        <v>200.394719</v>
      </c>
      <c r="D10" t="n">
        <v>76.643</v>
      </c>
      <c r="E10" t="n">
        <v>9.42</v>
      </c>
      <c r="F10" t="n">
        <v>40.297</v>
      </c>
      <c r="G10" t="n">
        <v>33.73237</v>
      </c>
      <c r="H10" t="n">
        <v>2.61244</v>
      </c>
      <c r="I10" t="n">
        <v>1.684</v>
      </c>
    </row>
    <row r="11">
      <c r="A11" s="2" t="n">
        <v>45931</v>
      </c>
      <c r="B11" t="n">
        <v>209.832</v>
      </c>
      <c r="C11" t="n">
        <v>169.834281</v>
      </c>
      <c r="D11" t="n">
        <v>78.235</v>
      </c>
      <c r="E11" t="n">
        <v>33.222</v>
      </c>
      <c r="F11" t="n">
        <v>52.457</v>
      </c>
      <c r="G11" t="n">
        <v>35.03818</v>
      </c>
      <c r="H11" t="n">
        <v>6.7747</v>
      </c>
      <c r="I11" t="n">
        <v>2.19</v>
      </c>
    </row>
    <row r="12">
      <c r="A12" s="2" t="n">
        <v>45962</v>
      </c>
      <c r="B12" t="n">
        <v>207.845</v>
      </c>
      <c r="C12" t="n">
        <v>163.010029</v>
      </c>
      <c r="D12" t="n">
        <v>85.893</v>
      </c>
      <c r="E12" t="n">
        <v>45.654</v>
      </c>
      <c r="F12" t="n">
        <v>56.861</v>
      </c>
      <c r="G12" t="n">
        <v>32.26926</v>
      </c>
      <c r="H12" t="n">
        <v>6.15653</v>
      </c>
      <c r="I12" t="n">
        <v>4.008</v>
      </c>
    </row>
    <row r="13">
      <c r="A13" s="2" t="n">
        <v>45992</v>
      </c>
      <c r="B13" t="n">
        <v>226.398</v>
      </c>
      <c r="C13" t="n">
        <v>160.660302</v>
      </c>
      <c r="D13" t="n">
        <v>99.19199999999999</v>
      </c>
      <c r="E13" t="n">
        <v>109.192</v>
      </c>
      <c r="F13" t="n">
        <v>30.811</v>
      </c>
      <c r="G13" t="n">
        <v>34.40058999999999</v>
      </c>
      <c r="H13" t="n">
        <v>8.43905</v>
      </c>
      <c r="I13" t="n">
        <v>8.725999999999999</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11" customWidth="1" min="1" max="1"/>
  </cols>
  <sheetData>
    <row r="1">
      <c r="A1" t="inlineStr">
        <is>
          <t>Date</t>
        </is>
      </c>
      <c r="B1" t="inlineStr">
        <is>
          <t>Plant injections</t>
        </is>
      </c>
      <c r="C1" t="inlineStr">
        <is>
          <t>Substation off-take</t>
        </is>
      </c>
    </row>
    <row r="2">
      <c r="A2" s="2" t="n">
        <v>45658</v>
      </c>
      <c r="B2" t="n">
        <v>649.0289250000001</v>
      </c>
      <c r="C2" t="n">
        <v>563.0416899999999</v>
      </c>
    </row>
    <row r="3">
      <c r="A3" s="2" t="n">
        <v>45689</v>
      </c>
      <c r="B3" t="n">
        <v>577.2403340000001</v>
      </c>
      <c r="C3" t="n">
        <v>503.80434</v>
      </c>
    </row>
    <row r="4">
      <c r="A4" s="2" t="n">
        <v>45717</v>
      </c>
      <c r="B4" t="n">
        <v>617.6319139999999</v>
      </c>
      <c r="C4" t="n">
        <v>530.55001</v>
      </c>
    </row>
    <row r="5">
      <c r="A5" s="2" t="n">
        <v>45748</v>
      </c>
      <c r="B5" t="n">
        <v>598.95957</v>
      </c>
      <c r="C5" t="n">
        <v>513.6627999999999</v>
      </c>
    </row>
    <row r="6">
      <c r="A6" s="2" t="n">
        <v>45778</v>
      </c>
      <c r="B6" t="n">
        <v>614.5458739999999</v>
      </c>
      <c r="C6" t="n">
        <v>535.16431</v>
      </c>
    </row>
    <row r="7">
      <c r="A7" s="2" t="n">
        <v>45809</v>
      </c>
      <c r="B7" t="n">
        <v>584.899145</v>
      </c>
      <c r="C7" t="n">
        <v>499.78234</v>
      </c>
    </row>
    <row r="8">
      <c r="A8" s="2" t="n">
        <v>45839</v>
      </c>
      <c r="B8" t="n">
        <v>572.843669</v>
      </c>
      <c r="C8" t="n">
        <v>493.33767</v>
      </c>
    </row>
    <row r="9">
      <c r="A9" s="2" t="n">
        <v>45870</v>
      </c>
      <c r="B9" t="n">
        <v>570.7191330000001</v>
      </c>
      <c r="C9" t="n">
        <v>485.35251</v>
      </c>
    </row>
    <row r="10">
      <c r="A10" s="2" t="n">
        <v>45901</v>
      </c>
      <c r="B10" t="n">
        <v>570.199529</v>
      </c>
      <c r="C10" t="n">
        <v>488.22937</v>
      </c>
    </row>
    <row r="11">
      <c r="A11" s="2" t="n">
        <v>45931</v>
      </c>
      <c r="B11" t="n">
        <v>587.583161</v>
      </c>
      <c r="C11" t="n">
        <v>505.57168</v>
      </c>
    </row>
    <row r="12">
      <c r="A12" s="2" t="n">
        <v>45962</v>
      </c>
      <c r="B12" t="n">
        <v>601.696819</v>
      </c>
      <c r="C12" t="n">
        <v>517.24855</v>
      </c>
    </row>
    <row r="13">
      <c r="A13" s="2" t="n">
        <v>45992</v>
      </c>
      <c r="B13" t="n">
        <v>677.818942</v>
      </c>
      <c r="C13" t="n">
        <v>573.52428</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1" customWidth="1" min="1" max="1"/>
  </cols>
  <sheetData>
    <row r="1">
      <c r="A1" t="inlineStr">
        <is>
          <t>Date</t>
        </is>
      </c>
      <c r="B1" t="inlineStr">
        <is>
          <t>CIMAF</t>
        </is>
      </c>
      <c r="C1" t="inlineStr">
        <is>
          <t>CIMENCAM</t>
        </is>
      </c>
      <c r="D1" t="inlineStr">
        <is>
          <t>DANGOTE</t>
        </is>
      </c>
      <c r="E1" t="inlineStr">
        <is>
          <t>ALUCAM</t>
        </is>
      </c>
      <c r="F1" t="inlineStr">
        <is>
          <t>PROMETAL</t>
        </is>
      </c>
    </row>
    <row r="2">
      <c r="A2" s="2" t="n">
        <v>45658</v>
      </c>
      <c r="B2" t="n">
        <v>2.5999</v>
      </c>
      <c r="C2" t="n">
        <v>4.54985</v>
      </c>
      <c r="D2" t="n">
        <v>4.80254</v>
      </c>
      <c r="E2" t="n">
        <v>29.273</v>
      </c>
      <c r="F2" t="n">
        <v>0</v>
      </c>
    </row>
    <row r="3">
      <c r="A3" s="2" t="n">
        <v>45689</v>
      </c>
      <c r="B3" t="n">
        <v>2.74382</v>
      </c>
      <c r="C3" t="n">
        <v>4.685569999999999</v>
      </c>
      <c r="D3" t="n">
        <v>4.80533</v>
      </c>
      <c r="E3" t="n">
        <v>18.911</v>
      </c>
      <c r="F3" t="n">
        <v>5.00995</v>
      </c>
    </row>
    <row r="4">
      <c r="A4" s="2" t="n">
        <v>45717</v>
      </c>
      <c r="B4" t="n">
        <v>3.13317</v>
      </c>
      <c r="C4" t="n">
        <v>5.181</v>
      </c>
      <c r="D4" t="n">
        <v>4.99653</v>
      </c>
      <c r="E4" t="n">
        <v>17.66</v>
      </c>
      <c r="F4" t="n">
        <v>14.49521</v>
      </c>
    </row>
    <row r="5">
      <c r="A5" s="2" t="n">
        <v>45748</v>
      </c>
      <c r="B5" t="n">
        <v>2.93977</v>
      </c>
      <c r="C5" t="n">
        <v>4.74967</v>
      </c>
      <c r="D5" t="n">
        <v>4.694649999999999</v>
      </c>
      <c r="E5" t="n">
        <v>15.884</v>
      </c>
      <c r="F5" t="n">
        <v>14.19029</v>
      </c>
    </row>
    <row r="6">
      <c r="A6" s="2" t="n">
        <v>45778</v>
      </c>
      <c r="B6" t="n">
        <v>2.80944</v>
      </c>
      <c r="C6" t="n">
        <v>4.960430000000001</v>
      </c>
      <c r="D6" t="n">
        <v>4.435899999999999</v>
      </c>
      <c r="E6" t="n">
        <v>18.751</v>
      </c>
      <c r="F6" t="n">
        <v>15.12791</v>
      </c>
    </row>
    <row r="7">
      <c r="A7" s="2" t="n">
        <v>45809</v>
      </c>
      <c r="B7" t="n">
        <v>3.15515</v>
      </c>
      <c r="C7" t="n">
        <v>4.58021</v>
      </c>
      <c r="D7" t="n">
        <v>4.6374</v>
      </c>
      <c r="E7" t="n">
        <v>21.683</v>
      </c>
      <c r="F7" t="n">
        <v>14.12432</v>
      </c>
    </row>
    <row r="8">
      <c r="A8" s="2" t="n">
        <v>45839</v>
      </c>
      <c r="B8" t="n">
        <v>3.14177</v>
      </c>
      <c r="C8" t="n">
        <v>4.4663</v>
      </c>
      <c r="D8" t="n">
        <v>4.08026</v>
      </c>
      <c r="E8" t="n">
        <v>24.814</v>
      </c>
      <c r="F8" t="n">
        <v>15.47851</v>
      </c>
    </row>
    <row r="9">
      <c r="A9" s="2" t="n">
        <v>45870</v>
      </c>
      <c r="B9" t="n">
        <v>3.23067</v>
      </c>
      <c r="C9" t="n">
        <v>5.16267</v>
      </c>
      <c r="D9" t="n">
        <v>3.38066</v>
      </c>
      <c r="E9" t="n">
        <v>22.572</v>
      </c>
      <c r="F9" t="n">
        <v>15.27514</v>
      </c>
    </row>
    <row r="10">
      <c r="A10" s="2" t="n">
        <v>45901</v>
      </c>
      <c r="B10" t="n">
        <v>3.15928</v>
      </c>
      <c r="C10" t="n">
        <v>4.53209</v>
      </c>
      <c r="D10" t="n">
        <v>3.47733</v>
      </c>
      <c r="E10" t="n">
        <v>22.507</v>
      </c>
      <c r="F10" t="n">
        <v>14.71027</v>
      </c>
    </row>
    <row r="11">
      <c r="A11" s="2" t="n">
        <v>45931</v>
      </c>
      <c r="B11" t="n">
        <v>2.13918</v>
      </c>
      <c r="C11" t="n">
        <v>3.13387</v>
      </c>
      <c r="D11" t="n">
        <v>2.97041</v>
      </c>
      <c r="E11" t="n">
        <v>24.941</v>
      </c>
      <c r="F11" t="n">
        <v>12.68071</v>
      </c>
    </row>
    <row r="12">
      <c r="A12" s="2" t="n">
        <v>45962</v>
      </c>
      <c r="B12" t="n">
        <v>2.90993</v>
      </c>
      <c r="C12" t="n">
        <v>3.35135</v>
      </c>
      <c r="D12" t="n">
        <v>3.90887</v>
      </c>
      <c r="E12" t="n">
        <v>28.359</v>
      </c>
      <c r="F12" t="n">
        <v>10.49435</v>
      </c>
    </row>
    <row r="13">
      <c r="A13" s="2" t="n">
        <v>45992</v>
      </c>
      <c r="B13" t="n">
        <v>2.7404</v>
      </c>
      <c r="C13" t="n">
        <v>3.49538</v>
      </c>
      <c r="D13" t="n">
        <v>4.0247</v>
      </c>
      <c r="E13" t="n">
        <v>34.323</v>
      </c>
      <c r="F13" t="n">
        <v>12.25567</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month</t>
        </is>
      </c>
      <c r="B1" t="inlineStr">
        <is>
          <t>Songloulou</t>
        </is>
      </c>
      <c r="C1" t="inlineStr">
        <is>
          <t>Edea 3</t>
        </is>
      </c>
      <c r="D1" t="inlineStr">
        <is>
          <t>Lagdo</t>
        </is>
      </c>
      <c r="E1" t="inlineStr">
        <is>
          <t>Limbe HFO</t>
        </is>
      </c>
      <c r="F1" t="inlineStr">
        <is>
          <t>Oyomabang</t>
        </is>
      </c>
      <c r="G1" t="inlineStr">
        <is>
          <t>Nachtigal</t>
        </is>
      </c>
      <c r="H1" t="inlineStr">
        <is>
          <t>Memve'ele</t>
        </is>
      </c>
      <c r="I1" t="inlineStr">
        <is>
          <t>Lom Pangar</t>
        </is>
      </c>
      <c r="J1" t="inlineStr">
        <is>
          <t>Kribi (gas)</t>
        </is>
      </c>
      <c r="K1" t="inlineStr">
        <is>
          <t>Dibamba</t>
        </is>
      </c>
      <c r="L1" t="inlineStr">
        <is>
          <t>Total plant injections</t>
        </is>
      </c>
    </row>
    <row r="2">
      <c r="A2" t="inlineStr">
        <is>
          <t>2025-01</t>
        </is>
      </c>
      <c r="B2" t="n">
        <v>237633</v>
      </c>
      <c r="C2" t="n">
        <v>94050</v>
      </c>
      <c r="D2" t="n">
        <v>33451.38</v>
      </c>
      <c r="E2" t="n">
        <v>7686</v>
      </c>
      <c r="F2" t="n">
        <v>27</v>
      </c>
      <c r="G2" t="n">
        <v>228886.225</v>
      </c>
      <c r="H2" t="n">
        <v>26093</v>
      </c>
      <c r="I2" t="n">
        <v>7103.32</v>
      </c>
      <c r="J2" t="n">
        <v>10738</v>
      </c>
      <c r="K2" t="n">
        <v>3361</v>
      </c>
      <c r="L2" t="n">
        <v>649028.925</v>
      </c>
    </row>
    <row r="3">
      <c r="A3" t="inlineStr">
        <is>
          <t>2025-02</t>
        </is>
      </c>
      <c r="B3" t="n">
        <v>215216</v>
      </c>
      <c r="C3" t="n">
        <v>80821</v>
      </c>
      <c r="D3" t="n">
        <v>31955.17</v>
      </c>
      <c r="E3" t="n">
        <v>7764</v>
      </c>
      <c r="F3" t="n">
        <v>22</v>
      </c>
      <c r="G3" t="n">
        <v>192116.004</v>
      </c>
      <c r="H3" t="n">
        <v>14694</v>
      </c>
      <c r="I3" t="n">
        <v>6342.16</v>
      </c>
      <c r="J3" t="n">
        <v>26952</v>
      </c>
      <c r="K3" t="n">
        <v>1358</v>
      </c>
      <c r="L3" t="n">
        <v>577240.334</v>
      </c>
    </row>
    <row r="4">
      <c r="A4" t="inlineStr">
        <is>
          <t>2025-03</t>
        </is>
      </c>
      <c r="B4" t="n">
        <v>204388</v>
      </c>
      <c r="C4" t="n">
        <v>78484</v>
      </c>
      <c r="D4" t="n">
        <v>39465.53</v>
      </c>
      <c r="E4" t="n">
        <v>6724</v>
      </c>
      <c r="F4" t="n">
        <v>10</v>
      </c>
      <c r="G4" t="n">
        <v>208024.754</v>
      </c>
      <c r="H4" t="n">
        <v>29443</v>
      </c>
      <c r="I4" t="n">
        <v>6142.63</v>
      </c>
      <c r="J4" t="n">
        <v>42507</v>
      </c>
      <c r="K4" t="n">
        <v>2443</v>
      </c>
      <c r="L4" t="n">
        <v>617631.914</v>
      </c>
    </row>
    <row r="5">
      <c r="A5" t="inlineStr">
        <is>
          <t>2025-04</t>
        </is>
      </c>
      <c r="B5" t="n">
        <v>211461</v>
      </c>
      <c r="C5" t="n">
        <v>75415</v>
      </c>
      <c r="D5" t="n">
        <v>38601.6</v>
      </c>
      <c r="E5" t="n">
        <v>5146</v>
      </c>
      <c r="F5" t="n">
        <v>9</v>
      </c>
      <c r="G5" t="n">
        <v>156538.31</v>
      </c>
      <c r="H5" t="n">
        <v>62194</v>
      </c>
      <c r="I5" t="n">
        <v>6089.66</v>
      </c>
      <c r="J5" t="n">
        <v>43505</v>
      </c>
      <c r="K5" t="n">
        <v>0</v>
      </c>
      <c r="L5" t="n">
        <v>598959.5699999999</v>
      </c>
    </row>
    <row r="6">
      <c r="A6" t="inlineStr">
        <is>
          <t>2025-05</t>
        </is>
      </c>
      <c r="B6" t="n">
        <v>218458</v>
      </c>
      <c r="C6" t="n">
        <v>77030</v>
      </c>
      <c r="D6" t="n">
        <v>34793.85</v>
      </c>
      <c r="E6" t="n">
        <v>3509</v>
      </c>
      <c r="F6" t="n">
        <v>5</v>
      </c>
      <c r="G6" t="n">
        <v>128581.164</v>
      </c>
      <c r="H6" t="n">
        <v>73521</v>
      </c>
      <c r="I6" t="n">
        <v>1238.86</v>
      </c>
      <c r="J6" t="n">
        <v>75678</v>
      </c>
      <c r="K6" t="n">
        <v>1731</v>
      </c>
      <c r="L6" t="n">
        <v>614545.874</v>
      </c>
    </row>
    <row r="7">
      <c r="A7" t="inlineStr">
        <is>
          <t>2025-06</t>
        </is>
      </c>
      <c r="B7" t="n">
        <v>215673</v>
      </c>
      <c r="C7" t="n">
        <v>85560</v>
      </c>
      <c r="D7" t="n">
        <v>26888.44</v>
      </c>
      <c r="E7" t="n">
        <v>1928</v>
      </c>
      <c r="F7" t="n">
        <v>0</v>
      </c>
      <c r="G7" t="n">
        <v>124234.705</v>
      </c>
      <c r="H7" t="n">
        <v>71702</v>
      </c>
      <c r="I7" t="n">
        <v>0</v>
      </c>
      <c r="J7" t="n">
        <v>56997</v>
      </c>
      <c r="K7" t="n">
        <v>1916</v>
      </c>
      <c r="L7" t="n">
        <v>584899.145</v>
      </c>
    </row>
    <row r="8">
      <c r="A8" t="inlineStr">
        <is>
          <t>2025-07</t>
        </is>
      </c>
      <c r="B8" t="n">
        <v>200388</v>
      </c>
      <c r="C8" t="n">
        <v>89746</v>
      </c>
      <c r="D8" t="n">
        <v>22694.23</v>
      </c>
      <c r="E8" t="n">
        <v>952</v>
      </c>
      <c r="F8" t="n">
        <v>1</v>
      </c>
      <c r="G8" t="n">
        <v>144213.379</v>
      </c>
      <c r="H8" t="n">
        <v>52550</v>
      </c>
      <c r="I8" t="n">
        <v>758.0599999999999</v>
      </c>
      <c r="J8" t="n">
        <v>60451</v>
      </c>
      <c r="K8" t="n">
        <v>1090</v>
      </c>
      <c r="L8" t="n">
        <v>572843.669</v>
      </c>
    </row>
    <row r="9">
      <c r="A9" t="inlineStr">
        <is>
          <t>2025-08</t>
        </is>
      </c>
      <c r="B9" t="n">
        <v>193413</v>
      </c>
      <c r="C9" t="n">
        <v>77164</v>
      </c>
      <c r="D9" t="n">
        <v>31029.29</v>
      </c>
      <c r="E9" t="n">
        <v>483</v>
      </c>
      <c r="F9" t="n">
        <v>0</v>
      </c>
      <c r="G9" t="n">
        <v>190294.783</v>
      </c>
      <c r="H9" t="n">
        <v>21961</v>
      </c>
      <c r="I9" t="n">
        <v>5064.06</v>
      </c>
      <c r="J9" t="n">
        <v>51310</v>
      </c>
      <c r="K9" t="n">
        <v>0</v>
      </c>
      <c r="L9" t="n">
        <v>570719.133</v>
      </c>
    </row>
    <row r="10">
      <c r="A10" t="inlineStr">
        <is>
          <t>2025-09</t>
        </is>
      </c>
      <c r="B10" t="n">
        <v>205416</v>
      </c>
      <c r="C10" t="n">
        <v>76643</v>
      </c>
      <c r="D10" t="n">
        <v>33732.37</v>
      </c>
      <c r="E10" t="n">
        <v>1060</v>
      </c>
      <c r="F10" t="n">
        <v>0</v>
      </c>
      <c r="G10" t="n">
        <v>200394.719</v>
      </c>
      <c r="H10" t="n">
        <v>9420</v>
      </c>
      <c r="I10" t="n">
        <v>2612.44</v>
      </c>
      <c r="J10" t="n">
        <v>40297</v>
      </c>
      <c r="K10" t="n">
        <v>624</v>
      </c>
      <c r="L10" t="n">
        <v>570199.529</v>
      </c>
    </row>
    <row r="11">
      <c r="A11" t="inlineStr">
        <is>
          <t>2025-10</t>
        </is>
      </c>
      <c r="B11" t="n">
        <v>209832</v>
      </c>
      <c r="C11" t="n">
        <v>78235</v>
      </c>
      <c r="D11" t="n">
        <v>35038.18</v>
      </c>
      <c r="E11" t="n">
        <v>1311</v>
      </c>
      <c r="F11" t="n">
        <v>0</v>
      </c>
      <c r="G11" t="n">
        <v>169834.281</v>
      </c>
      <c r="H11" t="n">
        <v>33222</v>
      </c>
      <c r="I11" t="n">
        <v>6774.7</v>
      </c>
      <c r="J11" t="n">
        <v>52457</v>
      </c>
      <c r="K11" t="n">
        <v>879</v>
      </c>
      <c r="L11" t="n">
        <v>587583.161</v>
      </c>
    </row>
    <row r="12">
      <c r="A12" t="inlineStr">
        <is>
          <t>2025-11</t>
        </is>
      </c>
      <c r="B12" t="n">
        <v>207845</v>
      </c>
      <c r="C12" t="n">
        <v>85893</v>
      </c>
      <c r="D12" t="n">
        <v>32269.26</v>
      </c>
      <c r="E12" t="n">
        <v>2704</v>
      </c>
      <c r="F12" t="n">
        <v>0</v>
      </c>
      <c r="G12" t="n">
        <v>163010.029</v>
      </c>
      <c r="H12" t="n">
        <v>45654</v>
      </c>
      <c r="I12" t="n">
        <v>6156.53</v>
      </c>
      <c r="J12" t="n">
        <v>56861</v>
      </c>
      <c r="K12" t="n">
        <v>1304</v>
      </c>
      <c r="L12" t="n">
        <v>601696.819</v>
      </c>
    </row>
    <row r="13">
      <c r="A13" t="inlineStr">
        <is>
          <t>2025-12</t>
        </is>
      </c>
      <c r="B13" t="n">
        <v>226398</v>
      </c>
      <c r="C13" t="n">
        <v>99192</v>
      </c>
      <c r="D13" t="n">
        <v>34400.59</v>
      </c>
      <c r="E13" t="n">
        <v>4648</v>
      </c>
      <c r="F13" t="n">
        <v>1</v>
      </c>
      <c r="G13" t="n">
        <v>160660.302</v>
      </c>
      <c r="H13" t="n">
        <v>109192</v>
      </c>
      <c r="I13" t="n">
        <v>8439.049999999999</v>
      </c>
      <c r="J13" t="n">
        <v>30811</v>
      </c>
      <c r="K13" t="n">
        <v>4077</v>
      </c>
      <c r="L13" t="n">
        <v>677818.942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month</t>
        </is>
      </c>
      <c r="B1" t="inlineStr">
        <is>
          <t>Off-take RIS (south grid)</t>
        </is>
      </c>
      <c r="C1" t="inlineStr">
        <is>
          <t>Off-take RIN (north grid)</t>
        </is>
      </c>
      <c r="D1" t="inlineStr">
        <is>
          <t>Off-take total</t>
        </is>
      </c>
    </row>
    <row r="2">
      <c r="A2" t="inlineStr">
        <is>
          <t>2025-01</t>
        </is>
      </c>
      <c r="B2" t="n">
        <v>529395.6899999999</v>
      </c>
      <c r="C2" t="n">
        <v>33646</v>
      </c>
      <c r="D2" t="n">
        <v>563041.6899999999</v>
      </c>
    </row>
    <row r="3">
      <c r="A3" t="inlineStr">
        <is>
          <t>2025-02</t>
        </is>
      </c>
      <c r="B3" t="n">
        <v>471908.34</v>
      </c>
      <c r="C3" t="n">
        <v>31896</v>
      </c>
      <c r="D3" t="n">
        <v>503804.34</v>
      </c>
    </row>
    <row r="4">
      <c r="A4" t="inlineStr">
        <is>
          <t>2025-03</t>
        </is>
      </c>
      <c r="B4" t="n">
        <v>491905.01</v>
      </c>
      <c r="C4" t="n">
        <v>38645</v>
      </c>
      <c r="D4" t="n">
        <v>530550.01</v>
      </c>
    </row>
    <row r="5">
      <c r="A5" t="inlineStr">
        <is>
          <t>2025-04</t>
        </is>
      </c>
      <c r="B5" t="n">
        <v>476258.8</v>
      </c>
      <c r="C5" t="n">
        <v>37404</v>
      </c>
      <c r="D5" t="n">
        <v>513662.8</v>
      </c>
    </row>
    <row r="6">
      <c r="A6" t="inlineStr">
        <is>
          <t>2025-05</t>
        </is>
      </c>
      <c r="B6" t="n">
        <v>500024.31</v>
      </c>
      <c r="C6" t="n">
        <v>35140</v>
      </c>
      <c r="D6" t="n">
        <v>535164.3100000001</v>
      </c>
    </row>
    <row r="7">
      <c r="A7" t="inlineStr">
        <is>
          <t>2025-06</t>
        </is>
      </c>
      <c r="B7" t="n">
        <v>471176.34</v>
      </c>
      <c r="C7" t="n">
        <v>28606</v>
      </c>
      <c r="D7" t="n">
        <v>499782.34</v>
      </c>
    </row>
    <row r="8">
      <c r="A8" t="inlineStr">
        <is>
          <t>2025-07</t>
        </is>
      </c>
      <c r="B8" t="n">
        <v>467498.67</v>
      </c>
      <c r="C8" t="n">
        <v>25839</v>
      </c>
      <c r="D8" t="n">
        <v>493337.67</v>
      </c>
    </row>
    <row r="9">
      <c r="A9" t="inlineStr">
        <is>
          <t>2025-08</t>
        </is>
      </c>
      <c r="B9" t="n">
        <v>453827.51</v>
      </c>
      <c r="C9" t="n">
        <v>31525</v>
      </c>
      <c r="D9" t="n">
        <v>485352.51</v>
      </c>
    </row>
    <row r="10">
      <c r="A10" t="inlineStr">
        <is>
          <t>2025-09</t>
        </is>
      </c>
      <c r="B10" t="n">
        <v>454585.37</v>
      </c>
      <c r="C10" t="n">
        <v>33644</v>
      </c>
      <c r="D10" t="n">
        <v>488229.37</v>
      </c>
    </row>
    <row r="11">
      <c r="A11" t="inlineStr">
        <is>
          <t>2025-10</t>
        </is>
      </c>
      <c r="B11" t="n">
        <v>470121.68</v>
      </c>
      <c r="C11" t="n">
        <v>35450</v>
      </c>
      <c r="D11" t="n">
        <v>505571.68</v>
      </c>
    </row>
    <row r="12">
      <c r="A12" t="inlineStr">
        <is>
          <t>2025-11</t>
        </is>
      </c>
      <c r="B12" t="n">
        <v>484569.55</v>
      </c>
      <c r="C12" t="n">
        <v>32679</v>
      </c>
      <c r="D12" t="n">
        <v>517248.55</v>
      </c>
    </row>
    <row r="13">
      <c r="A13" t="inlineStr">
        <is>
          <t>2025-12</t>
        </is>
      </c>
      <c r="B13" t="n">
        <v>538489.28</v>
      </c>
      <c r="C13" t="n">
        <v>35035</v>
      </c>
      <c r="D13" t="n">
        <v>573524.28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month</t>
        </is>
      </c>
      <c r="B1" t="inlineStr">
        <is>
          <t>CIMAF</t>
        </is>
      </c>
      <c r="C1" t="inlineStr">
        <is>
          <t>CIMENCAM</t>
        </is>
      </c>
      <c r="D1" t="inlineStr">
        <is>
          <t>DANGOTE</t>
        </is>
      </c>
      <c r="E1" t="inlineStr">
        <is>
          <t>ALUCAM</t>
        </is>
      </c>
      <c r="F1" t="inlineStr">
        <is>
          <t>PROMETAL</t>
        </is>
      </c>
      <c r="G1" t="inlineStr">
        <is>
          <t>HT customers total</t>
        </is>
      </c>
    </row>
    <row r="2">
      <c r="A2" t="inlineStr">
        <is>
          <t>2025-01</t>
        </is>
      </c>
      <c r="B2" t="n">
        <v>2599.9</v>
      </c>
      <c r="C2" t="n">
        <v>4549.85</v>
      </c>
      <c r="D2" t="n">
        <v>4802.54</v>
      </c>
      <c r="E2" t="n">
        <v>29273</v>
      </c>
      <c r="F2" t="n">
        <v>0</v>
      </c>
      <c r="G2" t="n">
        <v>41225.29</v>
      </c>
    </row>
    <row r="3">
      <c r="A3" t="inlineStr">
        <is>
          <t>2025-02</t>
        </is>
      </c>
      <c r="B3" t="n">
        <v>2743.82</v>
      </c>
      <c r="C3" t="n">
        <v>4685.57</v>
      </c>
      <c r="D3" t="n">
        <v>4805.33</v>
      </c>
      <c r="E3" t="n">
        <v>18911</v>
      </c>
      <c r="F3" t="n">
        <v>5009.95</v>
      </c>
      <c r="G3" t="n">
        <v>36155.67</v>
      </c>
    </row>
    <row r="4">
      <c r="A4" t="inlineStr">
        <is>
          <t>2025-03</t>
        </is>
      </c>
      <c r="B4" t="n">
        <v>3133.17</v>
      </c>
      <c r="C4" t="n">
        <v>5181</v>
      </c>
      <c r="D4" t="n">
        <v>4996.53</v>
      </c>
      <c r="E4" t="n">
        <v>17660</v>
      </c>
      <c r="F4" t="n">
        <v>14495.21</v>
      </c>
      <c r="G4" t="n">
        <v>45465.91</v>
      </c>
    </row>
    <row r="5">
      <c r="A5" t="inlineStr">
        <is>
          <t>2025-04</t>
        </is>
      </c>
      <c r="B5" t="n">
        <v>2939.77</v>
      </c>
      <c r="C5" t="n">
        <v>4749.67</v>
      </c>
      <c r="D5" t="n">
        <v>4694.65</v>
      </c>
      <c r="E5" t="n">
        <v>15884</v>
      </c>
      <c r="F5" t="n">
        <v>14190.29</v>
      </c>
      <c r="G5" t="n">
        <v>42458.38</v>
      </c>
    </row>
    <row r="6">
      <c r="A6" t="inlineStr">
        <is>
          <t>2025-05</t>
        </is>
      </c>
      <c r="B6" t="n">
        <v>2809.44</v>
      </c>
      <c r="C6" t="n">
        <v>4960.43</v>
      </c>
      <c r="D6" t="n">
        <v>4435.9</v>
      </c>
      <c r="E6" t="n">
        <v>18751</v>
      </c>
      <c r="F6" t="n">
        <v>15127.91</v>
      </c>
      <c r="G6" t="n">
        <v>46084.68</v>
      </c>
    </row>
    <row r="7">
      <c r="A7" t="inlineStr">
        <is>
          <t>2025-06</t>
        </is>
      </c>
      <c r="B7" t="n">
        <v>3155.15</v>
      </c>
      <c r="C7" t="n">
        <v>4580.21</v>
      </c>
      <c r="D7" t="n">
        <v>4637.4</v>
      </c>
      <c r="E7" t="n">
        <v>21683</v>
      </c>
      <c r="F7" t="n">
        <v>14124.32</v>
      </c>
      <c r="G7" t="n">
        <v>48180.08</v>
      </c>
    </row>
    <row r="8">
      <c r="A8" t="inlineStr">
        <is>
          <t>2025-07</t>
        </is>
      </c>
      <c r="B8" t="n">
        <v>3141.77</v>
      </c>
      <c r="C8" t="n">
        <v>4466.3</v>
      </c>
      <c r="D8" t="n">
        <v>4080.26</v>
      </c>
      <c r="E8" t="n">
        <v>24814</v>
      </c>
      <c r="F8" t="n">
        <v>15478.51</v>
      </c>
      <c r="G8" t="n">
        <v>51980.84</v>
      </c>
    </row>
    <row r="9">
      <c r="A9" t="inlineStr">
        <is>
          <t>2025-08</t>
        </is>
      </c>
      <c r="B9" t="n">
        <v>3230.67</v>
      </c>
      <c r="C9" t="n">
        <v>5162.67</v>
      </c>
      <c r="D9" t="n">
        <v>3380.66</v>
      </c>
      <c r="E9" t="n">
        <v>22572</v>
      </c>
      <c r="F9" t="n">
        <v>15275.14</v>
      </c>
      <c r="G9" t="n">
        <v>49621.14</v>
      </c>
    </row>
    <row r="10">
      <c r="A10" t="inlineStr">
        <is>
          <t>2025-09</t>
        </is>
      </c>
      <c r="B10" t="n">
        <v>3159.28</v>
      </c>
      <c r="C10" t="n">
        <v>4532.09</v>
      </c>
      <c r="D10" t="n">
        <v>3477.33</v>
      </c>
      <c r="E10" t="n">
        <v>22507</v>
      </c>
      <c r="F10" t="n">
        <v>14710.27</v>
      </c>
      <c r="G10" t="n">
        <v>48385.97</v>
      </c>
    </row>
    <row r="11">
      <c r="A11" t="inlineStr">
        <is>
          <t>2025-10</t>
        </is>
      </c>
      <c r="B11" t="n">
        <v>2139.18</v>
      </c>
      <c r="C11" t="n">
        <v>3133.87</v>
      </c>
      <c r="D11" t="n">
        <v>2970.41</v>
      </c>
      <c r="E11" t="n">
        <v>24941</v>
      </c>
      <c r="F11" t="n">
        <v>12680.71</v>
      </c>
      <c r="G11" t="n">
        <v>45865.17</v>
      </c>
    </row>
    <row r="12">
      <c r="A12" t="inlineStr">
        <is>
          <t>2025-11</t>
        </is>
      </c>
      <c r="B12" t="n">
        <v>2909.93</v>
      </c>
      <c r="C12" t="n">
        <v>3351.35</v>
      </c>
      <c r="D12" t="n">
        <v>3908.87</v>
      </c>
      <c r="E12" t="n">
        <v>28359</v>
      </c>
      <c r="F12" t="n">
        <v>10494.35</v>
      </c>
      <c r="G12" t="n">
        <v>49023.5</v>
      </c>
    </row>
    <row r="13">
      <c r="A13" t="inlineStr">
        <is>
          <t>2025-12</t>
        </is>
      </c>
      <c r="B13" t="n">
        <v>2740.4</v>
      </c>
      <c r="C13" t="n">
        <v>3495.38</v>
      </c>
      <c r="D13" t="n">
        <v>4024.7</v>
      </c>
      <c r="E13" t="n">
        <v>34323</v>
      </c>
      <c r="F13" t="n">
        <v>12255.67</v>
      </c>
      <c r="G13" t="n">
        <v>56839.15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month</t>
        </is>
      </c>
      <c r="B1" t="inlineStr">
        <is>
          <t>Centrales parsed (MWh)</t>
        </is>
      </c>
      <c r="C1" t="inlineStr">
        <is>
          <t>Centrales printed total (MWh)</t>
        </is>
      </c>
      <c r="D1" t="inlineStr">
        <is>
          <t>IPP parsed (MWh)</t>
        </is>
      </c>
      <c r="E1" t="inlineStr">
        <is>
          <t>IPP printed total (MWh)</t>
        </is>
      </c>
      <c r="F1" t="inlineStr">
        <is>
          <t>HT customers parsed (MWh)</t>
        </is>
      </c>
      <c r="G1" t="inlineStr">
        <is>
          <t>HT customers printed total (MWh)</t>
        </is>
      </c>
      <c r="H1" t="inlineStr">
        <is>
          <t>Centrales check</t>
        </is>
      </c>
      <c r="I1" t="inlineStr">
        <is>
          <t>IPP check</t>
        </is>
      </c>
      <c r="J1" t="inlineStr">
        <is>
          <t>HT customers check</t>
        </is>
      </c>
    </row>
    <row r="2">
      <c r="A2" t="inlineStr">
        <is>
          <t>2025-01</t>
        </is>
      </c>
      <c r="B2" t="n">
        <v>372847.38</v>
      </c>
      <c r="C2" t="n">
        <v>372847.38</v>
      </c>
      <c r="D2" t="n">
        <v>276181.545</v>
      </c>
      <c r="E2" t="n">
        <v>276181.54</v>
      </c>
      <c r="F2" t="n">
        <v>41225.29</v>
      </c>
      <c r="G2" t="n">
        <v>41225.28</v>
      </c>
      <c r="H2" t="inlineStr">
        <is>
          <t>ok</t>
        </is>
      </c>
      <c r="I2" t="inlineStr">
        <is>
          <t>ok</t>
        </is>
      </c>
      <c r="J2" t="inlineStr">
        <is>
          <t>ok</t>
        </is>
      </c>
    </row>
    <row r="3">
      <c r="A3" t="inlineStr">
        <is>
          <t>2025-02</t>
        </is>
      </c>
      <c r="B3" t="n">
        <v>335778.17</v>
      </c>
      <c r="C3" t="n">
        <v>335778.17</v>
      </c>
      <c r="D3" t="n">
        <v>241462.164</v>
      </c>
      <c r="E3" t="n">
        <v>241462.17</v>
      </c>
      <c r="F3" t="n">
        <v>36155.67</v>
      </c>
      <c r="G3" t="n">
        <v>36155.67</v>
      </c>
      <c r="H3" t="inlineStr">
        <is>
          <t>ok</t>
        </is>
      </c>
      <c r="I3" t="inlineStr">
        <is>
          <t>ok</t>
        </is>
      </c>
      <c r="J3" t="inlineStr">
        <is>
          <t>ok</t>
        </is>
      </c>
    </row>
    <row r="4">
      <c r="A4" t="inlineStr">
        <is>
          <t>2025-03</t>
        </is>
      </c>
      <c r="B4" t="n">
        <v>329071.53</v>
      </c>
      <c r="C4" t="n">
        <v>329071.52</v>
      </c>
      <c r="D4" t="n">
        <v>288560.384</v>
      </c>
      <c r="E4" t="n">
        <v>288560.39</v>
      </c>
      <c r="F4" t="n">
        <v>45465.91</v>
      </c>
      <c r="G4" t="n">
        <v>45465.91</v>
      </c>
      <c r="H4" t="inlineStr">
        <is>
          <t>ok</t>
        </is>
      </c>
      <c r="I4" t="inlineStr">
        <is>
          <t>ok</t>
        </is>
      </c>
      <c r="J4" t="inlineStr">
        <is>
          <t>ok</t>
        </is>
      </c>
    </row>
    <row r="5">
      <c r="A5" t="inlineStr">
        <is>
          <t>2025-04</t>
        </is>
      </c>
      <c r="B5" t="n">
        <v>330632.6</v>
      </c>
      <c r="C5" t="n">
        <v>330632.6</v>
      </c>
      <c r="D5" t="n">
        <v>268326.97</v>
      </c>
      <c r="E5" t="n">
        <v>268326.97</v>
      </c>
      <c r="F5" t="n">
        <v>42458.38</v>
      </c>
      <c r="G5" t="n">
        <v>42458.39</v>
      </c>
      <c r="H5" t="inlineStr">
        <is>
          <t>ok</t>
        </is>
      </c>
      <c r="I5" t="inlineStr">
        <is>
          <t>ok</t>
        </is>
      </c>
      <c r="J5" t="inlineStr">
        <is>
          <t>ok</t>
        </is>
      </c>
    </row>
    <row r="6">
      <c r="A6" t="inlineStr">
        <is>
          <t>2025-05</t>
        </is>
      </c>
      <c r="B6" t="n">
        <v>333795.85</v>
      </c>
      <c r="C6" t="n">
        <v>333795.85</v>
      </c>
      <c r="D6" t="n">
        <v>280750.024</v>
      </c>
      <c r="E6" t="n">
        <v>280750.02</v>
      </c>
      <c r="F6" t="n">
        <v>46084.68</v>
      </c>
      <c r="G6" t="n">
        <v>46084.67</v>
      </c>
      <c r="H6" t="inlineStr">
        <is>
          <t>ok</t>
        </is>
      </c>
      <c r="I6" t="inlineStr">
        <is>
          <t>ok</t>
        </is>
      </c>
      <c r="J6" t="inlineStr">
        <is>
          <t>ok</t>
        </is>
      </c>
    </row>
    <row r="7">
      <c r="A7" t="inlineStr">
        <is>
          <t>2025-06</t>
        </is>
      </c>
      <c r="B7" t="n">
        <v>330049.44</v>
      </c>
      <c r="C7" t="n">
        <v>330049.45</v>
      </c>
      <c r="D7" t="n">
        <v>254849.705</v>
      </c>
      <c r="E7" t="n">
        <v>254849.71</v>
      </c>
      <c r="F7" t="n">
        <v>48180.08</v>
      </c>
      <c r="G7" t="n">
        <v>48180.08</v>
      </c>
      <c r="H7" t="inlineStr">
        <is>
          <t>ok</t>
        </is>
      </c>
      <c r="I7" t="inlineStr">
        <is>
          <t>ok</t>
        </is>
      </c>
      <c r="J7" t="inlineStr">
        <is>
          <t>ok</t>
        </is>
      </c>
    </row>
    <row r="8">
      <c r="A8" t="inlineStr">
        <is>
          <t>2025-07</t>
        </is>
      </c>
      <c r="B8" t="n">
        <v>313781.23</v>
      </c>
      <c r="C8" t="n">
        <v>313781.22</v>
      </c>
      <c r="D8" t="n">
        <v>259062.439</v>
      </c>
      <c r="E8" t="n">
        <v>259062.44</v>
      </c>
      <c r="F8" t="n">
        <v>51980.84</v>
      </c>
      <c r="H8" t="inlineStr">
        <is>
          <t>ok</t>
        </is>
      </c>
      <c r="I8" t="inlineStr">
        <is>
          <t>ok</t>
        </is>
      </c>
      <c r="J8" t="inlineStr">
        <is>
          <t>ok</t>
        </is>
      </c>
    </row>
    <row r="9">
      <c r="A9" t="inlineStr">
        <is>
          <t>2025-08</t>
        </is>
      </c>
      <c r="B9" t="n">
        <v>302089.29</v>
      </c>
      <c r="C9" t="n">
        <v>302089.29</v>
      </c>
      <c r="D9" t="n">
        <v>268629.843</v>
      </c>
      <c r="E9" t="n">
        <v>268629.84</v>
      </c>
      <c r="F9" t="n">
        <v>49621.14</v>
      </c>
      <c r="H9" t="inlineStr">
        <is>
          <t>ok</t>
        </is>
      </c>
      <c r="I9" t="inlineStr">
        <is>
          <t>ok</t>
        </is>
      </c>
      <c r="J9" t="inlineStr">
        <is>
          <t>ok</t>
        </is>
      </c>
    </row>
    <row r="10">
      <c r="A10" t="inlineStr">
        <is>
          <t>2025-09</t>
        </is>
      </c>
      <c r="B10" t="n">
        <v>316851.37</v>
      </c>
      <c r="C10" t="n">
        <v>316851.36</v>
      </c>
      <c r="D10" t="n">
        <v>253348.159</v>
      </c>
      <c r="E10" t="n">
        <v>253348.16</v>
      </c>
      <c r="F10" t="n">
        <v>48385.97</v>
      </c>
      <c r="G10" t="n">
        <v>48385.97</v>
      </c>
      <c r="H10" t="inlineStr">
        <is>
          <t>ok</t>
        </is>
      </c>
      <c r="I10" t="inlineStr">
        <is>
          <t>ok</t>
        </is>
      </c>
      <c r="J10" t="inlineStr">
        <is>
          <t>ok</t>
        </is>
      </c>
    </row>
    <row r="11">
      <c r="A11" t="inlineStr">
        <is>
          <t>2025-10</t>
        </is>
      </c>
      <c r="B11" t="n">
        <v>324416.1800000001</v>
      </c>
      <c r="C11" t="n">
        <v>324416.18</v>
      </c>
      <c r="D11" t="n">
        <v>263166.981</v>
      </c>
      <c r="E11" t="n">
        <v>263166.98</v>
      </c>
      <c r="F11" t="n">
        <v>45865.17</v>
      </c>
      <c r="G11" t="n">
        <v>45865.17</v>
      </c>
      <c r="H11" t="inlineStr">
        <is>
          <t>ok</t>
        </is>
      </c>
      <c r="I11" t="inlineStr">
        <is>
          <t>ok</t>
        </is>
      </c>
      <c r="J11" t="inlineStr">
        <is>
          <t>ok</t>
        </is>
      </c>
    </row>
    <row r="12">
      <c r="A12" t="inlineStr">
        <is>
          <t>2025-11</t>
        </is>
      </c>
      <c r="B12" t="n">
        <v>328711.26</v>
      </c>
      <c r="C12" t="n">
        <v>328711.25</v>
      </c>
      <c r="D12" t="n">
        <v>272985.559</v>
      </c>
      <c r="E12" t="n">
        <v>272985.55</v>
      </c>
      <c r="F12" t="n">
        <v>49023.5</v>
      </c>
      <c r="G12" t="n">
        <v>49023.51</v>
      </c>
      <c r="H12" t="inlineStr">
        <is>
          <t>ok</t>
        </is>
      </c>
      <c r="I12" t="inlineStr">
        <is>
          <t>ok</t>
        </is>
      </c>
      <c r="J12" t="inlineStr">
        <is>
          <t>ok</t>
        </is>
      </c>
    </row>
    <row r="13">
      <c r="A13" t="inlineStr">
        <is>
          <t>2025-12</t>
        </is>
      </c>
      <c r="B13" t="n">
        <v>364639.59</v>
      </c>
      <c r="C13" t="n">
        <v>364639.59</v>
      </c>
      <c r="D13" t="n">
        <v>313179.352</v>
      </c>
      <c r="E13" t="n">
        <v>313179.35</v>
      </c>
      <c r="F13" t="n">
        <v>56839.15</v>
      </c>
      <c r="G13" t="n">
        <v>56839.16</v>
      </c>
      <c r="H13" t="inlineStr">
        <is>
          <t>ok</t>
        </is>
      </c>
      <c r="I13" t="inlineStr">
        <is>
          <t>ok</t>
        </is>
      </c>
      <c r="J13" t="inlineStr">
        <is>
          <t>ok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month</t>
        </is>
      </c>
      <c r="B1" t="inlineStr">
        <is>
          <t>url</t>
        </is>
      </c>
      <c r="C1" t="inlineStr">
        <is>
          <t>bytes</t>
        </is>
      </c>
      <c r="D1" t="inlineStr">
        <is>
          <t>last_modified</t>
        </is>
      </c>
      <c r="E1" t="inlineStr">
        <is>
          <t>listing_modified</t>
        </is>
      </c>
    </row>
    <row r="2">
      <c r="A2" t="inlineStr">
        <is>
          <t>2025-01</t>
        </is>
      </c>
      <c r="B2" t="inlineStr">
        <is>
          <t>https://arsel-cm.org/wp-content/uploads/2026/02/PV-de-validation-du-bilan-e-nergetique-Janvier-2025.pdf</t>
        </is>
      </c>
      <c r="C2" t="n">
        <v>2074048</v>
      </c>
      <c r="D2" t="inlineStr">
        <is>
          <t>Tue, 17 Feb 2026 18:31:20 GMT</t>
        </is>
      </c>
      <c r="E2" t="inlineStr">
        <is>
          <t>2026-02-11T15:58:42</t>
        </is>
      </c>
    </row>
    <row r="3">
      <c r="A3" t="inlineStr">
        <is>
          <t>2025-02</t>
        </is>
      </c>
      <c r="B3" t="inlineStr">
        <is>
          <t>https://arsel-cm.org/wp-content/uploads/2026/02/PV-de-validation-du-bilan-e-nergetique-Fevrier-2025.pdf</t>
        </is>
      </c>
      <c r="C3" t="n">
        <v>2174609</v>
      </c>
      <c r="D3" t="inlineStr">
        <is>
          <t>Tue, 17 Feb 2026 18:31:16 GMT</t>
        </is>
      </c>
      <c r="E3" t="inlineStr">
        <is>
          <t>2026-02-11T15:58:56</t>
        </is>
      </c>
    </row>
    <row r="4">
      <c r="A4" t="inlineStr">
        <is>
          <t>2025-03</t>
        </is>
      </c>
      <c r="B4" t="inlineStr">
        <is>
          <t>https://arsel-cm.org/wp-content/uploads/2026/02/PV-de-validation-du-bilan-energetique-Mars-2025.pdf</t>
        </is>
      </c>
      <c r="C4" t="n">
        <v>2404621</v>
      </c>
      <c r="D4" t="inlineStr">
        <is>
          <t>Tue, 17 Feb 2026 18:32:11 GMT</t>
        </is>
      </c>
      <c r="E4" t="inlineStr">
        <is>
          <t>2026-02-11T15:59:25</t>
        </is>
      </c>
    </row>
    <row r="5">
      <c r="A5" t="inlineStr">
        <is>
          <t>2025-04</t>
        </is>
      </c>
      <c r="B5" t="inlineStr">
        <is>
          <t>https://arsel-cm.org/wp-content/uploads/2026/02/PV-de-validation-du-bilan-ener-getique-Avril-2025_V2_GOOD.pdf</t>
        </is>
      </c>
      <c r="C5" t="n">
        <v>2324105</v>
      </c>
      <c r="D5" t="inlineStr">
        <is>
          <t>Tue, 17 Feb 2026 18:31:58 GMT</t>
        </is>
      </c>
      <c r="E5" t="inlineStr">
        <is>
          <t>2026-02-11T15:59:45</t>
        </is>
      </c>
    </row>
    <row r="6">
      <c r="A6" t="inlineStr">
        <is>
          <t>2025-05</t>
        </is>
      </c>
      <c r="B6" t="inlineStr">
        <is>
          <t>https://arsel-cm.org/wp-content/uploads/2026/02/PV-de-validation-du-bilan-energetique-Mai-2025.pdf</t>
        </is>
      </c>
      <c r="C6" t="n">
        <v>2259358</v>
      </c>
      <c r="D6" t="inlineStr">
        <is>
          <t>Tue, 17 Feb 2026 18:32:05 GMT</t>
        </is>
      </c>
      <c r="E6" t="inlineStr">
        <is>
          <t>2026-02-11T16:00:07</t>
        </is>
      </c>
    </row>
    <row r="7">
      <c r="A7" t="inlineStr">
        <is>
          <t>2025-06</t>
        </is>
      </c>
      <c r="B7" t="inlineStr">
        <is>
          <t>https://arsel-cm.org/wp-content/uploads/2026/02/PV-de-validation-du-bilan-en-ergetique-Juin-2025_BON.pdf</t>
        </is>
      </c>
      <c r="C7" t="n">
        <v>2239541</v>
      </c>
      <c r="D7" t="inlineStr">
        <is>
          <t>Tue, 17 Feb 2026 18:31:36 GMT</t>
        </is>
      </c>
      <c r="E7" t="inlineStr">
        <is>
          <t>2026-02-11T16:01:00</t>
        </is>
      </c>
    </row>
    <row r="8">
      <c r="A8" t="inlineStr">
        <is>
          <t>2025-07</t>
        </is>
      </c>
      <c r="B8" t="inlineStr">
        <is>
          <t>https://arsel-cm.org/wp-content/uploads/2026/02/PV-de-validation-du-bilan-e-nergetique-Juillet-2025.pdf</t>
        </is>
      </c>
      <c r="C8" t="n">
        <v>2207975</v>
      </c>
      <c r="D8" t="inlineStr">
        <is>
          <t>Tue, 17 Feb 2026 18:31:26 GMT</t>
        </is>
      </c>
      <c r="E8" t="inlineStr">
        <is>
          <t>2026-02-11T15:58:13</t>
        </is>
      </c>
    </row>
    <row r="9">
      <c r="A9" t="inlineStr">
        <is>
          <t>2025-08</t>
        </is>
      </c>
      <c r="B9" t="inlineStr">
        <is>
          <t>https://arsel-cm.org/wp-content/uploads/2026/02/PV-de-validation-du-bilan-energetique-Aout-2025.pdf</t>
        </is>
      </c>
      <c r="C9" t="n">
        <v>2291058</v>
      </c>
      <c r="D9" t="inlineStr">
        <is>
          <t>Tue, 17 Feb 2026 18:31:59 GMT</t>
        </is>
      </c>
      <c r="E9" t="inlineStr">
        <is>
          <t>2026-02-11T15:59:10</t>
        </is>
      </c>
    </row>
    <row r="10">
      <c r="A10" t="inlineStr">
        <is>
          <t>2025-09</t>
        </is>
      </c>
      <c r="B10" t="inlineStr">
        <is>
          <t>https://arsel-cm.org/wp-content/uploads/2026/02/PV-de-validation-du-bilan-en-ergetique-Septembre-2025.pdf</t>
        </is>
      </c>
      <c r="C10" t="n">
        <v>2330332</v>
      </c>
      <c r="D10" t="inlineStr">
        <is>
          <t>Tue, 17 Feb 2026 18:31:46 GMT</t>
        </is>
      </c>
      <c r="E10" t="inlineStr">
        <is>
          <t>2026-02-11T16:00:43</t>
        </is>
      </c>
    </row>
    <row r="11">
      <c r="A11" t="inlineStr">
        <is>
          <t>2025-10</t>
        </is>
      </c>
      <c r="B11" t="inlineStr">
        <is>
          <t>https://arsel-cm.org/wp-content/uploads/2026/02/PV-de-validation-du-bilan-ene-rgetique-Octobre-20251.pdf</t>
        </is>
      </c>
      <c r="C11" t="n">
        <v>2275580</v>
      </c>
      <c r="D11" t="inlineStr">
        <is>
          <t>Tue, 17 Feb 2026 18:31:51 GMT</t>
        </is>
      </c>
      <c r="E11" t="inlineStr">
        <is>
          <t>2026-02-11T16:00:27</t>
        </is>
      </c>
    </row>
    <row r="12">
      <c r="A12" t="inlineStr">
        <is>
          <t>2025-11</t>
        </is>
      </c>
      <c r="B12" t="inlineStr">
        <is>
          <t>https://arsel-cm.org/wp-content/uploads/2026/02/PV-de-validation-du-bilan-en-ergetique-Novembre-2025.pdf</t>
        </is>
      </c>
      <c r="C12" t="n">
        <v>2174160</v>
      </c>
      <c r="D12" t="inlineStr">
        <is>
          <t>Tue, 17 Feb 2026 18:31:43 GMT</t>
        </is>
      </c>
      <c r="E12" t="inlineStr">
        <is>
          <t>2026-02-11T15:57:58</t>
        </is>
      </c>
    </row>
    <row r="13">
      <c r="A13" t="inlineStr">
        <is>
          <t>2025-12</t>
        </is>
      </c>
      <c r="B13" t="inlineStr">
        <is>
          <t>https://arsel-cm.org/wp-content/uploads/2026/02/PV-de-validation-du-bilan-en-ergetique-Decembre-2025.pdf</t>
        </is>
      </c>
      <c r="C13" t="n">
        <v>2232766</v>
      </c>
      <c r="D13" t="inlineStr">
        <is>
          <t>Tue, 17 Feb 2026 18:31:31 GMT</t>
        </is>
      </c>
      <c r="E13" t="inlineStr">
        <is>
          <t>2026-02-11T15:58:28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2026-10-28T01:13:16Z</dcterms:created>
  <dcterms:modified xsi:type="dcterms:W3CDTF">2026-10-28T01:13:17Z</dcterms:modified>
</cp:coreProperties>
</file>