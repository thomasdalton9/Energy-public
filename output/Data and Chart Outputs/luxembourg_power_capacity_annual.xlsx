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Net additions" sheetId="3" state="visible" r:id="rId3"/>
    <sheet name="Monthly" sheetId="4" state="visible" r:id="rId4"/>
    <sheet name="Check" sheetId="5" state="visible" r:id="rId5"/>
    <sheet name="Cross-check Energy-Charts" sheetId="6" state="visible" r:id="rId6"/>
    <sheet name="Relea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Luxembourg installed generating capacity, year end (ILR, annual only) (to 2025)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'Chart'!$A$2:$A$5</f>
            </numRef>
          </cat>
          <val>
            <numRef>
              <f>'Chart'!$B$2:$B$5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'Chart'!$A$2:$A$5</f>
            </numRef>
          </cat>
          <val>
            <numRef>
              <f>'Chart'!$C$2:$C$5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'Chart'!$A$2:$A$5</f>
            </numRef>
          </cat>
          <val>
            <numRef>
              <f>'Chart'!$D$2:$D$5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'Chart'!$A$2:$A$5</f>
            </numRef>
          </cat>
          <val>
            <numRef>
              <f>'Chart'!$E$2:$E$5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'Chart'!$A$2:$A$5</f>
            </numRef>
          </cat>
          <val>
            <numRef>
              <f>'Chart'!$F$2:$F$5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'Chart'!$A$2:$A$5</f>
            </numRef>
          </cat>
          <val>
            <numRef>
              <f>'Chart'!$G$2:$G$5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 (year end)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Luxembourg net solar and wind capacity additions per year (to 2025)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Net additions'!B1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Net additions'!$A$2:$A$4</f>
            </numRef>
          </cat>
          <val>
            <numRef>
              <f>'Chart - Net additions'!$B$2:$B$4</f>
            </numRef>
          </val>
        </ser>
        <ser>
          <idx val="1"/>
          <order val="1"/>
          <tx>
            <strRef>
              <f>'Chart - Net additions'!C1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Net additions'!$A$2:$A$4</f>
            </numRef>
          </cat>
          <val>
            <numRef>
              <f>'Chart - Net additions'!$C$2:$C$4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added per year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MW installed at the END of each year (ILR 'puissance installee par source d'energie', kW / 1000); the row dated 1 January Y holds end-of-year Y capacity. ANNUAL ONLY, 2022 onward: no monthly source exists.</t>
        </is>
      </c>
    </row>
    <row r="4"/>
    <row r="5">
      <c r="A5" s="1" t="inlineStr">
        <is>
          <t>SOURCE</t>
        </is>
      </c>
    </row>
    <row r="6">
      <c r="A6" t="inlineStr">
        <is>
          <t>ILR, 'Donnees statistiques du secteur d'electricite', data.public.lu (donnees-statistiques-du-secteur-delectricite-ilr), sheet '2. Production'. Licence CC BY 4.0.</t>
        </is>
      </c>
    </row>
    <row r="7"/>
    <row r="8">
      <c r="A8" s="1" t="inlineStr">
        <is>
          <t>COVERAGE</t>
        </is>
      </c>
    </row>
    <row r="9">
      <c r="A9" t="inlineStr">
        <is>
          <t>Hydro, Photovoltaic -&gt; Solar, Wind, Biogas + Biomass -&gt; Bioenergy, natural-gas cogeneration -&gt; Gas, waste incineration -&gt; Other. The Vianden pumped-storage plant (about 1.3 GW) is NOT in ILR's production table; there is no Luxembourg-only ENTSO-E series (Luxembourg is in the DE-LU zone).</t>
        </is>
      </c>
    </row>
    <row r="10"/>
    <row r="11">
      <c r="A11" s="1" t="inlineStr">
        <is>
          <t>VALIDATION</t>
        </is>
      </c>
    </row>
    <row r="12">
      <c r="A12" t="inlineStr">
        <is>
          <t>'Check' compares the sum of the mapped sources with ILR's own total row; 'Cross-check Energy-Charts' lists Fraunhofer ISE's yearly Luxembourg figures (FALLBACK reference only).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Bioenergy</t>
        </is>
      </c>
      <c r="G1" t="inlineStr">
        <is>
          <t>Other</t>
        </is>
      </c>
    </row>
    <row r="2">
      <c r="A2" s="3" t="n">
        <v>44562</v>
      </c>
      <c r="B2" t="n">
        <v>0.034</v>
      </c>
      <c r="C2" t="n">
        <v>0.081</v>
      </c>
      <c r="D2" t="n">
        <v>0.166</v>
      </c>
      <c r="E2" t="n">
        <v>0.317</v>
      </c>
      <c r="F2" t="n">
        <v>0.047</v>
      </c>
      <c r="G2" t="n">
        <v>0.021</v>
      </c>
    </row>
    <row r="3">
      <c r="A3" s="3" t="n">
        <v>44927</v>
      </c>
      <c r="B3" t="n">
        <v>0.034</v>
      </c>
      <c r="C3" t="n">
        <v>0.075</v>
      </c>
      <c r="D3" t="n">
        <v>0.208</v>
      </c>
      <c r="E3" t="n">
        <v>0.394</v>
      </c>
      <c r="F3" t="n">
        <v>0.08400000000000001</v>
      </c>
      <c r="G3" t="n">
        <v>0.021</v>
      </c>
    </row>
    <row r="4">
      <c r="A4" s="3" t="n">
        <v>45292</v>
      </c>
      <c r="B4" t="n">
        <v>0.033994</v>
      </c>
      <c r="C4" t="n">
        <v>0.0712228</v>
      </c>
      <c r="D4" t="n">
        <v>0.21373577</v>
      </c>
      <c r="E4" t="n">
        <v>0.5497969380000001</v>
      </c>
      <c r="F4" t="n">
        <v>0.084845</v>
      </c>
      <c r="G4" t="n">
        <v>0.021328</v>
      </c>
    </row>
    <row r="5">
      <c r="A5" s="3" t="n">
        <v>45658</v>
      </c>
      <c r="B5" t="n">
        <v>0.034042</v>
      </c>
      <c r="C5" t="n">
        <v>0.059676</v>
      </c>
      <c r="D5" t="n">
        <v>0.23071577</v>
      </c>
      <c r="E5" t="n">
        <v>0.7463538129999999</v>
      </c>
      <c r="F5" t="n">
        <v>0.08520500000000002</v>
      </c>
      <c r="G5" t="n">
        <v>0.021328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Solar</t>
        </is>
      </c>
      <c r="C1" t="inlineStr">
        <is>
          <t>Wind</t>
        </is>
      </c>
    </row>
    <row r="2">
      <c r="A2" s="3" t="n">
        <v>44927</v>
      </c>
      <c r="B2" t="n">
        <v>0.077</v>
      </c>
      <c r="C2" t="n">
        <v>0.042</v>
      </c>
    </row>
    <row r="3">
      <c r="A3" s="3" t="n">
        <v>45292</v>
      </c>
      <c r="B3" t="n">
        <v>0.1557969380000001</v>
      </c>
      <c r="C3" t="n">
        <v>0.005735770000000002</v>
      </c>
    </row>
    <row r="4">
      <c r="A4" s="3" t="n">
        <v>45658</v>
      </c>
      <c r="B4" t="n">
        <v>0.1965568749999999</v>
      </c>
      <c r="C4" t="n">
        <v>0.01697999999999999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PumpedStorage_MW</t>
        </is>
      </c>
      <c r="M1" t="inlineStr">
        <is>
          <t>Storage_MW</t>
        </is>
      </c>
      <c r="N1" t="inlineStr">
        <is>
          <t>Wind_Onshore_MW</t>
        </is>
      </c>
      <c r="O1" t="inlineStr">
        <is>
          <t>Wind_Offshore_MW</t>
        </is>
      </c>
    </row>
    <row r="2">
      <c r="A2" s="4" t="n">
        <v>44562</v>
      </c>
      <c r="B2" t="n">
        <v>34</v>
      </c>
      <c r="C2" t="n">
        <v>81</v>
      </c>
      <c r="D2" t="n">
        <v>166</v>
      </c>
      <c r="E2" t="n">
        <v>317</v>
      </c>
      <c r="I2" t="n">
        <v>47</v>
      </c>
      <c r="J2" t="n">
        <v>21</v>
      </c>
      <c r="K2" t="n">
        <v>666</v>
      </c>
    </row>
    <row r="3">
      <c r="A3" s="4" t="n">
        <v>44927</v>
      </c>
      <c r="B3" t="n">
        <v>34</v>
      </c>
      <c r="C3" t="n">
        <v>75</v>
      </c>
      <c r="D3" t="n">
        <v>208</v>
      </c>
      <c r="E3" t="n">
        <v>394</v>
      </c>
      <c r="I3" t="n">
        <v>84</v>
      </c>
      <c r="J3" t="n">
        <v>21</v>
      </c>
      <c r="K3" t="n">
        <v>816</v>
      </c>
    </row>
    <row r="4">
      <c r="A4" s="4" t="n">
        <v>45292</v>
      </c>
      <c r="B4" t="n">
        <v>33.994</v>
      </c>
      <c r="C4" t="n">
        <v>71.22280000000001</v>
      </c>
      <c r="D4" t="n">
        <v>213.73577</v>
      </c>
      <c r="E4" t="n">
        <v>549.7969380000001</v>
      </c>
      <c r="I4" t="n">
        <v>84.845</v>
      </c>
      <c r="J4" t="n">
        <v>21.328</v>
      </c>
      <c r="K4" t="n">
        <v>974.9225080000001</v>
      </c>
    </row>
    <row r="5">
      <c r="A5" s="4" t="n">
        <v>45658</v>
      </c>
      <c r="B5" t="n">
        <v>34.042</v>
      </c>
      <c r="C5" t="n">
        <v>59.676</v>
      </c>
      <c r="D5" t="n">
        <v>230.71577</v>
      </c>
      <c r="E5" t="n">
        <v>746.3538129999999</v>
      </c>
      <c r="I5" t="n">
        <v>85.20500000000001</v>
      </c>
      <c r="J5" t="n">
        <v>21.328</v>
      </c>
      <c r="K5" t="n">
        <v>1177.320583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Sum of sources (MW)</t>
        </is>
      </c>
      <c r="C1" t="inlineStr">
        <is>
          <t>ILR 'Total' row (MW)</t>
        </is>
      </c>
    </row>
    <row r="2">
      <c r="A2" s="4" t="n">
        <v>44562</v>
      </c>
      <c r="B2" t="n">
        <v>666</v>
      </c>
      <c r="C2" t="n">
        <v>666</v>
      </c>
    </row>
    <row r="3">
      <c r="A3" s="4" t="n">
        <v>44927</v>
      </c>
      <c r="B3" t="n">
        <v>816</v>
      </c>
      <c r="C3" t="n">
        <v>816</v>
      </c>
    </row>
    <row r="4">
      <c r="A4" s="4" t="n">
        <v>45292</v>
      </c>
      <c r="B4" t="n">
        <v>974.9</v>
      </c>
      <c r="C4" t="n">
        <v>974.9</v>
      </c>
    </row>
    <row r="5">
      <c r="A5" s="4" t="n">
        <v>45658</v>
      </c>
      <c r="B5" t="n">
        <v>1177.3</v>
      </c>
      <c r="C5" t="n">
        <v>1177.3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Type</t>
        </is>
      </c>
      <c r="D1" t="inlineStr">
        <is>
          <t>Energy-Charts (MW), FALLBACK reference</t>
        </is>
      </c>
    </row>
    <row r="2">
      <c r="A2" t="n">
        <v>0</v>
      </c>
      <c r="B2" t="n">
        <v>2021</v>
      </c>
      <c r="C2" t="inlineStr">
        <is>
          <t>Hydro Run-of-River</t>
        </is>
      </c>
      <c r="D2" t="n">
        <v>20</v>
      </c>
    </row>
    <row r="3">
      <c r="A3" t="n">
        <v>1</v>
      </c>
      <c r="B3" t="n">
        <v>2021</v>
      </c>
      <c r="C3" t="inlineStr">
        <is>
          <t>Biomass</t>
        </is>
      </c>
      <c r="D3" t="n">
        <v>50</v>
      </c>
    </row>
    <row r="4">
      <c r="A4" t="n">
        <v>2</v>
      </c>
      <c r="B4" t="n">
        <v>2021</v>
      </c>
      <c r="C4" t="inlineStr">
        <is>
          <t>Fossil gas</t>
        </is>
      </c>
      <c r="D4" t="n">
        <v>100</v>
      </c>
    </row>
    <row r="5">
      <c r="A5" t="n">
        <v>3</v>
      </c>
      <c r="B5" t="n">
        <v>2021</v>
      </c>
      <c r="C5" t="inlineStr">
        <is>
          <t>Hydro water reservoir</t>
        </is>
      </c>
      <c r="D5" t="n">
        <v>10</v>
      </c>
    </row>
    <row r="6">
      <c r="A6" t="n">
        <v>4</v>
      </c>
      <c r="B6" t="n">
        <v>2021</v>
      </c>
      <c r="C6" t="inlineStr">
        <is>
          <t>Waste</t>
        </is>
      </c>
      <c r="D6" t="n">
        <v>20</v>
      </c>
    </row>
    <row r="7">
      <c r="A7" t="n">
        <v>5</v>
      </c>
      <c r="B7" t="n">
        <v>2021</v>
      </c>
      <c r="C7" t="inlineStr">
        <is>
          <t>Wind onshore</t>
        </is>
      </c>
      <c r="D7" t="n">
        <v>170</v>
      </c>
    </row>
    <row r="8">
      <c r="A8" t="n">
        <v>6</v>
      </c>
      <c r="B8" t="n">
        <v>2021</v>
      </c>
      <c r="C8" t="inlineStr">
        <is>
          <t>Solar AC</t>
        </is>
      </c>
      <c r="D8" t="n">
        <v>260</v>
      </c>
    </row>
    <row r="9">
      <c r="A9" t="n">
        <v>7</v>
      </c>
      <c r="B9" t="n">
        <v>2022</v>
      </c>
      <c r="C9" t="inlineStr">
        <is>
          <t>Hydro Run-of-River</t>
        </is>
      </c>
      <c r="D9" t="n">
        <v>20</v>
      </c>
    </row>
    <row r="10">
      <c r="A10" t="n">
        <v>8</v>
      </c>
      <c r="B10" t="n">
        <v>2022</v>
      </c>
      <c r="C10" t="inlineStr">
        <is>
          <t>Biomass</t>
        </is>
      </c>
      <c r="D10" t="n">
        <v>50</v>
      </c>
    </row>
    <row r="11">
      <c r="A11" t="n">
        <v>9</v>
      </c>
      <c r="B11" t="n">
        <v>2022</v>
      </c>
      <c r="C11" t="inlineStr">
        <is>
          <t>Fossil gas</t>
        </is>
      </c>
      <c r="D11" t="n">
        <v>70</v>
      </c>
    </row>
    <row r="12">
      <c r="A12" t="n">
        <v>10</v>
      </c>
      <c r="B12" t="n">
        <v>2022</v>
      </c>
      <c r="C12" t="inlineStr">
        <is>
          <t>Hydro water reservoir</t>
        </is>
      </c>
      <c r="D12" t="n">
        <v>10</v>
      </c>
    </row>
    <row r="13">
      <c r="A13" t="n">
        <v>11</v>
      </c>
      <c r="B13" t="n">
        <v>2022</v>
      </c>
      <c r="C13" t="inlineStr">
        <is>
          <t>Waste</t>
        </is>
      </c>
      <c r="D13" t="n">
        <v>20</v>
      </c>
    </row>
    <row r="14">
      <c r="A14" t="n">
        <v>12</v>
      </c>
      <c r="B14" t="n">
        <v>2022</v>
      </c>
      <c r="C14" t="inlineStr">
        <is>
          <t>Wind onshore</t>
        </is>
      </c>
      <c r="D14" t="n">
        <v>150</v>
      </c>
    </row>
    <row r="15">
      <c r="A15" t="n">
        <v>13</v>
      </c>
      <c r="B15" t="n">
        <v>2022</v>
      </c>
      <c r="C15" t="inlineStr">
        <is>
          <t>Solar AC</t>
        </is>
      </c>
      <c r="D15" t="n">
        <v>300</v>
      </c>
    </row>
    <row r="16">
      <c r="A16" t="n">
        <v>14</v>
      </c>
      <c r="B16" t="n">
        <v>2023</v>
      </c>
      <c r="C16" t="inlineStr">
        <is>
          <t>Hydro Run-of-River</t>
        </is>
      </c>
      <c r="D16" t="n">
        <v>20</v>
      </c>
    </row>
    <row r="17">
      <c r="A17" t="n">
        <v>15</v>
      </c>
      <c r="B17" t="n">
        <v>2023</v>
      </c>
      <c r="C17" t="inlineStr">
        <is>
          <t>Biomass</t>
        </is>
      </c>
      <c r="D17" t="n">
        <v>80</v>
      </c>
    </row>
    <row r="18">
      <c r="A18" t="n">
        <v>16</v>
      </c>
      <c r="B18" t="n">
        <v>2023</v>
      </c>
      <c r="C18" t="inlineStr">
        <is>
          <t>Fossil gas</t>
        </is>
      </c>
      <c r="D18" t="n">
        <v>70</v>
      </c>
    </row>
    <row r="19">
      <c r="A19" t="n">
        <v>17</v>
      </c>
      <c r="B19" t="n">
        <v>2023</v>
      </c>
      <c r="C19" t="inlineStr">
        <is>
          <t>Hydro water reservoir</t>
        </is>
      </c>
      <c r="D19" t="n">
        <v>10</v>
      </c>
    </row>
    <row r="20">
      <c r="A20" t="n">
        <v>18</v>
      </c>
      <c r="B20" t="n">
        <v>2023</v>
      </c>
      <c r="C20" t="inlineStr">
        <is>
          <t>Waste</t>
        </is>
      </c>
      <c r="D20" t="n">
        <v>20</v>
      </c>
    </row>
    <row r="21">
      <c r="A21" t="n">
        <v>19</v>
      </c>
      <c r="B21" t="n">
        <v>2023</v>
      </c>
      <c r="C21" t="inlineStr">
        <is>
          <t>Wind onshore</t>
        </is>
      </c>
      <c r="D21" t="n">
        <v>210</v>
      </c>
    </row>
    <row r="22">
      <c r="A22" t="n">
        <v>20</v>
      </c>
      <c r="B22" t="n">
        <v>2023</v>
      </c>
      <c r="C22" t="inlineStr">
        <is>
          <t>Solar AC</t>
        </is>
      </c>
      <c r="D22" t="n">
        <v>420</v>
      </c>
    </row>
    <row r="23">
      <c r="A23" t="n">
        <v>21</v>
      </c>
      <c r="B23" t="n">
        <v>2024</v>
      </c>
      <c r="C23" t="inlineStr">
        <is>
          <t>Hydro Run-of-River</t>
        </is>
      </c>
      <c r="D23" t="n">
        <v>20</v>
      </c>
    </row>
    <row r="24">
      <c r="A24" t="n">
        <v>22</v>
      </c>
      <c r="B24" t="n">
        <v>2024</v>
      </c>
      <c r="C24" t="inlineStr">
        <is>
          <t>Biomass</t>
        </is>
      </c>
      <c r="D24" t="n">
        <v>80</v>
      </c>
    </row>
    <row r="25">
      <c r="A25" t="n">
        <v>23</v>
      </c>
      <c r="B25" t="n">
        <v>2024</v>
      </c>
      <c r="C25" t="inlineStr">
        <is>
          <t>Fossil gas</t>
        </is>
      </c>
      <c r="D25" t="n">
        <v>70</v>
      </c>
    </row>
    <row r="26">
      <c r="A26" t="n">
        <v>24</v>
      </c>
      <c r="B26" t="n">
        <v>2024</v>
      </c>
      <c r="C26" t="inlineStr">
        <is>
          <t>Hydro water reservoir</t>
        </is>
      </c>
      <c r="D26" t="n">
        <v>10</v>
      </c>
    </row>
    <row r="27">
      <c r="A27" t="n">
        <v>25</v>
      </c>
      <c r="B27" t="n">
        <v>2024</v>
      </c>
      <c r="C27" t="inlineStr">
        <is>
          <t>Waste</t>
        </is>
      </c>
      <c r="D27" t="n">
        <v>20</v>
      </c>
    </row>
    <row r="28">
      <c r="A28" t="n">
        <v>26</v>
      </c>
      <c r="B28" t="n">
        <v>2024</v>
      </c>
      <c r="C28" t="inlineStr">
        <is>
          <t>Wind onshore</t>
        </is>
      </c>
      <c r="D28" t="n">
        <v>210</v>
      </c>
    </row>
    <row r="29">
      <c r="A29" t="n">
        <v>27</v>
      </c>
      <c r="B29" t="n">
        <v>2024</v>
      </c>
      <c r="C29" t="inlineStr">
        <is>
          <t>Solar AC</t>
        </is>
      </c>
      <c r="D29" t="n">
        <v>540</v>
      </c>
    </row>
    <row r="30">
      <c r="A30" t="n">
        <v>28</v>
      </c>
      <c r="B30" t="n">
        <v>2025</v>
      </c>
      <c r="C30" t="inlineStr">
        <is>
          <t>Hydro Run-of-River</t>
        </is>
      </c>
      <c r="D30" t="n">
        <v>20</v>
      </c>
    </row>
    <row r="31">
      <c r="A31" t="n">
        <v>29</v>
      </c>
      <c r="B31" t="n">
        <v>2025</v>
      </c>
      <c r="C31" t="inlineStr">
        <is>
          <t>Biomass</t>
        </is>
      </c>
      <c r="D31" t="n">
        <v>80</v>
      </c>
    </row>
    <row r="32">
      <c r="A32" t="n">
        <v>30</v>
      </c>
      <c r="B32" t="n">
        <v>2025</v>
      </c>
      <c r="C32" t="inlineStr">
        <is>
          <t>Fossil gas</t>
        </is>
      </c>
      <c r="D32" t="n">
        <v>60</v>
      </c>
    </row>
    <row r="33">
      <c r="A33" t="n">
        <v>31</v>
      </c>
      <c r="B33" t="n">
        <v>2025</v>
      </c>
      <c r="C33" t="inlineStr">
        <is>
          <t>Hydro water reservoir</t>
        </is>
      </c>
      <c r="D33" t="n">
        <v>10</v>
      </c>
    </row>
    <row r="34">
      <c r="A34" t="n">
        <v>32</v>
      </c>
      <c r="B34" t="n">
        <v>2025</v>
      </c>
      <c r="C34" t="inlineStr">
        <is>
          <t>Waste</t>
        </is>
      </c>
      <c r="D34" t="n">
        <v>20</v>
      </c>
    </row>
    <row r="35">
      <c r="A35" t="n">
        <v>33</v>
      </c>
      <c r="B35" t="n">
        <v>2025</v>
      </c>
      <c r="C35" t="inlineStr">
        <is>
          <t>Wind onshore</t>
        </is>
      </c>
      <c r="D35" t="n">
        <v>230</v>
      </c>
    </row>
    <row r="36">
      <c r="A36" t="n">
        <v>34</v>
      </c>
      <c r="B36" t="n">
        <v>2025</v>
      </c>
      <c r="C36" t="inlineStr">
        <is>
          <t>Solar AC</t>
        </is>
      </c>
      <c r="D36" t="n">
        <v>770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File</t>
        </is>
      </c>
      <c r="C1" t="inlineStr">
        <is>
          <t>Last modified (data.public.lu)</t>
        </is>
      </c>
      <c r="D1" t="inlineStr">
        <is>
          <t>URL</t>
        </is>
      </c>
    </row>
    <row r="2">
      <c r="A2" t="n">
        <v>0</v>
      </c>
      <c r="B2" t="inlineStr">
        <is>
          <t>donnees-statistiques-du-secteur-delectricite.xlsx</t>
        </is>
      </c>
      <c r="C2" t="inlineStr">
        <is>
          <t>2026-09-01T13:53:33.687000+00:00</t>
        </is>
      </c>
      <c r="D2" t="inlineStr">
        <is>
          <t>https://download.data.public.lu/resources/donnees-statistiques-du-secteur-delectricite-ilr/20260901-135330/donnees-statistiques-du-secteur-delectricite.xlsx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2026-10-12T04:59:49Z</dcterms:created>
  <dcterms:modified xsi:type="dcterms:W3CDTF">2026-10-12T04:59:54Z</dcterms:modified>
</cp:coreProperties>
</file>