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Supply ladder" sheetId="3" state="visible" r:id="rId3"/>
    <sheet name="Inputs" sheetId="4" state="visible" r:id="rId4"/>
    <sheet name="Tiers" sheetId="5" state="visible" r:id="rId5"/>
    <sheet name="Curve" sheetId="6" state="visible" r:id="rId6"/>
    <sheet name="Mapping" sheetId="7" state="visible" r:id="rId7"/>
    <sheet name="Supply ladder" sheetId="8" state="visible" r:id="rId8"/>
    <sheet name="Cross-checks" sheetId="9" state="visible" r:id="rId9"/>
    <sheet name="Chart data" sheetId="10" state="visible" r:id="rId10"/>
    <sheet name="Sources" sheetId="11" state="visible" r:id="rId11"/>
    <sheet name="Not reachable" sheetId="12" state="visible" r:id="rId12"/>
    <sheet name="Snippets (unused)" sheetId="13" state="visible" r:id="rId13"/>
    <sheet name="Dallas Fed" sheetId="14" state="visible" r:id="rId14"/>
    <sheet name="Dallas Fed history" sheetId="15" state="visible" r:id="rId15"/>
    <sheet name="STEO raw" sheetId="16" state="visible" r:id="rId16"/>
    <sheet name="Price context" sheetId="17" state="visible" r:id="rId17"/>
    <sheet name="Price forwards" sheetId="18" state="visible" r:id="rId18"/>
    <sheet name="Spread options" sheetId="19" state="visible" r:id="rId19"/>
    <sheet name="Curve values" sheetId="20" state="visible" r:id="rId20"/>
    <sheet name="Mapping values" sheetId="21" state="visible" r:id="rId21"/>
    <sheet name="Ladder values" sheetId="22" state="visible" r:id="rId22"/>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2">
    <font>
      <name val="Calibri"/>
      <family val="2"/>
      <color theme="1"/>
      <sz val="11"/>
      <scheme val="minor"/>
    </font>
    <font>
      <b val="1"/>
    </font>
  </fonts>
  <fills count="4">
    <fill>
      <patternFill/>
    </fill>
    <fill>
      <patternFill patternType="gray125"/>
    </fill>
    <fill>
      <patternFill patternType="solid">
        <fgColor rgb="00FFF2CC"/>
        <bgColor rgb="00FFF2CC"/>
      </patternFill>
    </fill>
    <fill>
      <patternFill patternType="solid">
        <fgColor rgb="00DDEBF7"/>
        <b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1" fillId="0" borderId="0" pivotButton="0" quotePrefix="0" xfId="0"/>
    <xf numFmtId="0" fontId="1" fillId="3" borderId="0" applyAlignment="1" pivotButton="0" quotePrefix="0" xfId="0">
      <alignment vertical="top" wrapText="1"/>
    </xf>
    <xf numFmtId="0" fontId="0" fillId="2" borderId="0" pivotButton="0" quotePrefix="0" xfId="0"/>
    <xf numFmtId="164" fontId="0" fillId="0" borderId="0" pivotButton="0" quotePrefix="0" xfId="0"/>
    <xf numFmtId="165" fontId="0" fillId="0" borderId="0" pivotButton="0" quotePrefix="0" xfId="0"/>
    <xf numFmtId="2" fontId="0" fillId="0" borderId="0" pivotButton="0" quotePrefix="0" xfId="0"/>
    <xf numFmtId="9"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title>
      <tx>
        <rich>
          <a:bodyPr/>
          <a:p>
            <a:pPr>
              <a:defRPr/>
            </a:pPr>
            <a:r>
              <a:t>US shale oil supply cost curve: breakeven vs cumulative volume (APPROXIMATE, Dallas Fed survey + EIA STEO)</a:t>
            </a:r>
          </a:p>
        </rich>
      </tx>
      <overlay val="0"/>
    </title>
    <plotArea>
      <scatterChart>
        <scatterStyle val="lineMarker"/>
        <ser>
          <idx val="0"/>
          <order val="0"/>
          <tx>
            <strRef>
              <f>'Chart data'!$E$6</f>
            </strRef>
          </tx>
          <spPr>
            <a:ln w="28575">
              <a:solidFill>
                <a:srgbClr val="2A78D6"/>
              </a:solidFill>
              <a:prstDash val="solid"/>
            </a:ln>
          </spPr>
          <marker>
            <symbol val="none"/>
            <spPr>
              <a:ln>
                <a:prstDash val="solid"/>
              </a:ln>
            </spPr>
          </marker>
          <xVal>
            <numRef>
              <f>'Chart data'!$D$8:$D$31</f>
            </numRef>
          </xVal>
          <yVal>
            <numRef>
              <f>'Chart data'!$E$8:$E$31</f>
            </numRef>
          </yVal>
          <smooth val="0"/>
        </ser>
        <ser>
          <idx val="1"/>
          <order val="1"/>
          <tx>
            <strRef>
              <f>'Chart data'!$G$6</f>
            </strRef>
          </tx>
          <spPr>
            <a:ln w="28575">
              <a:solidFill>
                <a:srgbClr val="EB6834"/>
              </a:solidFill>
              <a:prstDash val="dash"/>
            </a:ln>
          </spPr>
          <marker>
            <symbol val="none"/>
            <spPr>
              <a:ln>
                <a:prstDash val="solid"/>
              </a:ln>
            </spPr>
          </marker>
          <xVal>
            <numRef>
              <f>'Chart data'!$F$8:$F$31</f>
            </numRef>
          </xVal>
          <yVal>
            <numRef>
              <f>'Chart data'!$G$8:$G$31</f>
            </numRef>
          </yVal>
          <smooth val="0"/>
        </ser>
        <ser>
          <idx val="2"/>
          <order val="2"/>
          <tx>
            <strRef>
              <f>'Chart data'!$I$6</f>
            </strRef>
          </tx>
          <spPr>
            <a:ln w="28575">
              <a:solidFill>
                <a:srgbClr val="252525"/>
              </a:solidFill>
              <a:prstDash val="dash"/>
            </a:ln>
          </spPr>
          <marker>
            <symbol val="none"/>
            <spPr>
              <a:ln>
                <a:prstDash val="solid"/>
              </a:ln>
            </spPr>
          </marker>
          <xVal>
            <numRef>
              <f>'Chart data'!$H$8:$H$9</f>
            </numRef>
          </xVal>
          <yVal>
            <numRef>
              <f>'Chart data'!$I$8:$I$9</f>
            </numRef>
          </yVal>
          <smooth val="0"/>
        </ser>
        <ser>
          <idx val="3"/>
          <order val="3"/>
          <tx>
            <strRef>
              <f>'Chart data'!$J$6</f>
            </strRef>
          </tx>
          <spPr>
            <a:ln w="28575">
              <a:solidFill>
                <a:srgbClr val="1BAF7A"/>
              </a:solidFill>
              <a:prstDash val="dash"/>
            </a:ln>
          </spPr>
          <marker>
            <symbol val="none"/>
            <spPr>
              <a:ln>
                <a:prstDash val="solid"/>
              </a:ln>
            </spPr>
          </marker>
          <xVal>
            <numRef>
              <f>'Chart data'!$H$8:$H$9</f>
            </numRef>
          </xVal>
          <yVal>
            <numRef>
              <f>'Chart data'!$J$8:$J$9</f>
            </numRef>
          </yVal>
          <smooth val="0"/>
        </ser>
        <ser>
          <idx val="4"/>
          <order val="4"/>
          <tx>
            <strRef>
              <f>'Chart data'!$K$6</f>
            </strRef>
          </tx>
          <spPr>
            <a:ln w="28575">
              <a:solidFill>
                <a:srgbClr val="EDA100"/>
              </a:solidFill>
              <a:prstDash val="dash"/>
            </a:ln>
          </spPr>
          <marker>
            <symbol val="none"/>
            <spPr>
              <a:ln>
                <a:prstDash val="solid"/>
              </a:ln>
            </spPr>
          </marker>
          <xVal>
            <numRef>
              <f>'Chart data'!$H$8:$H$9</f>
            </numRef>
          </xVal>
          <yVal>
            <numRef>
              <f>'Chart data'!$K$8:$K$9</f>
            </numRef>
          </yVal>
          <smooth val="0"/>
        </ser>
        <axId val="10"/>
        <axId val="20"/>
      </scatterChart>
      <valAx>
        <axId val="10"/>
        <scaling>
          <orientation val="minMax"/>
          <min val="0"/>
        </scaling>
        <delete val="0"/>
        <axPos val="b"/>
        <majorGridlines/>
        <title>
          <tx>
            <rich>
              <a:bodyPr/>
              <a:p>
                <a:pPr>
                  <a:defRPr/>
                </a:pPr>
                <a:r>
                  <a:t>Cumulative volume, Mb/d (maintenance-only, 12-month view)</a:t>
                </a:r>
              </a:p>
            </rich>
          </tx>
          <overlay val="0"/>
        </title>
        <numFmt formatCode="0" sourceLinked="0"/>
        <majorTickMark val="none"/>
        <minorTickMark val="none"/>
        <crossAx val="20"/>
      </valAx>
      <valAx>
        <axId val="20"/>
        <scaling>
          <orientation val="minMax"/>
          <min val="0"/>
        </scaling>
        <delete val="0"/>
        <axPos val="l"/>
        <majorGridlines/>
        <title>
          <tx>
            <rich>
              <a:bodyPr/>
              <a:p>
                <a:pPr>
                  <a:defRPr/>
                </a:pPr>
                <a:r>
                  <a:t>WTI breakeven, USD/bbl</a:t>
                </a:r>
              </a:p>
            </rich>
          </tx>
          <overlay val="0"/>
        </title>
        <numFmt formatCode="0" sourceLinked="0"/>
        <majorTickMark val="none"/>
        <minorTickMark val="none"/>
        <crossAx val="10"/>
      </valAx>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t>US shale oil volume supported by WTI price (APPROXIMATE, maintenance-only)</a:t>
            </a:r>
          </a:p>
        </rich>
      </tx>
      <overlay val="0"/>
    </title>
    <plotArea>
      <scatterChart>
        <scatterStyle val="lineMarker"/>
        <ser>
          <idx val="0"/>
          <order val="0"/>
          <tx>
            <v>Supported volume (Mb/d)</v>
          </tx>
          <spPr>
            <a:ln w="28575">
              <a:solidFill>
                <a:srgbClr val="2A78D6"/>
              </a:solidFill>
              <a:prstDash val="solid"/>
            </a:ln>
          </spPr>
          <marker>
            <symbol val="circle"/>
            <spPr>
              <a:ln>
                <a:prstDash val="solid"/>
              </a:ln>
            </spPr>
          </marker>
          <xVal>
            <numRef>
              <f>'Chart data'!$A$36:$A$54</f>
            </numRef>
          </xVal>
          <yVal>
            <numRef>
              <f>'Chart data'!$B$36:$B$54</f>
            </numRef>
          </yVal>
          <smooth val="0"/>
        </ser>
        <axId val="10"/>
        <axId val="20"/>
      </scatterChart>
      <valAx>
        <axId val="10"/>
        <scaling>
          <orientation val="minMax"/>
        </scaling>
        <delete val="0"/>
        <axPos val="b"/>
        <majorGridlines/>
        <title>
          <tx>
            <rich>
              <a:bodyPr/>
              <a:p>
                <a:pPr>
                  <a:defRPr/>
                </a:pPr>
                <a:r>
                  <a:t>WTI, USD/bbl</a:t>
                </a:r>
              </a:p>
            </rich>
          </tx>
          <overlay val="0"/>
        </title>
        <numFmt formatCode="0" sourceLinked="0"/>
        <majorTickMark val="none"/>
        <minorTickMark val="none"/>
        <crossAx val="20"/>
      </valAx>
      <valAx>
        <axId val="20"/>
        <scaling>
          <orientation val="minMax"/>
          <min val="0"/>
        </scaling>
        <delete val="0"/>
        <axPos val="l"/>
        <majorGridlines/>
        <title>
          <tx>
            <rich>
              <a:bodyPr/>
              <a:p>
                <a:pPr>
                  <a:defRPr/>
                </a:pPr>
                <a:r>
                  <a:t>Mb/d</a:t>
                </a:r>
              </a:p>
            </rich>
          </tx>
          <overlay val="0"/>
        </title>
        <numFmt formatCode="0.0" sourceLinked="0"/>
        <majorTickMark val="none"/>
        <minorTickMark val="none"/>
        <crossAx val="10"/>
      </valAx>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row>
      <rowOff>0</rowOff>
    </from>
    <ext cx="1008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row>
      <rowOff>0</rowOff>
    </from>
    <ext cx="1008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Breakeven: US$ per barrel of WTI. Volume: million barrels per day (Mb/d), crude oil production of US shale regions from EIA STEO. Inventory: locations. Well cost: US$ per lateral foot.</t>
        </is>
      </c>
    </row>
    <row r="5">
      <c r="A5" s="1" t="inlineStr">
        <is>
          <t>WHAT THIS IS</t>
        </is>
      </c>
    </row>
    <row r="6">
      <c r="A6" t="inlineStr">
        <is>
          <t>APPROXIMATE - built from company disclosures and the Dallas Fed Energy Survey, US shale only, WTI basis. A 12-month-ahead supply curve at maintenance-only drilling: each basin has a BASE tier (what is left after a year of natural decline, which stays on at the Dallas Fed shut-in breakeven) and a REPLACEMENT tier (the barrels new wells must add to hold output flat, at the Dallas Fed new-well breakeven).</t>
        </is>
      </c>
    </row>
    <row r="7">
      <c r="A7" t="inlineStr">
        <is>
          <t>The breakevens are the Dallas Fed Energy Survey's basin averages (executive answers, Q1 2026): public and numeric, but a survey, not an engineering curve. Operator filings give D&amp;C cost per foot, EUR and inventory for single assets only (see 'Sources' and 'Cross-checks'); no operator publishes a basin breakeven curve we could open.</t>
        </is>
      </c>
    </row>
    <row r="8">
      <c r="A8" t="inlineStr">
        <is>
          <t>NOT on the curve: growth barrels above maintenance (no public source gives their volume at a price), Gulf of America offshore and conventional onshore oil, Canadian oil, rig or crew or takeaway limits, hedges, taxes. The three main basins use STEO regional CRUDE production (includes a small non-shale part); 'Other shale' = STEO tight oil minus Permian, Bakken and Eagle Ford tight oil.</t>
        </is>
      </c>
    </row>
    <row r="9">
      <c r="A9" t="inlineStr">
        <is>
          <t>Dallas Fed basin lines: Bakken has none, so it borrows 'Other U.S. (Shale)' (flagged ASSUMPTION); Eagle Ford rests on 5 responses; the Permian uses 'all responses' (the Midland/Delaware split has no production split in STEO).</t>
        </is>
      </c>
    </row>
    <row r="11">
      <c r="A11" s="1" t="inlineStr">
        <is>
          <t>HOW TO READ THE TABS</t>
        </is>
      </c>
    </row>
    <row r="12">
      <c r="A12" t="inlineStr">
        <is>
          <t>Inputs: assumptions and the tier table (yellow = editable, with override columns for your own or a paid curve). Tiers: live volume and breakeven of the 12 tiers (base, replacement, growth per basin). Curve: tiers sorted by breakeven with cumulative volume. Mapping: which tiers are in the money at spot, the 12-month average, the Brent forward converted to WTI, and +/- the shift. Supply ladder: 12-month output at each WTI price. Cross-checks: operator cost per foot, Dallas Fed vs operator figures, inventory years. Price context: WTI and Brent forward values read from brent_wti_daily.xlsx and brent_forward_curve.xlsx (not edited). Dallas Fed: the survey tables. STEO raw: the EIA series used (volumes read from here by formula).</t>
        </is>
      </c>
    </row>
    <row r="14">
      <c r="A14" s="1" t="inlineStr">
        <is>
          <t>STATUS</t>
        </is>
      </c>
    </row>
    <row r="15">
      <c r="A15" t="inlineStr">
        <is>
          <t>Dallas Fed breakevens SOURCED (7 of 8 tier-breakevens on 3 lines; Bakken line is a MAPPING ASSUMPTION), volumes and declines SOURCED (EIA STEO, EIA API v2 steo, fetched 06 Oct 2026; reference month 2026-08), 'Other shale' decline PROXY, forward-to-WTI spread ASSUMPTION (default 2021-2025 mean).</t>
        </is>
      </c>
    </row>
    <row r="17">
      <c r="A17" s="1" t="inlineStr">
        <is>
          <t>EDITING</t>
        </is>
      </c>
    </row>
    <row r="18">
      <c r="A18" t="inlineStr">
        <is>
          <t>Yellow cells on 'Inputs' only. Leave override columns blank to use the Dallas Fed value. 'Curve values', 'Mapping values' and 'Ladder values' are the script's own copy of the arithmetic (used by the PNG charts); after editing in Excel the live tabs and native charts follow, the values tabs do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APPROXIMATE - built from company disclosures and the Dallas Fed Energy Survey, US shale only, WTI basis. Maintenance-only 12-month view; breakevens are Dallas Fed survey averages. Data and editable inputs: 'Chart data', 'Inputs'.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APPROXIMATE - built from company disclosures and the Dallas Fed Energy Survey, US shale only, WTI basis. Output supported at each WTI price (all tiers with breakeven at or below the price).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52" customWidth="1" min="1" max="1"/>
    <col width="2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Inputs - yellow cells are editable and survive reruns. APPROXIMATE - built from company disclosures and the Dallas Fed Energy Survey, US shale only, WTI basis</t>
        </is>
      </c>
    </row>
    <row r="2">
      <c r="A2" t="inlineStr">
        <is>
          <t>Block A: assumptions. Block B: basin tiers (volumes read live from 'STEO raw'; breakevens = Dallas Fed Q1 2026; override columns K-L take your own curve).</t>
        </is>
      </c>
    </row>
    <row r="4">
      <c r="A4" s="3" t="inlineStr">
        <is>
          <t>Assumption</t>
        </is>
      </c>
      <c r="B4" s="3" t="inlineStr">
        <is>
          <t>Value</t>
        </is>
      </c>
      <c r="C4" s="3" t="inlineStr">
        <is>
          <t>Unit</t>
        </is>
      </c>
      <c r="D4" s="3" t="inlineStr">
        <is>
          <t>Status</t>
        </is>
      </c>
      <c r="E4" s="3" t="inlineStr">
        <is>
          <t>Note</t>
        </is>
      </c>
    </row>
    <row r="5">
      <c r="A5" t="inlineStr">
        <is>
          <t>STEO reference month (latest month all series have)</t>
        </is>
      </c>
      <c r="B5" s="4" t="inlineStr">
        <is>
          <t>2026-08</t>
        </is>
      </c>
      <c r="C5" t="inlineStr">
        <is>
          <t>YYYY-MM</t>
        </is>
      </c>
      <c r="D5" t="inlineStr">
        <is>
          <t>DERIVED</t>
        </is>
      </c>
      <c r="E5" t="inlineStr">
        <is>
          <t>Volumes and declines are read for this month from 'STEO raw' (EIA API v2 steo, fetched 06 Oct 2026). Edit to another month present in that tab.</t>
        </is>
      </c>
    </row>
    <row r="6">
      <c r="A6" t="inlineStr">
        <is>
          <t>Brent-WTI spread used to convert forward Brent to WTI</t>
        </is>
      </c>
      <c r="B6" s="4" t="n">
        <v>4.22</v>
      </c>
      <c r="C6" t="inlineStr">
        <is>
          <t>USD/bbl</t>
        </is>
      </c>
      <c r="D6" t="inlineStr">
        <is>
          <t>ASSUMPTION</t>
        </is>
      </c>
      <c r="E6" t="inlineStr">
        <is>
          <t>Default = 2021-2025 mean of Brent less WTI (brent_wti_daily.xlsx). The latest-day spread is far wider; see 'Price context' for all options.</t>
        </is>
      </c>
    </row>
    <row r="7">
      <c r="A7" t="inlineStr">
        <is>
          <t>Price shift for the +/- columns on 'Mapping'</t>
        </is>
      </c>
      <c r="B7" s="4" t="n">
        <v>10</v>
      </c>
      <c r="C7" t="inlineStr">
        <is>
          <t>USD/bbl</t>
        </is>
      </c>
      <c r="D7" t="inlineStr">
        <is>
          <t>OWNER</t>
        </is>
      </c>
      <c r="E7" t="inlineStr">
        <is>
          <t>Editable.</t>
        </is>
      </c>
    </row>
    <row r="8">
      <c r="A8" t="inlineStr">
        <is>
          <t>Decline rate for 'Other shale' (share of production per year)</t>
        </is>
      </c>
      <c r="B8" s="4" t="n">
        <v>0.0689</v>
      </c>
      <c r="C8" t="inlineStr">
        <is>
          <t>share</t>
        </is>
      </c>
      <c r="D8" t="inlineStr">
        <is>
          <t>PROXY</t>
        </is>
      </c>
      <c r="E8" t="inlineStr">
        <is>
          <t>No EIA decline series for these plays: mean of the three basins' decline / production. Replace if you have a better figure.</t>
        </is>
      </c>
    </row>
    <row r="9">
      <c r="A9" t="inlineStr">
        <is>
          <t>Months of legacy decline counted as the replacement need</t>
        </is>
      </c>
      <c r="B9" s="4" t="n">
        <v>1</v>
      </c>
      <c r="C9" t="inlineStr">
        <is>
          <t>months</t>
        </is>
      </c>
      <c r="D9" t="inlineStr">
        <is>
          <t>SOURCED at 1 (EIA's series is a monthly flow); &gt;1 = ASSUMPTION</t>
        </is>
      </c>
      <c r="E9" t="inlineStr">
        <is>
          <t>EIA's existing-well change is the DPR-style monthly change in output of wells already producing (about -490 kb/d for the Permian against ~480 kb/d from new wells). 1 = next-month view. Raise it to see more volume exposed to the new-well breakeven (the legacy decline slows as young wells age, so n x monthly overstates).</t>
        </is>
      </c>
    </row>
    <row r="10">
      <c r="A10" t="inlineStr">
        <is>
          <t>STEO growth horizon month (YYYY-MM)</t>
        </is>
      </c>
      <c r="B10" s="4" t="inlineStr">
        <is>
          <t>2027-12</t>
        </is>
      </c>
      <c r="C10" t="inlineStr">
        <is>
          <t>YYYY-MM</t>
        </is>
      </c>
      <c r="D10" t="inlineStr">
        <is>
          <t>DERIVED</t>
        </is>
      </c>
      <c r="E10" t="inlineStr">
        <is>
          <t>Growth tier = STEO crude production at this month less the reference month (STEO base case, EIA's own price path). Must exist in 'STEO raw'.</t>
        </is>
      </c>
    </row>
    <row r="11">
      <c r="A11" t="inlineStr">
        <is>
          <t>Price ladder start</t>
        </is>
      </c>
      <c r="B11" s="4" t="n">
        <v>30</v>
      </c>
      <c r="C11" t="inlineStr">
        <is>
          <t>USD/bbl</t>
        </is>
      </c>
      <c r="D11" t="inlineStr">
        <is>
          <t>OWNER</t>
        </is>
      </c>
      <c r="E11" t="inlineStr">
        <is>
          <t>'Supply ladder' tab.</t>
        </is>
      </c>
    </row>
    <row r="12">
      <c r="A12" s="2" t="inlineStr">
        <is>
          <t>Block B: basin tiers</t>
        </is>
      </c>
      <c r="B12" s="4" t="n">
        <v>5</v>
      </c>
      <c r="C12" t="inlineStr">
        <is>
          <t>USD/bbl</t>
        </is>
      </c>
      <c r="D12" t="inlineStr">
        <is>
          <t>OWNER</t>
        </is>
      </c>
      <c r="E12" t="inlineStr">
        <is>
          <t>'Supply ladder' tab.</t>
        </is>
      </c>
    </row>
    <row r="13">
      <c r="A13" s="3" t="inlineStr">
        <is>
          <t>Basin tier</t>
        </is>
      </c>
      <c r="B13" s="3" t="inlineStr">
        <is>
          <t>Dallas Fed line used</t>
        </is>
      </c>
      <c r="C13" s="3" t="inlineStr">
        <is>
          <t>Production (Mb/d, STEO)</t>
        </is>
      </c>
      <c r="D13" s="3" t="inlineStr">
        <is>
          <t>Base decline (Mb/d per year, STEO existing wells)</t>
        </is>
      </c>
      <c r="E13" s="3" t="inlineStr">
        <is>
          <t>Shut-in breakeven (USD/bbl WTI)</t>
        </is>
      </c>
      <c r="F13" s="3" t="inlineStr">
        <is>
          <t>New-well breakeven, average (USD/bbl)</t>
        </is>
      </c>
      <c r="G13" s="3" t="inlineStr">
        <is>
          <t>New-well min of responses</t>
        </is>
      </c>
      <c r="H13" s="3" t="inlineStr">
        <is>
          <t>New-well max of responses</t>
        </is>
      </c>
      <c r="I13" s="3" t="inlineStr">
        <is>
          <t>Shut-in, Q1 2025 (prior year)</t>
        </is>
      </c>
      <c r="J13" s="3" t="inlineStr">
        <is>
          <t>New-well, Q1 2025 (prior year)</t>
        </is>
      </c>
      <c r="K13" s="3" t="inlineStr">
        <is>
          <t>OVERRIDE shut-in breakeven</t>
        </is>
      </c>
      <c r="L13" s="3" t="inlineStr">
        <is>
          <t>OVERRIDE new-well breakeven</t>
        </is>
      </c>
      <c r="M13" s="3" t="inlineStr">
        <is>
          <t>Remaining locations &lt;$60/bbl (TPL / Enverus)</t>
        </is>
      </c>
      <c r="N13" s="3" t="inlineStr">
        <is>
          <t>Wells completed per year (STEO x12)</t>
        </is>
      </c>
      <c r="O13" s="3" t="inlineStr">
        <is>
          <t>Inventory at current pace (years)</t>
        </is>
      </c>
      <c r="P13" s="3" t="inlineStr">
        <is>
          <t>Breakeven status</t>
        </is>
      </c>
      <c r="Q13" s="3" t="inlineStr">
        <is>
          <t>Source IDs</t>
        </is>
      </c>
      <c r="R13" s="3" t="inlineStr">
        <is>
          <t>STEO growth to horizon month (Mb/d)</t>
        </is>
      </c>
    </row>
    <row r="14">
      <c r="A14" t="inlineStr">
        <is>
          <t>Permian</t>
        </is>
      </c>
      <c r="B14" t="inlineStr">
        <is>
          <t>Permian (all responses)</t>
        </is>
      </c>
      <c r="C14" s="5">
        <f>SUMIFS('STEO raw'!$E:$E,'STEO raw'!$A:$A,"COPRPM|"&amp;$B$5)</f>
        <v/>
      </c>
      <c r="D14" s="5">
        <f>-SUMIFS('STEO raw'!$E:$E,'STEO raw'!$A:$A,"COEOPPM|"&amp;$B$5)/1000</f>
        <v/>
      </c>
      <c r="E14" s="4" t="n">
        <v>39</v>
      </c>
      <c r="F14" s="4" t="n">
        <v>67</v>
      </c>
      <c r="G14" s="4" t="n">
        <v>50</v>
      </c>
      <c r="H14" s="4" t="n">
        <v>90</v>
      </c>
      <c r="I14" t="n">
        <v>39</v>
      </c>
      <c r="J14" t="n">
        <v>65</v>
      </c>
      <c r="K14" s="4" t="n"/>
      <c r="L14" s="4" t="n"/>
      <c r="M14" s="4" t="n">
        <v>65000</v>
      </c>
      <c r="N14">
        <f>SUMIFS('STEO raw'!$E:$E,'STEO raw'!$A:$A,"NWCPM|"&amp;$B$5)*12</f>
        <v/>
      </c>
      <c r="O14" s="6">
        <f>IF(ISNUMBER(N14),M14/N14,"n/a")</f>
        <v/>
      </c>
      <c r="P14" t="inlineStr">
        <is>
          <t>SOURCED</t>
        </is>
      </c>
      <c r="Q14" t="inlineStr">
        <is>
          <t>D1-D10, E1-E3, T1</t>
        </is>
      </c>
      <c r="R14" s="5">
        <f>SUMIFS('STEO raw'!$E:$E,'STEO raw'!$A:$A,"COPRPM|"&amp;$B$10)-C14</f>
        <v/>
      </c>
    </row>
    <row r="15">
      <c r="A15" t="inlineStr">
        <is>
          <t>Bakken</t>
        </is>
      </c>
      <c r="B15" t="inlineStr">
        <is>
          <t>Other U.S. (Shale)</t>
        </is>
      </c>
      <c r="C15" s="5">
        <f>SUMIFS('STEO raw'!$E:$E,'STEO raw'!$A:$A,"COPRBK|"&amp;$B$5)</f>
        <v/>
      </c>
      <c r="D15" s="5">
        <f>-SUMIFS('STEO raw'!$E:$E,'STEO raw'!$A:$A,"COEOPBK|"&amp;$B$5)/1000</f>
        <v/>
      </c>
      <c r="E15" s="4" t="n">
        <v>44.12</v>
      </c>
      <c r="F15" s="4" t="n">
        <v>62.38</v>
      </c>
      <c r="G15" s="4" t="n">
        <v>35</v>
      </c>
      <c r="H15" s="4" t="n">
        <v>85</v>
      </c>
      <c r="I15" t="n">
        <v>40.81</v>
      </c>
      <c r="J15" t="n">
        <v>63</v>
      </c>
      <c r="K15" s="4" t="n"/>
      <c r="L15" s="4" t="n"/>
      <c r="M15" s="4" t="n">
        <v>5000</v>
      </c>
      <c r="N15">
        <f>SUMIFS('STEO raw'!$E:$E,'STEO raw'!$A:$A,"NWCBK|"&amp;$B$5)*12</f>
        <v/>
      </c>
      <c r="O15" s="6">
        <f>IF(ISNUMBER(N15),M15/N15,"n/a")</f>
        <v/>
      </c>
      <c r="P15" t="inlineStr">
        <is>
          <t>ASSUMPTION (mapping: Dallas publishes no Bakken line)</t>
        </is>
      </c>
      <c r="Q15" t="inlineStr">
        <is>
          <t>D1-D10, E1-E3, T1</t>
        </is>
      </c>
      <c r="R15" s="5">
        <f>SUMIFS('STEO raw'!$E:$E,'STEO raw'!$A:$A,"COPRBK|"&amp;$B$10)-C15</f>
        <v/>
      </c>
    </row>
    <row r="16">
      <c r="A16" t="inlineStr">
        <is>
          <t>Eagle Ford</t>
        </is>
      </c>
      <c r="B16" t="inlineStr">
        <is>
          <t>Eagle Ford</t>
        </is>
      </c>
      <c r="C16" s="5">
        <f>SUMIFS('STEO raw'!$E:$E,'STEO raw'!$A:$A,"COPREF|"&amp;$B$5)</f>
        <v/>
      </c>
      <c r="D16" s="5">
        <f>-SUMIFS('STEO raw'!$E:$E,'STEO raw'!$A:$A,"COEOPEF|"&amp;$B$5)/1000</f>
        <v/>
      </c>
      <c r="E16" s="4" t="n">
        <v>40</v>
      </c>
      <c r="F16" s="4" t="n">
        <v>63</v>
      </c>
      <c r="G16" s="4" t="n">
        <v>50</v>
      </c>
      <c r="H16" s="4" t="n">
        <v>70</v>
      </c>
      <c r="I16" t="n">
        <v>25.83</v>
      </c>
      <c r="J16" t="n">
        <v>61.67</v>
      </c>
      <c r="K16" s="4" t="n"/>
      <c r="L16" s="4" t="n"/>
      <c r="M16" s="4" t="n">
        <v>13000</v>
      </c>
      <c r="N16">
        <f>SUMIFS('STEO raw'!$E:$E,'STEO raw'!$A:$A,"NWCEF|"&amp;$B$5)*12</f>
        <v/>
      </c>
      <c r="O16" s="6">
        <f>IF(ISNUMBER(N16),M16/N16,"n/a")</f>
        <v/>
      </c>
      <c r="P16" t="inlineStr">
        <is>
          <t>SOURCED (5 responses)</t>
        </is>
      </c>
      <c r="Q16" t="inlineStr">
        <is>
          <t>D1-D10, E1-E3, T1</t>
        </is>
      </c>
      <c r="R16" s="5">
        <f>SUMIFS('STEO raw'!$E:$E,'STEO raw'!$A:$A,"COPREF|"&amp;$B$10)-C16</f>
        <v/>
      </c>
    </row>
    <row r="17">
      <c r="A17" t="inlineStr">
        <is>
          <t>Other shale (Niobrara, Anadarko, Austin Chalk, other)</t>
        </is>
      </c>
      <c r="B17" t="inlineStr">
        <is>
          <t>Other U.S. (Shale)</t>
        </is>
      </c>
      <c r="C17" s="5">
        <f>SUMIFS('STEO raw'!$E:$E,'STEO raw'!$A:$A,"TOPRL48|"&amp;$B$5)-SUMIFS('STEO raw'!$E:$E,'STEO raw'!$A:$A,"TOPRPM|"&amp;$B$5)-SUMIFS('STEO raw'!$E:$E,'STEO raw'!$A:$A,"TOPRBK|"&amp;$B$5)-SUMIFS('STEO raw'!$E:$E,'STEO raw'!$A:$A,"TOPREF|"&amp;$B$5)</f>
        <v/>
      </c>
      <c r="D17" s="5">
        <f>$B$8*C17</f>
        <v/>
      </c>
      <c r="E17" s="4" t="n">
        <v>44.12</v>
      </c>
      <c r="F17" s="4" t="n">
        <v>62.38</v>
      </c>
      <c r="G17" s="4" t="n">
        <v>35</v>
      </c>
      <c r="H17" s="4" t="n">
        <v>85</v>
      </c>
      <c r="I17" t="n">
        <v>40.81</v>
      </c>
      <c r="J17" t="n">
        <v>63</v>
      </c>
      <c r="K17" s="4" t="n"/>
      <c r="L17" s="4" t="n"/>
      <c r="M17" s="4" t="n">
        <v>6000</v>
      </c>
      <c r="N17" t="inlineStr">
        <is>
          <t>n/a</t>
        </is>
      </c>
      <c r="O17" s="6">
        <f>IF(ISNUMBER(N17),M17/N17,"n/a")</f>
        <v/>
      </c>
      <c r="P17" t="inlineStr">
        <is>
          <t>SOURCED (17 responses)</t>
        </is>
      </c>
      <c r="Q17" t="inlineStr">
        <is>
          <t>D1-D10, E1-E3, T1</t>
        </is>
      </c>
      <c r="R17" s="5" t="n">
        <v>0</v>
      </c>
    </row>
    <row r="19">
      <c r="A19" t="inlineStr">
        <is>
          <t>Other shale (no STEO forecast of its own, so growth = 0 here): production = TOPRL48 - TOPRPM - TOPRBK - TOPREF (STEO tight oil); decline = proxy rate x production (PROXY); locations = Anadarko ~3,000 + DJ ~3,000 only (Niobrara etc. not itemised by TPL).</t>
        </is>
      </c>
    </row>
    <row r="20">
      <c r="A20" t="inlineStr">
        <is>
          <t>Bakken uses the Dallas Fed 'Other U.S. (Shale)' line (ASSUMPTION: no Bakken line is published). Permian uses 'Permian (all responses)'. Inventory years = TPL/Enverus &lt;$60 locations / STEO completions: below-$60 locations only, so a floor.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62" customWidth="1" min="1" max="1"/>
    <col width="14" customWidth="1" min="2" max="2"/>
    <col width="40" customWidth="1" min="3" max="3"/>
    <col width="16" customWidth="1" min="4" max="4"/>
    <col width="22" customWidth="1" min="5" max="5"/>
    <col width="14" customWidth="1" min="6" max="6"/>
    <col width="8" customWidth="1" min="7" max="7"/>
  </cols>
  <sheetData>
    <row r="1">
      <c r="A1" s="2" t="inlineStr">
        <is>
          <t>Tiers (live): three tiers per basin (base, replacement, growth). APPROXIMATE - built from company disclosures and the Dallas Fed Energy Survey, US shale only, WTI basis</t>
        </is>
      </c>
    </row>
    <row r="3">
      <c r="A3" s="3" t="inlineStr">
        <is>
          <t>Tier</t>
        </is>
      </c>
      <c r="B3" s="3" t="inlineStr">
        <is>
          <t>Kind</t>
        </is>
      </c>
      <c r="C3" s="3" t="inlineStr">
        <is>
          <t>Basin</t>
        </is>
      </c>
      <c r="D3" s="3" t="inlineStr">
        <is>
          <t>Volume (Mb/d)</t>
        </is>
      </c>
      <c r="E3" s="3" t="inlineStr">
        <is>
          <t>Breakeven used (USD/bbl WTI)</t>
        </is>
      </c>
      <c r="F3" s="3" t="inlineStr">
        <is>
          <t>Sort key</t>
        </is>
      </c>
      <c r="G3" s="3" t="inlineStr">
        <is>
          <t>Rank</t>
        </is>
      </c>
    </row>
    <row r="4">
      <c r="A4">
        <f>LEFT(Inputs!$A$14,FIND(" (",Inputs!$A$14&amp;" (")-1)&amp;" - base (existing wells after the decline)"</f>
        <v/>
      </c>
      <c r="B4" t="inlineStr">
        <is>
          <t>Base</t>
        </is>
      </c>
      <c r="C4">
        <f>Inputs!$A$14</f>
        <v/>
      </c>
      <c r="D4" s="5">
        <f>Inputs!$C$14-Inputs!$B$9*Inputs!$D$14</f>
        <v/>
      </c>
      <c r="E4">
        <f>IF(ISNUMBER(Inputs!$K$14),Inputs!$K$14,Inputs!$E$14)</f>
        <v/>
      </c>
      <c r="F4">
        <f>E4+ROW()/1000000</f>
        <v/>
      </c>
      <c r="G4">
        <f>RANK(F4,$F$4:$F$15,1)</f>
        <v/>
      </c>
    </row>
    <row r="5">
      <c r="A5">
        <f>LEFT(Inputs!$A$14,FIND(" (",Inputs!$A$14&amp;" (")-1)&amp;" - replacement (new wells to offset the decline)"</f>
        <v/>
      </c>
      <c r="B5" t="inlineStr">
        <is>
          <t>Replacement</t>
        </is>
      </c>
      <c r="C5">
        <f>Inputs!$A$14</f>
        <v/>
      </c>
      <c r="D5" s="5">
        <f>Inputs!$B$9*Inputs!$D$14</f>
        <v/>
      </c>
      <c r="E5">
        <f>IF(ISNUMBER(Inputs!$L$14),Inputs!$L$14,Inputs!$F$14)</f>
        <v/>
      </c>
      <c r="F5">
        <f>E5+ROW()/1000000</f>
        <v/>
      </c>
      <c r="G5">
        <f>RANK(F5,$F$4:$F$15,1)</f>
        <v/>
      </c>
    </row>
    <row r="6">
      <c r="A6">
        <f>LEFT(Inputs!$A$14,FIND(" (",Inputs!$A$14&amp;" (")-1)&amp;" - growth (STEO base case to horizon)"</f>
        <v/>
      </c>
      <c r="B6" t="inlineStr">
        <is>
          <t>Growth</t>
        </is>
      </c>
      <c r="C6">
        <f>Inputs!$A$14</f>
        <v/>
      </c>
      <c r="D6" s="5">
        <f>Inputs!$R$14</f>
        <v/>
      </c>
      <c r="E6">
        <f>IF(ISNUMBER(Inputs!$L$14),Inputs!$L$14,Inputs!$F$14)</f>
        <v/>
      </c>
      <c r="F6">
        <f>E6+ROW()/1000000</f>
        <v/>
      </c>
      <c r="G6">
        <f>RANK(F6,$F$4:$F$15,1)</f>
        <v/>
      </c>
    </row>
    <row r="7">
      <c r="A7">
        <f>LEFT(Inputs!$A$15,FIND(" (",Inputs!$A$15&amp;" (")-1)&amp;" - base (existing wells after the decline)"</f>
        <v/>
      </c>
      <c r="B7" t="inlineStr">
        <is>
          <t>Base</t>
        </is>
      </c>
      <c r="C7">
        <f>Inputs!$A$15</f>
        <v/>
      </c>
      <c r="D7" s="5">
        <f>Inputs!$C$15-Inputs!$B$9*Inputs!$D$15</f>
        <v/>
      </c>
      <c r="E7">
        <f>IF(ISNUMBER(Inputs!$K$15),Inputs!$K$15,Inputs!$E$15)</f>
        <v/>
      </c>
      <c r="F7">
        <f>E7+ROW()/1000000</f>
        <v/>
      </c>
      <c r="G7">
        <f>RANK(F7,$F$4:$F$15,1)</f>
        <v/>
      </c>
    </row>
    <row r="8">
      <c r="A8">
        <f>LEFT(Inputs!$A$15,FIND(" (",Inputs!$A$15&amp;" (")-1)&amp;" - replacement (new wells to offset the decline)"</f>
        <v/>
      </c>
      <c r="B8" t="inlineStr">
        <is>
          <t>Replacement</t>
        </is>
      </c>
      <c r="C8">
        <f>Inputs!$A$15</f>
        <v/>
      </c>
      <c r="D8" s="5">
        <f>Inputs!$B$9*Inputs!$D$15</f>
        <v/>
      </c>
      <c r="E8">
        <f>IF(ISNUMBER(Inputs!$L$15),Inputs!$L$15,Inputs!$F$15)</f>
        <v/>
      </c>
      <c r="F8">
        <f>E8+ROW()/1000000</f>
        <v/>
      </c>
      <c r="G8">
        <f>RANK(F8,$F$4:$F$15,1)</f>
        <v/>
      </c>
    </row>
    <row r="9">
      <c r="A9">
        <f>LEFT(Inputs!$A$15,FIND(" (",Inputs!$A$15&amp;" (")-1)&amp;" - growth (STEO base case to horizon)"</f>
        <v/>
      </c>
      <c r="B9" t="inlineStr">
        <is>
          <t>Growth</t>
        </is>
      </c>
      <c r="C9">
        <f>Inputs!$A$15</f>
        <v/>
      </c>
      <c r="D9" s="5">
        <f>Inputs!$R$15</f>
        <v/>
      </c>
      <c r="E9">
        <f>IF(ISNUMBER(Inputs!$L$15),Inputs!$L$15,Inputs!$F$15)</f>
        <v/>
      </c>
      <c r="F9">
        <f>E9+ROW()/1000000</f>
        <v/>
      </c>
      <c r="G9">
        <f>RANK(F9,$F$4:$F$15,1)</f>
        <v/>
      </c>
    </row>
    <row r="10">
      <c r="A10">
        <f>LEFT(Inputs!$A$16,FIND(" (",Inputs!$A$16&amp;" (")-1)&amp;" - base (existing wells after the decline)"</f>
        <v/>
      </c>
      <c r="B10" t="inlineStr">
        <is>
          <t>Base</t>
        </is>
      </c>
      <c r="C10">
        <f>Inputs!$A$16</f>
        <v/>
      </c>
      <c r="D10" s="5">
        <f>Inputs!$C$16-Inputs!$B$9*Inputs!$D$16</f>
        <v/>
      </c>
      <c r="E10">
        <f>IF(ISNUMBER(Inputs!$K$16),Inputs!$K$16,Inputs!$E$16)</f>
        <v/>
      </c>
      <c r="F10">
        <f>E10+ROW()/1000000</f>
        <v/>
      </c>
      <c r="G10">
        <f>RANK(F10,$F$4:$F$15,1)</f>
        <v/>
      </c>
    </row>
    <row r="11">
      <c r="A11">
        <f>LEFT(Inputs!$A$16,FIND(" (",Inputs!$A$16&amp;" (")-1)&amp;" - replacement (new wells to offset the decline)"</f>
        <v/>
      </c>
      <c r="B11" t="inlineStr">
        <is>
          <t>Replacement</t>
        </is>
      </c>
      <c r="C11">
        <f>Inputs!$A$16</f>
        <v/>
      </c>
      <c r="D11" s="5">
        <f>Inputs!$B$9*Inputs!$D$16</f>
        <v/>
      </c>
      <c r="E11">
        <f>IF(ISNUMBER(Inputs!$L$16),Inputs!$L$16,Inputs!$F$16)</f>
        <v/>
      </c>
      <c r="F11">
        <f>E11+ROW()/1000000</f>
        <v/>
      </c>
      <c r="G11">
        <f>RANK(F11,$F$4:$F$15,1)</f>
        <v/>
      </c>
    </row>
    <row r="12">
      <c r="A12">
        <f>LEFT(Inputs!$A$16,FIND(" (",Inputs!$A$16&amp;" (")-1)&amp;" - growth (STEO base case to horizon)"</f>
        <v/>
      </c>
      <c r="B12" t="inlineStr">
        <is>
          <t>Growth</t>
        </is>
      </c>
      <c r="C12">
        <f>Inputs!$A$16</f>
        <v/>
      </c>
      <c r="D12" s="5">
        <f>Inputs!$R$16</f>
        <v/>
      </c>
      <c r="E12">
        <f>IF(ISNUMBER(Inputs!$L$16),Inputs!$L$16,Inputs!$F$16)</f>
        <v/>
      </c>
      <c r="F12">
        <f>E12+ROW()/1000000</f>
        <v/>
      </c>
      <c r="G12">
        <f>RANK(F12,$F$4:$F$15,1)</f>
        <v/>
      </c>
    </row>
    <row r="13">
      <c r="A13">
        <f>LEFT(Inputs!$A$17,FIND(" (",Inputs!$A$17&amp;" (")-1)&amp;" - base (existing wells after the decline)"</f>
        <v/>
      </c>
      <c r="B13" t="inlineStr">
        <is>
          <t>Base</t>
        </is>
      </c>
      <c r="C13">
        <f>Inputs!$A$17</f>
        <v/>
      </c>
      <c r="D13" s="5">
        <f>Inputs!$C$17-Inputs!$B$9*Inputs!$D$17</f>
        <v/>
      </c>
      <c r="E13">
        <f>IF(ISNUMBER(Inputs!$K$17),Inputs!$K$17,Inputs!$E$17)</f>
        <v/>
      </c>
      <c r="F13">
        <f>E13+ROW()/1000000</f>
        <v/>
      </c>
      <c r="G13">
        <f>RANK(F13,$F$4:$F$15,1)</f>
        <v/>
      </c>
    </row>
    <row r="14">
      <c r="A14">
        <f>LEFT(Inputs!$A$17,FIND(" (",Inputs!$A$17&amp;" (")-1)&amp;" - replacement (new wells to offset the decline)"</f>
        <v/>
      </c>
      <c r="B14" t="inlineStr">
        <is>
          <t>Replacement</t>
        </is>
      </c>
      <c r="C14">
        <f>Inputs!$A$17</f>
        <v/>
      </c>
      <c r="D14" s="5">
        <f>Inputs!$B$9*Inputs!$D$17</f>
        <v/>
      </c>
      <c r="E14">
        <f>IF(ISNUMBER(Inputs!$L$17),Inputs!$L$17,Inputs!$F$17)</f>
        <v/>
      </c>
      <c r="F14">
        <f>E14+ROW()/1000000</f>
        <v/>
      </c>
      <c r="G14">
        <f>RANK(F14,$F$4:$F$15,1)</f>
        <v/>
      </c>
    </row>
    <row r="15">
      <c r="A15">
        <f>LEFT(Inputs!$A$17,FIND(" (",Inputs!$A$17&amp;" (")-1)&amp;" - growth (STEO base case to horizon)"</f>
        <v/>
      </c>
      <c r="B15" t="inlineStr">
        <is>
          <t>Growth</t>
        </is>
      </c>
      <c r="C15">
        <f>Inputs!$A$17</f>
        <v/>
      </c>
      <c r="D15" s="5">
        <f>Inputs!$R$17</f>
        <v/>
      </c>
      <c r="E15">
        <f>IF(ISNUMBER(Inputs!$L$17),Inputs!$L$17,Inputs!$F$17)</f>
        <v/>
      </c>
      <c r="F15">
        <f>E15+ROW()/1000000</f>
        <v/>
      </c>
      <c r="G15">
        <f>RANK(F15,$F$4:$F$15,1)</f>
        <v/>
      </c>
    </row>
    <row r="17">
      <c r="A17" t="inlineStr">
        <is>
          <t>Total volume (Mb/d): production + STEO growth</t>
        </is>
      </c>
      <c r="D17" s="5">
        <f>SUM(D4:D15)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7" customWidth="1" min="1" max="1"/>
    <col width="66" customWidth="1" min="2" max="2"/>
    <col width="14" customWidth="1" min="3" max="3"/>
    <col width="16" customWidth="1" min="4" max="4"/>
    <col width="18" customWidth="1" min="5" max="5"/>
    <col width="20" customWidth="1" min="6" max="6"/>
    <col width="24" customWidth="1" min="7" max="7"/>
  </cols>
  <sheetData>
    <row r="1">
      <c r="A1" s="2" t="inlineStr">
        <is>
          <t>Curve (live): tiers sorted by breakeven. APPROXIMATE - built from company disclosures and the Dallas Fed Energy Survey, US shale only, WTI basis</t>
        </is>
      </c>
    </row>
    <row r="4">
      <c r="A4" s="3" t="inlineStr">
        <is>
          <t>Rank</t>
        </is>
      </c>
      <c r="B4" s="3" t="inlineStr">
        <is>
          <t>Tier</t>
        </is>
      </c>
      <c r="C4" s="3" t="inlineStr">
        <is>
          <t>Kind</t>
        </is>
      </c>
      <c r="D4" s="3" t="inlineStr">
        <is>
          <t>Volume (Mb/d)</t>
        </is>
      </c>
      <c r="E4" s="3" t="inlineStr">
        <is>
          <t>Breakeven (USD/bbl WTI)</t>
        </is>
      </c>
      <c r="F4" s="3" t="inlineStr">
        <is>
          <t>Cumulative volume (Mb/d)</t>
        </is>
      </c>
      <c r="G4" s="3" t="inlineStr">
        <is>
          <t>Prior-year breakeven (Dallas Q1 2025, same tier)</t>
        </is>
      </c>
    </row>
    <row r="5">
      <c r="A5" t="n">
        <v>1</v>
      </c>
      <c r="B5">
        <f>INDEX(Tiers!$A$4:$A$15,MATCH($A5,Tiers!$G$4:$G$15,0))</f>
        <v/>
      </c>
      <c r="C5">
        <f>INDEX(Tiers!$B$4:$B$15,MATCH($A5,Tiers!$G$4:$G$15,0))</f>
        <v/>
      </c>
      <c r="D5" s="5">
        <f>INDEX(Tiers!$D$4:$D$15,MATCH($A5,Tiers!$G$4:$G$15,0))</f>
        <v/>
      </c>
      <c r="E5">
        <f>INDEX(Tiers!$E$4:$E$15,MATCH($A5,Tiers!$G$4:$G$15,0))</f>
        <v/>
      </c>
      <c r="F5" s="5">
        <f>D5</f>
        <v/>
      </c>
      <c r="G5">
        <f>IF(C5="Base",INDEX(Inputs!$I$14:$I$17,INT((MATCH($A5,Tiers!$G$4:$G$15,0)-1)/3)+1),INDEX(Inputs!$J$14:$J$17,INT((MATCH($A5,Tiers!$G$4:$G$15,0)-1)/3)+1))</f>
        <v/>
      </c>
    </row>
    <row r="6">
      <c r="A6" t="n">
        <v>2</v>
      </c>
      <c r="B6">
        <f>INDEX(Tiers!$A$4:$A$15,MATCH($A6,Tiers!$G$4:$G$15,0))</f>
        <v/>
      </c>
      <c r="C6">
        <f>INDEX(Tiers!$B$4:$B$15,MATCH($A6,Tiers!$G$4:$G$15,0))</f>
        <v/>
      </c>
      <c r="D6" s="5">
        <f>INDEX(Tiers!$D$4:$D$15,MATCH($A6,Tiers!$G$4:$G$15,0))</f>
        <v/>
      </c>
      <c r="E6">
        <f>INDEX(Tiers!$E$4:$E$15,MATCH($A6,Tiers!$G$4:$G$15,0))</f>
        <v/>
      </c>
      <c r="F6" s="5">
        <f>F5+D6</f>
        <v/>
      </c>
      <c r="G6">
        <f>IF(C6="Base",INDEX(Inputs!$I$14:$I$17,INT((MATCH($A6,Tiers!$G$4:$G$15,0)-1)/3)+1),INDEX(Inputs!$J$14:$J$17,INT((MATCH($A6,Tiers!$G$4:$G$15,0)-1)/3)+1))</f>
        <v/>
      </c>
    </row>
    <row r="7">
      <c r="A7" t="n">
        <v>3</v>
      </c>
      <c r="B7">
        <f>INDEX(Tiers!$A$4:$A$15,MATCH($A7,Tiers!$G$4:$G$15,0))</f>
        <v/>
      </c>
      <c r="C7">
        <f>INDEX(Tiers!$B$4:$B$15,MATCH($A7,Tiers!$G$4:$G$15,0))</f>
        <v/>
      </c>
      <c r="D7" s="5">
        <f>INDEX(Tiers!$D$4:$D$15,MATCH($A7,Tiers!$G$4:$G$15,0))</f>
        <v/>
      </c>
      <c r="E7">
        <f>INDEX(Tiers!$E$4:$E$15,MATCH($A7,Tiers!$G$4:$G$15,0))</f>
        <v/>
      </c>
      <c r="F7" s="5">
        <f>F6+D7</f>
        <v/>
      </c>
      <c r="G7">
        <f>IF(C7="Base",INDEX(Inputs!$I$14:$I$17,INT((MATCH($A7,Tiers!$G$4:$G$15,0)-1)/3)+1),INDEX(Inputs!$J$14:$J$17,INT((MATCH($A7,Tiers!$G$4:$G$15,0)-1)/3)+1))</f>
        <v/>
      </c>
    </row>
    <row r="8">
      <c r="A8" t="n">
        <v>4</v>
      </c>
      <c r="B8">
        <f>INDEX(Tiers!$A$4:$A$15,MATCH($A8,Tiers!$G$4:$G$15,0))</f>
        <v/>
      </c>
      <c r="C8">
        <f>INDEX(Tiers!$B$4:$B$15,MATCH($A8,Tiers!$G$4:$G$15,0))</f>
        <v/>
      </c>
      <c r="D8" s="5">
        <f>INDEX(Tiers!$D$4:$D$15,MATCH($A8,Tiers!$G$4:$G$15,0))</f>
        <v/>
      </c>
      <c r="E8">
        <f>INDEX(Tiers!$E$4:$E$15,MATCH($A8,Tiers!$G$4:$G$15,0))</f>
        <v/>
      </c>
      <c r="F8" s="5">
        <f>F7+D8</f>
        <v/>
      </c>
      <c r="G8">
        <f>IF(C8="Base",INDEX(Inputs!$I$14:$I$17,INT((MATCH($A8,Tiers!$G$4:$G$15,0)-1)/3)+1),INDEX(Inputs!$J$14:$J$17,INT((MATCH($A8,Tiers!$G$4:$G$15,0)-1)/3)+1))</f>
        <v/>
      </c>
    </row>
    <row r="9">
      <c r="A9" t="n">
        <v>5</v>
      </c>
      <c r="B9">
        <f>INDEX(Tiers!$A$4:$A$15,MATCH($A9,Tiers!$G$4:$G$15,0))</f>
        <v/>
      </c>
      <c r="C9">
        <f>INDEX(Tiers!$B$4:$B$15,MATCH($A9,Tiers!$G$4:$G$15,0))</f>
        <v/>
      </c>
      <c r="D9" s="5">
        <f>INDEX(Tiers!$D$4:$D$15,MATCH($A9,Tiers!$G$4:$G$15,0))</f>
        <v/>
      </c>
      <c r="E9">
        <f>INDEX(Tiers!$E$4:$E$15,MATCH($A9,Tiers!$G$4:$G$15,0))</f>
        <v/>
      </c>
      <c r="F9" s="5">
        <f>F8+D9</f>
        <v/>
      </c>
      <c r="G9">
        <f>IF(C9="Base",INDEX(Inputs!$I$14:$I$17,INT((MATCH($A9,Tiers!$G$4:$G$15,0)-1)/3)+1),INDEX(Inputs!$J$14:$J$17,INT((MATCH($A9,Tiers!$G$4:$G$15,0)-1)/3)+1))</f>
        <v/>
      </c>
    </row>
    <row r="10">
      <c r="A10" t="n">
        <v>6</v>
      </c>
      <c r="B10">
        <f>INDEX(Tiers!$A$4:$A$15,MATCH($A10,Tiers!$G$4:$G$15,0))</f>
        <v/>
      </c>
      <c r="C10">
        <f>INDEX(Tiers!$B$4:$B$15,MATCH($A10,Tiers!$G$4:$G$15,0))</f>
        <v/>
      </c>
      <c r="D10" s="5">
        <f>INDEX(Tiers!$D$4:$D$15,MATCH($A10,Tiers!$G$4:$G$15,0))</f>
        <v/>
      </c>
      <c r="E10">
        <f>INDEX(Tiers!$E$4:$E$15,MATCH($A10,Tiers!$G$4:$G$15,0))</f>
        <v/>
      </c>
      <c r="F10" s="5">
        <f>F9+D10</f>
        <v/>
      </c>
      <c r="G10">
        <f>IF(C10="Base",INDEX(Inputs!$I$14:$I$17,INT((MATCH($A10,Tiers!$G$4:$G$15,0)-1)/3)+1),INDEX(Inputs!$J$14:$J$17,INT((MATCH($A10,Tiers!$G$4:$G$15,0)-1)/3)+1))</f>
        <v/>
      </c>
    </row>
    <row r="11">
      <c r="A11" t="n">
        <v>7</v>
      </c>
      <c r="B11">
        <f>INDEX(Tiers!$A$4:$A$15,MATCH($A11,Tiers!$G$4:$G$15,0))</f>
        <v/>
      </c>
      <c r="C11">
        <f>INDEX(Tiers!$B$4:$B$15,MATCH($A11,Tiers!$G$4:$G$15,0))</f>
        <v/>
      </c>
      <c r="D11" s="5">
        <f>INDEX(Tiers!$D$4:$D$15,MATCH($A11,Tiers!$G$4:$G$15,0))</f>
        <v/>
      </c>
      <c r="E11">
        <f>INDEX(Tiers!$E$4:$E$15,MATCH($A11,Tiers!$G$4:$G$15,0))</f>
        <v/>
      </c>
      <c r="F11" s="5">
        <f>F10+D11</f>
        <v/>
      </c>
      <c r="G11">
        <f>IF(C11="Base",INDEX(Inputs!$I$14:$I$17,INT((MATCH($A11,Tiers!$G$4:$G$15,0)-1)/3)+1),INDEX(Inputs!$J$14:$J$17,INT((MATCH($A11,Tiers!$G$4:$G$15,0)-1)/3)+1))</f>
        <v/>
      </c>
    </row>
    <row r="12">
      <c r="A12" t="n">
        <v>8</v>
      </c>
      <c r="B12">
        <f>INDEX(Tiers!$A$4:$A$15,MATCH($A12,Tiers!$G$4:$G$15,0))</f>
        <v/>
      </c>
      <c r="C12">
        <f>INDEX(Tiers!$B$4:$B$15,MATCH($A12,Tiers!$G$4:$G$15,0))</f>
        <v/>
      </c>
      <c r="D12" s="5">
        <f>INDEX(Tiers!$D$4:$D$15,MATCH($A12,Tiers!$G$4:$G$15,0))</f>
        <v/>
      </c>
      <c r="E12">
        <f>INDEX(Tiers!$E$4:$E$15,MATCH($A12,Tiers!$G$4:$G$15,0))</f>
        <v/>
      </c>
      <c r="F12" s="5">
        <f>F11+D12</f>
        <v/>
      </c>
      <c r="G12">
        <f>IF(C12="Base",INDEX(Inputs!$I$14:$I$17,INT((MATCH($A12,Tiers!$G$4:$G$15,0)-1)/3)+1),INDEX(Inputs!$J$14:$J$17,INT((MATCH($A12,Tiers!$G$4:$G$15,0)-1)/3)+1))</f>
        <v/>
      </c>
    </row>
    <row r="13">
      <c r="A13" t="n">
        <v>9</v>
      </c>
      <c r="B13">
        <f>INDEX(Tiers!$A$4:$A$15,MATCH($A13,Tiers!$G$4:$G$15,0))</f>
        <v/>
      </c>
      <c r="C13">
        <f>INDEX(Tiers!$B$4:$B$15,MATCH($A13,Tiers!$G$4:$G$15,0))</f>
        <v/>
      </c>
      <c r="D13" s="5">
        <f>INDEX(Tiers!$D$4:$D$15,MATCH($A13,Tiers!$G$4:$G$15,0))</f>
        <v/>
      </c>
      <c r="E13">
        <f>INDEX(Tiers!$E$4:$E$15,MATCH($A13,Tiers!$G$4:$G$15,0))</f>
        <v/>
      </c>
      <c r="F13" s="5">
        <f>F12+D13</f>
        <v/>
      </c>
      <c r="G13">
        <f>IF(C13="Base",INDEX(Inputs!$I$14:$I$17,INT((MATCH($A13,Tiers!$G$4:$G$15,0)-1)/3)+1),INDEX(Inputs!$J$14:$J$17,INT((MATCH($A13,Tiers!$G$4:$G$15,0)-1)/3)+1))</f>
        <v/>
      </c>
    </row>
    <row r="14">
      <c r="A14" t="n">
        <v>10</v>
      </c>
      <c r="B14">
        <f>INDEX(Tiers!$A$4:$A$15,MATCH($A14,Tiers!$G$4:$G$15,0))</f>
        <v/>
      </c>
      <c r="C14">
        <f>INDEX(Tiers!$B$4:$B$15,MATCH($A14,Tiers!$G$4:$G$15,0))</f>
        <v/>
      </c>
      <c r="D14" s="5">
        <f>INDEX(Tiers!$D$4:$D$15,MATCH($A14,Tiers!$G$4:$G$15,0))</f>
        <v/>
      </c>
      <c r="E14">
        <f>INDEX(Tiers!$E$4:$E$15,MATCH($A14,Tiers!$G$4:$G$15,0))</f>
        <v/>
      </c>
      <c r="F14" s="5">
        <f>F13+D14</f>
        <v/>
      </c>
      <c r="G14">
        <f>IF(C14="Base",INDEX(Inputs!$I$14:$I$17,INT((MATCH($A14,Tiers!$G$4:$G$15,0)-1)/3)+1),INDEX(Inputs!$J$14:$J$17,INT((MATCH($A14,Tiers!$G$4:$G$15,0)-1)/3)+1))</f>
        <v/>
      </c>
    </row>
    <row r="15">
      <c r="A15" t="n">
        <v>11</v>
      </c>
      <c r="B15">
        <f>INDEX(Tiers!$A$4:$A$15,MATCH($A15,Tiers!$G$4:$G$15,0))</f>
        <v/>
      </c>
      <c r="C15">
        <f>INDEX(Tiers!$B$4:$B$15,MATCH($A15,Tiers!$G$4:$G$15,0))</f>
        <v/>
      </c>
      <c r="D15" s="5">
        <f>INDEX(Tiers!$D$4:$D$15,MATCH($A15,Tiers!$G$4:$G$15,0))</f>
        <v/>
      </c>
      <c r="E15">
        <f>INDEX(Tiers!$E$4:$E$15,MATCH($A15,Tiers!$G$4:$G$15,0))</f>
        <v/>
      </c>
      <c r="F15" s="5">
        <f>F14+D15</f>
        <v/>
      </c>
      <c r="G15">
        <f>IF(C15="Base",INDEX(Inputs!$I$14:$I$17,INT((MATCH($A15,Tiers!$G$4:$G$15,0)-1)/3)+1),INDEX(Inputs!$J$14:$J$17,INT((MATCH($A15,Tiers!$G$4:$G$15,0)-1)/3)+1))</f>
        <v/>
      </c>
    </row>
    <row r="16">
      <c r="A16" t="n">
        <v>12</v>
      </c>
      <c r="B16">
        <f>INDEX(Tiers!$A$4:$A$15,MATCH($A16,Tiers!$G$4:$G$15,0))</f>
        <v/>
      </c>
      <c r="C16">
        <f>INDEX(Tiers!$B$4:$B$15,MATCH($A16,Tiers!$G$4:$G$15,0))</f>
        <v/>
      </c>
      <c r="D16" s="5">
        <f>INDEX(Tiers!$D$4:$D$15,MATCH($A16,Tiers!$G$4:$G$15,0))</f>
        <v/>
      </c>
      <c r="E16">
        <f>INDEX(Tiers!$E$4:$E$15,MATCH($A16,Tiers!$G$4:$G$15,0))</f>
        <v/>
      </c>
      <c r="F16" s="5">
        <f>F15+D16</f>
        <v/>
      </c>
      <c r="G16">
        <f>IF(C16="Base",INDEX(Inputs!$I$14:$I$17,INT((MATCH($A16,Tiers!$G$4:$G$15,0)-1)/3)+1),INDEX(Inputs!$J$14:$J$17,INT((MATCH($A16,Tiers!$G$4:$G$15,0)-1)/3)+1))</f>
        <v/>
      </c>
    </row>
    <row r="18">
      <c r="A18" t="inlineStr">
        <is>
          <t>Prior-year column follows the sorted order of the current curve (volumes identical); it is the Dallas Fed Q1 2025 average for the same tier.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cols>
    <col width="54" customWidth="1" min="1" max="1"/>
    <col width="14"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2" t="inlineStr">
        <is>
          <t>Mapping (live): which tiers are in the money (WTI price &gt;= tier breakeven). APPROXIMATE - built from company disclosures and the Dallas Fed Energy Survey, US shale only, WTI basis</t>
        </is>
      </c>
    </row>
    <row r="2">
      <c r="A2" t="inlineStr">
        <is>
          <t>Prices: spot and 12-month mean WTI and the Brent forward (converted to WTI with the spread on Inputs) from 'Price context' / 'Price forwards'; shift on Inputs.</t>
        </is>
      </c>
    </row>
    <row r="4" ht="60" customHeight="1">
      <c r="A4" s="3" t="inlineStr">
        <is>
          <t>Scenario</t>
        </is>
      </c>
      <c r="B4" s="3" t="inlineStr">
        <is>
          <t>WTI price (USD/bbl)</t>
        </is>
      </c>
      <c r="C4" s="3">
        <f>Curve!$B$5</f>
        <v/>
      </c>
      <c r="D4" s="3">
        <f>Curve!$B$6</f>
        <v/>
      </c>
      <c r="E4" s="3">
        <f>Curve!$B$7</f>
        <v/>
      </c>
      <c r="F4" s="3">
        <f>Curve!$B$8</f>
        <v/>
      </c>
      <c r="G4" s="3">
        <f>Curve!$B$9</f>
        <v/>
      </c>
      <c r="H4" s="3">
        <f>Curve!$B$10</f>
        <v/>
      </c>
      <c r="I4" s="3">
        <f>Curve!$B$11</f>
        <v/>
      </c>
      <c r="J4" s="3">
        <f>Curve!$B$12</f>
        <v/>
      </c>
      <c r="K4" s="3">
        <f>Curve!$B$13</f>
        <v/>
      </c>
      <c r="L4" s="3">
        <f>Curve!$B$14</f>
        <v/>
      </c>
      <c r="M4" s="3">
        <f>Curve!$B$15</f>
        <v/>
      </c>
      <c r="N4" s="3">
        <f>Curve!$B$16</f>
        <v/>
      </c>
      <c r="O4" s="3" t="inlineStr">
        <is>
          <t>Volume in the money (Mb/d)</t>
        </is>
      </c>
      <c r="P4" s="3" t="inlineStr">
        <is>
          <t>Share of total volume</t>
        </is>
      </c>
      <c r="Q4" s="3" t="inlineStr">
        <is>
          <t>Tiers in the money (of 12)</t>
        </is>
      </c>
      <c r="R4" s="3" t="inlineStr">
        <is>
          <t>Marginal in-the-money breakeven (USD/bbl)</t>
        </is>
      </c>
      <c r="S4" s="3" t="inlineStr">
        <is>
          <t>Cushion over the highest breakeven (USD/bbl)</t>
        </is>
      </c>
    </row>
    <row r="5">
      <c r="A5" t="inlineStr">
        <is>
          <t>Tier breakeven (USD/bbl)</t>
        </is>
      </c>
      <c r="C5">
        <f>Curve!$E$5</f>
        <v/>
      </c>
      <c r="D5">
        <f>Curve!$E$6</f>
        <v/>
      </c>
      <c r="E5">
        <f>Curve!$E$7</f>
        <v/>
      </c>
      <c r="F5">
        <f>Curve!$E$8</f>
        <v/>
      </c>
      <c r="G5">
        <f>Curve!$E$9</f>
        <v/>
      </c>
      <c r="H5">
        <f>Curve!$E$10</f>
        <v/>
      </c>
      <c r="I5">
        <f>Curve!$E$11</f>
        <v/>
      </c>
      <c r="J5">
        <f>Curve!$E$12</f>
        <v/>
      </c>
      <c r="K5">
        <f>Curve!$E$13</f>
        <v/>
      </c>
      <c r="L5">
        <f>Curve!$E$14</f>
        <v/>
      </c>
      <c r="M5">
        <f>Curve!$E$15</f>
        <v/>
      </c>
      <c r="N5">
        <f>Curve!$E$16</f>
        <v/>
      </c>
    </row>
    <row r="6">
      <c r="A6" t="inlineStr">
        <is>
          <t>Tier volume (Mb/d)</t>
        </is>
      </c>
      <c r="C6">
        <f>Curve!$D$5</f>
        <v/>
      </c>
      <c r="D6">
        <f>Curve!$D$6</f>
        <v/>
      </c>
      <c r="E6">
        <f>Curve!$D$7</f>
        <v/>
      </c>
      <c r="F6">
        <f>Curve!$D$8</f>
        <v/>
      </c>
      <c r="G6">
        <f>Curve!$D$9</f>
        <v/>
      </c>
      <c r="H6">
        <f>Curve!$D$10</f>
        <v/>
      </c>
      <c r="I6">
        <f>Curve!$D$11</f>
        <v/>
      </c>
      <c r="J6">
        <f>Curve!$D$12</f>
        <v/>
      </c>
      <c r="K6">
        <f>Curve!$D$13</f>
        <v/>
      </c>
      <c r="L6">
        <f>Curve!$D$14</f>
        <v/>
      </c>
      <c r="M6">
        <f>Curve!$D$15</f>
        <v/>
      </c>
      <c r="N6">
        <f>Curve!$D$16</f>
        <v/>
      </c>
    </row>
    <row r="7">
      <c r="A7" t="inlineStr">
        <is>
          <t>WTI spot</t>
        </is>
      </c>
      <c r="B7" s="6">
        <f>'Price context'!$B$2</f>
        <v/>
      </c>
      <c r="C7">
        <f>IF($B7&gt;=C$5,"in","out")</f>
        <v/>
      </c>
      <c r="D7">
        <f>IF($B7&gt;=D$5,"in","out")</f>
        <v/>
      </c>
      <c r="E7">
        <f>IF($B7&gt;=E$5,"in","out")</f>
        <v/>
      </c>
      <c r="F7">
        <f>IF($B7&gt;=F$5,"in","out")</f>
        <v/>
      </c>
      <c r="G7">
        <f>IF($B7&gt;=G$5,"in","out")</f>
        <v/>
      </c>
      <c r="H7">
        <f>IF($B7&gt;=H$5,"in","out")</f>
        <v/>
      </c>
      <c r="I7">
        <f>IF($B7&gt;=I$5,"in","out")</f>
        <v/>
      </c>
      <c r="J7">
        <f>IF($B7&gt;=J$5,"in","out")</f>
        <v/>
      </c>
      <c r="K7">
        <f>IF($B7&gt;=K$5,"in","out")</f>
        <v/>
      </c>
      <c r="L7">
        <f>IF($B7&gt;=L$5,"in","out")</f>
        <v/>
      </c>
      <c r="M7">
        <f>IF($B7&gt;=M$5,"in","out")</f>
        <v/>
      </c>
      <c r="N7">
        <f>IF($B7&gt;=N$5,"in","out")</f>
        <v/>
      </c>
      <c r="O7" s="7">
        <f>SUMPRODUCT(($B7&gt;=C$5:N$5)*C$6:N$6)</f>
        <v/>
      </c>
      <c r="P7" s="8">
        <f>O7/SUM(C$6:N$6)</f>
        <v/>
      </c>
      <c r="Q7">
        <f>COUNTIF(C7:N7,"in")</f>
        <v/>
      </c>
      <c r="R7" s="6">
        <f>IF(Q7=0,"none",SUMPRODUCT(MAX(($B7&gt;=C$5:N$5)*C$5:N$5)))</f>
        <v/>
      </c>
      <c r="S7" s="6">
        <f>$B7-MAX(C$5:N$5)</f>
        <v/>
      </c>
    </row>
    <row r="8">
      <c r="A8" t="inlineStr">
        <is>
          <t>WTI spot minus shift</t>
        </is>
      </c>
      <c r="B8" s="6">
        <f>'Price context'!$B$2-Inputs!$B$7</f>
        <v/>
      </c>
      <c r="C8">
        <f>IF($B8&gt;=C$5,"in","out")</f>
        <v/>
      </c>
      <c r="D8">
        <f>IF($B8&gt;=D$5,"in","out")</f>
        <v/>
      </c>
      <c r="E8">
        <f>IF($B8&gt;=E$5,"in","out")</f>
        <v/>
      </c>
      <c r="F8">
        <f>IF($B8&gt;=F$5,"in","out")</f>
        <v/>
      </c>
      <c r="G8">
        <f>IF($B8&gt;=G$5,"in","out")</f>
        <v/>
      </c>
      <c r="H8">
        <f>IF($B8&gt;=H$5,"in","out")</f>
        <v/>
      </c>
      <c r="I8">
        <f>IF($B8&gt;=I$5,"in","out")</f>
        <v/>
      </c>
      <c r="J8">
        <f>IF($B8&gt;=J$5,"in","out")</f>
        <v/>
      </c>
      <c r="K8">
        <f>IF($B8&gt;=K$5,"in","out")</f>
        <v/>
      </c>
      <c r="L8">
        <f>IF($B8&gt;=L$5,"in","out")</f>
        <v/>
      </c>
      <c r="M8">
        <f>IF($B8&gt;=M$5,"in","out")</f>
        <v/>
      </c>
      <c r="N8">
        <f>IF($B8&gt;=N$5,"in","out")</f>
        <v/>
      </c>
      <c r="O8" s="7">
        <f>SUMPRODUCT(($B8&gt;=C$5:N$5)*C$6:N$6)</f>
        <v/>
      </c>
      <c r="P8" s="8">
        <f>O8/SUM(C$6:N$6)</f>
        <v/>
      </c>
      <c r="Q8">
        <f>COUNTIF(C8:N8,"in")</f>
        <v/>
      </c>
      <c r="R8" s="6">
        <f>IF(Q8=0,"none",SUMPRODUCT(MAX(($B8&gt;=C$5:N$5)*C$5:N$5)))</f>
        <v/>
      </c>
      <c r="S8" s="6">
        <f>$B8-MAX(C$5:N$5)</f>
        <v/>
      </c>
    </row>
    <row r="9">
      <c r="A9" t="inlineStr">
        <is>
          <t>WTI spot plus shift</t>
        </is>
      </c>
      <c r="B9" s="6">
        <f>'Price context'!$B$2+Inputs!$B$7</f>
        <v/>
      </c>
      <c r="C9">
        <f>IF($B9&gt;=C$5,"in","out")</f>
        <v/>
      </c>
      <c r="D9">
        <f>IF($B9&gt;=D$5,"in","out")</f>
        <v/>
      </c>
      <c r="E9">
        <f>IF($B9&gt;=E$5,"in","out")</f>
        <v/>
      </c>
      <c r="F9">
        <f>IF($B9&gt;=F$5,"in","out")</f>
        <v/>
      </c>
      <c r="G9">
        <f>IF($B9&gt;=G$5,"in","out")</f>
        <v/>
      </c>
      <c r="H9">
        <f>IF($B9&gt;=H$5,"in","out")</f>
        <v/>
      </c>
      <c r="I9">
        <f>IF($B9&gt;=I$5,"in","out")</f>
        <v/>
      </c>
      <c r="J9">
        <f>IF($B9&gt;=J$5,"in","out")</f>
        <v/>
      </c>
      <c r="K9">
        <f>IF($B9&gt;=K$5,"in","out")</f>
        <v/>
      </c>
      <c r="L9">
        <f>IF($B9&gt;=L$5,"in","out")</f>
        <v/>
      </c>
      <c r="M9">
        <f>IF($B9&gt;=M$5,"in","out")</f>
        <v/>
      </c>
      <c r="N9">
        <f>IF($B9&gt;=N$5,"in","out")</f>
        <v/>
      </c>
      <c r="O9" s="7">
        <f>SUMPRODUCT(($B9&gt;=C$5:N$5)*C$6:N$6)</f>
        <v/>
      </c>
      <c r="P9" s="8">
        <f>O9/SUM(C$6:N$6)</f>
        <v/>
      </c>
      <c r="Q9">
        <f>COUNTIF(C9:N9,"in")</f>
        <v/>
      </c>
      <c r="R9" s="6">
        <f>IF(Q9=0,"none",SUMPRODUCT(MAX(($B9&gt;=C$5:N$5)*C$5:N$5)))</f>
        <v/>
      </c>
      <c r="S9" s="6">
        <f>$B9-MAX(C$5:N$5)</f>
        <v/>
      </c>
    </row>
    <row r="10">
      <c r="A10" t="inlineStr">
        <is>
          <t>WTI, last 12 months mean</t>
        </is>
      </c>
      <c r="B10" s="6">
        <f>'Price context'!$B$4</f>
        <v/>
      </c>
      <c r="C10">
        <f>IF($B10&gt;=C$5,"in","out")</f>
        <v/>
      </c>
      <c r="D10">
        <f>IF($B10&gt;=D$5,"in","out")</f>
        <v/>
      </c>
      <c r="E10">
        <f>IF($B10&gt;=E$5,"in","out")</f>
        <v/>
      </c>
      <c r="F10">
        <f>IF($B10&gt;=F$5,"in","out")</f>
        <v/>
      </c>
      <c r="G10">
        <f>IF($B10&gt;=G$5,"in","out")</f>
        <v/>
      </c>
      <c r="H10">
        <f>IF($B10&gt;=H$5,"in","out")</f>
        <v/>
      </c>
      <c r="I10">
        <f>IF($B10&gt;=I$5,"in","out")</f>
        <v/>
      </c>
      <c r="J10">
        <f>IF($B10&gt;=J$5,"in","out")</f>
        <v/>
      </c>
      <c r="K10">
        <f>IF($B10&gt;=K$5,"in","out")</f>
        <v/>
      </c>
      <c r="L10">
        <f>IF($B10&gt;=L$5,"in","out")</f>
        <v/>
      </c>
      <c r="M10">
        <f>IF($B10&gt;=M$5,"in","out")</f>
        <v/>
      </c>
      <c r="N10">
        <f>IF($B10&gt;=N$5,"in","out")</f>
        <v/>
      </c>
      <c r="O10" s="7">
        <f>SUMPRODUCT(($B10&gt;=C$5:N$5)*C$6:N$6)</f>
        <v/>
      </c>
      <c r="P10" s="8">
        <f>O10/SUM(C$6:N$6)</f>
        <v/>
      </c>
      <c r="Q10">
        <f>COUNTIF(C10:N10,"in")</f>
        <v/>
      </c>
      <c r="R10" s="6">
        <f>IF(Q10=0,"none",SUMPRODUCT(MAX(($B10&gt;=C$5:N$5)*C$5:N$5)))</f>
        <v/>
      </c>
      <c r="S10" s="6">
        <f>$B10-MAX(C$5:N$5)</f>
        <v/>
      </c>
    </row>
    <row r="11">
      <c r="A11" t="inlineStr">
        <is>
          <t>WTI, last 12 months mean minus shift</t>
        </is>
      </c>
      <c r="B11" s="6">
        <f>'Price context'!$B$4-Inputs!$B$7</f>
        <v/>
      </c>
      <c r="C11">
        <f>IF($B11&gt;=C$5,"in","out")</f>
        <v/>
      </c>
      <c r="D11">
        <f>IF($B11&gt;=D$5,"in","out")</f>
        <v/>
      </c>
      <c r="E11">
        <f>IF($B11&gt;=E$5,"in","out")</f>
        <v/>
      </c>
      <c r="F11">
        <f>IF($B11&gt;=F$5,"in","out")</f>
        <v/>
      </c>
      <c r="G11">
        <f>IF($B11&gt;=G$5,"in","out")</f>
        <v/>
      </c>
      <c r="H11">
        <f>IF($B11&gt;=H$5,"in","out")</f>
        <v/>
      </c>
      <c r="I11">
        <f>IF($B11&gt;=I$5,"in","out")</f>
        <v/>
      </c>
      <c r="J11">
        <f>IF($B11&gt;=J$5,"in","out")</f>
        <v/>
      </c>
      <c r="K11">
        <f>IF($B11&gt;=K$5,"in","out")</f>
        <v/>
      </c>
      <c r="L11">
        <f>IF($B11&gt;=L$5,"in","out")</f>
        <v/>
      </c>
      <c r="M11">
        <f>IF($B11&gt;=M$5,"in","out")</f>
        <v/>
      </c>
      <c r="N11">
        <f>IF($B11&gt;=N$5,"in","out")</f>
        <v/>
      </c>
      <c r="O11" s="7">
        <f>SUMPRODUCT(($B11&gt;=C$5:N$5)*C$6:N$6)</f>
        <v/>
      </c>
      <c r="P11" s="8">
        <f>O11/SUM(C$6:N$6)</f>
        <v/>
      </c>
      <c r="Q11">
        <f>COUNTIF(C11:N11,"in")</f>
        <v/>
      </c>
      <c r="R11" s="6">
        <f>IF(Q11=0,"none",SUMPRODUCT(MAX(($B11&gt;=C$5:N$5)*C$5:N$5)))</f>
        <v/>
      </c>
      <c r="S11" s="6">
        <f>$B11-MAX(C$5:N$5)</f>
        <v/>
      </c>
    </row>
    <row r="12">
      <c r="A12" t="inlineStr">
        <is>
          <t>WTI, last 12 months mean plus shift</t>
        </is>
      </c>
      <c r="B12" s="6">
        <f>'Price context'!$B$4+Inputs!$B$7</f>
        <v/>
      </c>
      <c r="C12">
        <f>IF($B12&gt;=C$5,"in","out")</f>
        <v/>
      </c>
      <c r="D12">
        <f>IF($B12&gt;=D$5,"in","out")</f>
        <v/>
      </c>
      <c r="E12">
        <f>IF($B12&gt;=E$5,"in","out")</f>
        <v/>
      </c>
      <c r="F12">
        <f>IF($B12&gt;=F$5,"in","out")</f>
        <v/>
      </c>
      <c r="G12">
        <f>IF($B12&gt;=G$5,"in","out")</f>
        <v/>
      </c>
      <c r="H12">
        <f>IF($B12&gt;=H$5,"in","out")</f>
        <v/>
      </c>
      <c r="I12">
        <f>IF($B12&gt;=I$5,"in","out")</f>
        <v/>
      </c>
      <c r="J12">
        <f>IF($B12&gt;=J$5,"in","out")</f>
        <v/>
      </c>
      <c r="K12">
        <f>IF($B12&gt;=K$5,"in","out")</f>
        <v/>
      </c>
      <c r="L12">
        <f>IF($B12&gt;=L$5,"in","out")</f>
        <v/>
      </c>
      <c r="M12">
        <f>IF($B12&gt;=M$5,"in","out")</f>
        <v/>
      </c>
      <c r="N12">
        <f>IF($B12&gt;=N$5,"in","out")</f>
        <v/>
      </c>
      <c r="O12" s="7">
        <f>SUMPRODUCT(($B12&gt;=C$5:N$5)*C$6:N$6)</f>
        <v/>
      </c>
      <c r="P12" s="8">
        <f>O12/SUM(C$6:N$6)</f>
        <v/>
      </c>
      <c r="Q12">
        <f>COUNTIF(C12:N12,"in")</f>
        <v/>
      </c>
      <c r="R12" s="6">
        <f>IF(Q12=0,"none",SUMPRODUCT(MAX(($B12&gt;=C$5:N$5)*C$5:N$5)))</f>
        <v/>
      </c>
      <c r="S12" s="6">
        <f>$B12-MAX(C$5:N$5)</f>
        <v/>
      </c>
    </row>
    <row r="13">
      <c r="A13" t="inlineStr">
        <is>
          <t>Brent forward M12 less spread (WTI-equivalent)</t>
        </is>
      </c>
      <c r="B13" s="6">
        <f>'Price forwards'!$B$5-Inputs!$B$6</f>
        <v/>
      </c>
      <c r="C13">
        <f>IF($B13&gt;=C$5,"in","out")</f>
        <v/>
      </c>
      <c r="D13">
        <f>IF($B13&gt;=D$5,"in","out")</f>
        <v/>
      </c>
      <c r="E13">
        <f>IF($B13&gt;=E$5,"in","out")</f>
        <v/>
      </c>
      <c r="F13">
        <f>IF($B13&gt;=F$5,"in","out")</f>
        <v/>
      </c>
      <c r="G13">
        <f>IF($B13&gt;=G$5,"in","out")</f>
        <v/>
      </c>
      <c r="H13">
        <f>IF($B13&gt;=H$5,"in","out")</f>
        <v/>
      </c>
      <c r="I13">
        <f>IF($B13&gt;=I$5,"in","out")</f>
        <v/>
      </c>
      <c r="J13">
        <f>IF($B13&gt;=J$5,"in","out")</f>
        <v/>
      </c>
      <c r="K13">
        <f>IF($B13&gt;=K$5,"in","out")</f>
        <v/>
      </c>
      <c r="L13">
        <f>IF($B13&gt;=L$5,"in","out")</f>
        <v/>
      </c>
      <c r="M13">
        <f>IF($B13&gt;=M$5,"in","out")</f>
        <v/>
      </c>
      <c r="N13">
        <f>IF($B13&gt;=N$5,"in","out")</f>
        <v/>
      </c>
      <c r="O13" s="7">
        <f>SUMPRODUCT(($B13&gt;=C$5:N$5)*C$6:N$6)</f>
        <v/>
      </c>
      <c r="P13" s="8">
        <f>O13/SUM(C$6:N$6)</f>
        <v/>
      </c>
      <c r="Q13">
        <f>COUNTIF(C13:N13,"in")</f>
        <v/>
      </c>
      <c r="R13" s="6">
        <f>IF(Q13=0,"none",SUMPRODUCT(MAX(($B13&gt;=C$5:N$5)*C$5:N$5)))</f>
        <v/>
      </c>
      <c r="S13" s="6">
        <f>$B13-MAX(C$5:N$5)</f>
        <v/>
      </c>
    </row>
    <row r="14">
      <c r="A14" t="inlineStr">
        <is>
          <t>Brent forward M12 less spread (WTI-equivalent) minus shift</t>
        </is>
      </c>
      <c r="B14" s="6">
        <f>'Price forwards'!$B$5-Inputs!$B$6-Inputs!$B$7</f>
        <v/>
      </c>
      <c r="C14">
        <f>IF($B14&gt;=C$5,"in","out")</f>
        <v/>
      </c>
      <c r="D14">
        <f>IF($B14&gt;=D$5,"in","out")</f>
        <v/>
      </c>
      <c r="E14">
        <f>IF($B14&gt;=E$5,"in","out")</f>
        <v/>
      </c>
      <c r="F14">
        <f>IF($B14&gt;=F$5,"in","out")</f>
        <v/>
      </c>
      <c r="G14">
        <f>IF($B14&gt;=G$5,"in","out")</f>
        <v/>
      </c>
      <c r="H14">
        <f>IF($B14&gt;=H$5,"in","out")</f>
        <v/>
      </c>
      <c r="I14">
        <f>IF($B14&gt;=I$5,"in","out")</f>
        <v/>
      </c>
      <c r="J14">
        <f>IF($B14&gt;=J$5,"in","out")</f>
        <v/>
      </c>
      <c r="K14">
        <f>IF($B14&gt;=K$5,"in","out")</f>
        <v/>
      </c>
      <c r="L14">
        <f>IF($B14&gt;=L$5,"in","out")</f>
        <v/>
      </c>
      <c r="M14">
        <f>IF($B14&gt;=M$5,"in","out")</f>
        <v/>
      </c>
      <c r="N14">
        <f>IF($B14&gt;=N$5,"in","out")</f>
        <v/>
      </c>
      <c r="O14" s="7">
        <f>SUMPRODUCT(($B14&gt;=C$5:N$5)*C$6:N$6)</f>
        <v/>
      </c>
      <c r="P14" s="8">
        <f>O14/SUM(C$6:N$6)</f>
        <v/>
      </c>
      <c r="Q14">
        <f>COUNTIF(C14:N14,"in")</f>
        <v/>
      </c>
      <c r="R14" s="6">
        <f>IF(Q14=0,"none",SUMPRODUCT(MAX(($B14&gt;=C$5:N$5)*C$5:N$5)))</f>
        <v/>
      </c>
      <c r="S14" s="6">
        <f>$B14-MAX(C$5:N$5)</f>
        <v/>
      </c>
    </row>
    <row r="15">
      <c r="A15" t="inlineStr">
        <is>
          <t>Brent forward M12 less spread (WTI-equivalent) plus shift</t>
        </is>
      </c>
      <c r="B15" s="6">
        <f>'Price forwards'!$B$5-Inputs!$B$6+Inputs!$B$7</f>
        <v/>
      </c>
      <c r="C15">
        <f>IF($B15&gt;=C$5,"in","out")</f>
        <v/>
      </c>
      <c r="D15">
        <f>IF($B15&gt;=D$5,"in","out")</f>
        <v/>
      </c>
      <c r="E15">
        <f>IF($B15&gt;=E$5,"in","out")</f>
        <v/>
      </c>
      <c r="F15">
        <f>IF($B15&gt;=F$5,"in","out")</f>
        <v/>
      </c>
      <c r="G15">
        <f>IF($B15&gt;=G$5,"in","out")</f>
        <v/>
      </c>
      <c r="H15">
        <f>IF($B15&gt;=H$5,"in","out")</f>
        <v/>
      </c>
      <c r="I15">
        <f>IF($B15&gt;=I$5,"in","out")</f>
        <v/>
      </c>
      <c r="J15">
        <f>IF($B15&gt;=J$5,"in","out")</f>
        <v/>
      </c>
      <c r="K15">
        <f>IF($B15&gt;=K$5,"in","out")</f>
        <v/>
      </c>
      <c r="L15">
        <f>IF($B15&gt;=L$5,"in","out")</f>
        <v/>
      </c>
      <c r="M15">
        <f>IF($B15&gt;=M$5,"in","out")</f>
        <v/>
      </c>
      <c r="N15">
        <f>IF($B15&gt;=N$5,"in","out")</f>
        <v/>
      </c>
      <c r="O15" s="7">
        <f>SUMPRODUCT(($B15&gt;=C$5:N$5)*C$6:N$6)</f>
        <v/>
      </c>
      <c r="P15" s="8">
        <f>O15/SUM(C$6:N$6)</f>
        <v/>
      </c>
      <c r="Q15">
        <f>COUNTIF(C15:N15,"in")</f>
        <v/>
      </c>
      <c r="R15" s="6">
        <f>IF(Q15=0,"none",SUMPRODUCT(MAX(($B15&gt;=C$5:N$5)*C$5:N$5)))</f>
        <v/>
      </c>
      <c r="S15" s="6">
        <f>$B15-MAX(C$5:N$5)</f>
        <v/>
      </c>
    </row>
    <row r="16">
      <c r="A16" t="inlineStr">
        <is>
          <t>Brent forward M24 less spread (WTI-equivalent)</t>
        </is>
      </c>
      <c r="B16" s="6">
        <f>'Price forwards'!$B$7-Inputs!$B$6</f>
        <v/>
      </c>
      <c r="C16">
        <f>IF($B16&gt;=C$5,"in","out")</f>
        <v/>
      </c>
      <c r="D16">
        <f>IF($B16&gt;=D$5,"in","out")</f>
        <v/>
      </c>
      <c r="E16">
        <f>IF($B16&gt;=E$5,"in","out")</f>
        <v/>
      </c>
      <c r="F16">
        <f>IF($B16&gt;=F$5,"in","out")</f>
        <v/>
      </c>
      <c r="G16">
        <f>IF($B16&gt;=G$5,"in","out")</f>
        <v/>
      </c>
      <c r="H16">
        <f>IF($B16&gt;=H$5,"in","out")</f>
        <v/>
      </c>
      <c r="I16">
        <f>IF($B16&gt;=I$5,"in","out")</f>
        <v/>
      </c>
      <c r="J16">
        <f>IF($B16&gt;=J$5,"in","out")</f>
        <v/>
      </c>
      <c r="K16">
        <f>IF($B16&gt;=K$5,"in","out")</f>
        <v/>
      </c>
      <c r="L16">
        <f>IF($B16&gt;=L$5,"in","out")</f>
        <v/>
      </c>
      <c r="M16">
        <f>IF($B16&gt;=M$5,"in","out")</f>
        <v/>
      </c>
      <c r="N16">
        <f>IF($B16&gt;=N$5,"in","out")</f>
        <v/>
      </c>
      <c r="O16" s="7">
        <f>SUMPRODUCT(($B16&gt;=C$5:N$5)*C$6:N$6)</f>
        <v/>
      </c>
      <c r="P16" s="8">
        <f>O16/SUM(C$6:N$6)</f>
        <v/>
      </c>
      <c r="Q16">
        <f>COUNTIF(C16:N16,"in")</f>
        <v/>
      </c>
      <c r="R16" s="6">
        <f>IF(Q16=0,"none",SUMPRODUCT(MAX(($B16&gt;=C$5:N$5)*C$5:N$5)))</f>
        <v/>
      </c>
      <c r="S16" s="6">
        <f>$B16-MAX(C$5:N$5)</f>
        <v/>
      </c>
    </row>
    <row r="17">
      <c r="A17" t="inlineStr">
        <is>
          <t>Brent forward M24 less spread (WTI-equivalent) minus shift</t>
        </is>
      </c>
      <c r="B17" s="6">
        <f>'Price forwards'!$B$7-Inputs!$B$6-Inputs!$B$7</f>
        <v/>
      </c>
      <c r="C17">
        <f>IF($B17&gt;=C$5,"in","out")</f>
        <v/>
      </c>
      <c r="D17">
        <f>IF($B17&gt;=D$5,"in","out")</f>
        <v/>
      </c>
      <c r="E17">
        <f>IF($B17&gt;=E$5,"in","out")</f>
        <v/>
      </c>
      <c r="F17">
        <f>IF($B17&gt;=F$5,"in","out")</f>
        <v/>
      </c>
      <c r="G17">
        <f>IF($B17&gt;=G$5,"in","out")</f>
        <v/>
      </c>
      <c r="H17">
        <f>IF($B17&gt;=H$5,"in","out")</f>
        <v/>
      </c>
      <c r="I17">
        <f>IF($B17&gt;=I$5,"in","out")</f>
        <v/>
      </c>
      <c r="J17">
        <f>IF($B17&gt;=J$5,"in","out")</f>
        <v/>
      </c>
      <c r="K17">
        <f>IF($B17&gt;=K$5,"in","out")</f>
        <v/>
      </c>
      <c r="L17">
        <f>IF($B17&gt;=L$5,"in","out")</f>
        <v/>
      </c>
      <c r="M17">
        <f>IF($B17&gt;=M$5,"in","out")</f>
        <v/>
      </c>
      <c r="N17">
        <f>IF($B17&gt;=N$5,"in","out")</f>
        <v/>
      </c>
      <c r="O17" s="7">
        <f>SUMPRODUCT(($B17&gt;=C$5:N$5)*C$6:N$6)</f>
        <v/>
      </c>
      <c r="P17" s="8">
        <f>O17/SUM(C$6:N$6)</f>
        <v/>
      </c>
      <c r="Q17">
        <f>COUNTIF(C17:N17,"in")</f>
        <v/>
      </c>
      <c r="R17" s="6">
        <f>IF(Q17=0,"none",SUMPRODUCT(MAX(($B17&gt;=C$5:N$5)*C$5:N$5)))</f>
        <v/>
      </c>
      <c r="S17" s="6">
        <f>$B17-MAX(C$5:N$5)</f>
        <v/>
      </c>
    </row>
    <row r="18">
      <c r="A18" t="inlineStr">
        <is>
          <t>Brent forward M24 less spread (WTI-equivalent) plus shift</t>
        </is>
      </c>
      <c r="B18" s="6">
        <f>'Price forwards'!$B$7-Inputs!$B$6+Inputs!$B$7</f>
        <v/>
      </c>
      <c r="C18">
        <f>IF($B18&gt;=C$5,"in","out")</f>
        <v/>
      </c>
      <c r="D18">
        <f>IF($B18&gt;=D$5,"in","out")</f>
        <v/>
      </c>
      <c r="E18">
        <f>IF($B18&gt;=E$5,"in","out")</f>
        <v/>
      </c>
      <c r="F18">
        <f>IF($B18&gt;=F$5,"in","out")</f>
        <v/>
      </c>
      <c r="G18">
        <f>IF($B18&gt;=G$5,"in","out")</f>
        <v/>
      </c>
      <c r="H18">
        <f>IF($B18&gt;=H$5,"in","out")</f>
        <v/>
      </c>
      <c r="I18">
        <f>IF($B18&gt;=I$5,"in","out")</f>
        <v/>
      </c>
      <c r="J18">
        <f>IF($B18&gt;=J$5,"in","out")</f>
        <v/>
      </c>
      <c r="K18">
        <f>IF($B18&gt;=K$5,"in","out")</f>
        <v/>
      </c>
      <c r="L18">
        <f>IF($B18&gt;=L$5,"in","out")</f>
        <v/>
      </c>
      <c r="M18">
        <f>IF($B18&gt;=M$5,"in","out")</f>
        <v/>
      </c>
      <c r="N18">
        <f>IF($B18&gt;=N$5,"in","out")</f>
        <v/>
      </c>
      <c r="O18" s="7">
        <f>SUMPRODUCT(($B18&gt;=C$5:N$5)*C$6:N$6)</f>
        <v/>
      </c>
      <c r="P18" s="8">
        <f>O18/SUM(C$6:N$6)</f>
        <v/>
      </c>
      <c r="Q18">
        <f>COUNTIF(C18:N18,"in")</f>
        <v/>
      </c>
      <c r="R18" s="6">
        <f>IF(Q18=0,"none",SUMPRODUCT(MAX(($B18&gt;=C$5:N$5)*C$5:N$5)))</f>
        <v/>
      </c>
      <c r="S18" s="6">
        <f>$B18-MAX(C$5:N$5)</f>
        <v/>
      </c>
    </row>
    <row r="20">
      <c r="A20" t="inlineStr">
        <is>
          <t>'in' = the tier's breakeven is at or below the price, so the volume is supported for the next 12 months at maintenance drilling. A price below the new-well breakevens but above shut-in keeps the base tiers but loses the replacement tiers (output falls by the decline).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6" customWidth="1" min="1" max="1"/>
    <col width="26" customWidth="1" min="2" max="2"/>
    <col width="26" customWidth="1" min="3" max="3"/>
  </cols>
  <sheetData>
    <row r="1">
      <c r="A1" s="2" t="inlineStr">
        <is>
          <t>Supply ladder (live): output 12 months ahead at maintenance-only drilling, by WTI price. APPROXIMATE - built from company disclosures and the Dallas Fed Energy Survey, US shale only, WTI basis</t>
        </is>
      </c>
    </row>
    <row r="3">
      <c r="A3" s="3" t="inlineStr">
        <is>
          <t>WTI (USD/bbl)</t>
        </is>
      </c>
      <c r="B3" s="3" t="inlineStr">
        <is>
          <t>Supported volume (Mb/d)</t>
        </is>
      </c>
      <c r="C3" s="3" t="inlineStr">
        <is>
          <t>Share of current production</t>
        </is>
      </c>
    </row>
    <row r="4">
      <c r="A4">
        <f>Inputs!$B$11+0*Inputs!$B$12</f>
        <v/>
      </c>
      <c r="B4" s="7">
        <f>SUMPRODUCT((A4&gt;=Curve!$E$5:$E$16)*Curve!$D$5:$D$16)</f>
        <v/>
      </c>
      <c r="C4" s="8">
        <f>B4/SUM(Curve!$D$5:$D$16)</f>
        <v/>
      </c>
    </row>
    <row r="5">
      <c r="A5">
        <f>Inputs!$B$11+1*Inputs!$B$12</f>
        <v/>
      </c>
      <c r="B5" s="7">
        <f>SUMPRODUCT((A5&gt;=Curve!$E$5:$E$16)*Curve!$D$5:$D$16)</f>
        <v/>
      </c>
      <c r="C5" s="8">
        <f>B5/SUM(Curve!$D$5:$D$16)</f>
        <v/>
      </c>
    </row>
    <row r="6">
      <c r="A6">
        <f>Inputs!$B$11+2*Inputs!$B$12</f>
        <v/>
      </c>
      <c r="B6" s="7">
        <f>SUMPRODUCT((A6&gt;=Curve!$E$5:$E$16)*Curve!$D$5:$D$16)</f>
        <v/>
      </c>
      <c r="C6" s="8">
        <f>B6/SUM(Curve!$D$5:$D$16)</f>
        <v/>
      </c>
    </row>
    <row r="7">
      <c r="A7">
        <f>Inputs!$B$11+3*Inputs!$B$12</f>
        <v/>
      </c>
      <c r="B7" s="7">
        <f>SUMPRODUCT((A7&gt;=Curve!$E$5:$E$16)*Curve!$D$5:$D$16)</f>
        <v/>
      </c>
      <c r="C7" s="8">
        <f>B7/SUM(Curve!$D$5:$D$16)</f>
        <v/>
      </c>
    </row>
    <row r="8">
      <c r="A8">
        <f>Inputs!$B$11+4*Inputs!$B$12</f>
        <v/>
      </c>
      <c r="B8" s="7">
        <f>SUMPRODUCT((A8&gt;=Curve!$E$5:$E$16)*Curve!$D$5:$D$16)</f>
        <v/>
      </c>
      <c r="C8" s="8">
        <f>B8/SUM(Curve!$D$5:$D$16)</f>
        <v/>
      </c>
    </row>
    <row r="9">
      <c r="A9">
        <f>Inputs!$B$11+5*Inputs!$B$12</f>
        <v/>
      </c>
      <c r="B9" s="7">
        <f>SUMPRODUCT((A9&gt;=Curve!$E$5:$E$16)*Curve!$D$5:$D$16)</f>
        <v/>
      </c>
      <c r="C9" s="8">
        <f>B9/SUM(Curve!$D$5:$D$16)</f>
        <v/>
      </c>
    </row>
    <row r="10">
      <c r="A10">
        <f>Inputs!$B$11+6*Inputs!$B$12</f>
        <v/>
      </c>
      <c r="B10" s="7">
        <f>SUMPRODUCT((A10&gt;=Curve!$E$5:$E$16)*Curve!$D$5:$D$16)</f>
        <v/>
      </c>
      <c r="C10" s="8">
        <f>B10/SUM(Curve!$D$5:$D$16)</f>
        <v/>
      </c>
    </row>
    <row r="11">
      <c r="A11">
        <f>Inputs!$B$11+7*Inputs!$B$12</f>
        <v/>
      </c>
      <c r="B11" s="7">
        <f>SUMPRODUCT((A11&gt;=Curve!$E$5:$E$16)*Curve!$D$5:$D$16)</f>
        <v/>
      </c>
      <c r="C11" s="8">
        <f>B11/SUM(Curve!$D$5:$D$16)</f>
        <v/>
      </c>
    </row>
    <row r="12">
      <c r="A12">
        <f>Inputs!$B$11+8*Inputs!$B$12</f>
        <v/>
      </c>
      <c r="B12" s="7">
        <f>SUMPRODUCT((A12&gt;=Curve!$E$5:$E$16)*Curve!$D$5:$D$16)</f>
        <v/>
      </c>
      <c r="C12" s="8">
        <f>B12/SUM(Curve!$D$5:$D$16)</f>
        <v/>
      </c>
    </row>
    <row r="13">
      <c r="A13">
        <f>Inputs!$B$11+9*Inputs!$B$12</f>
        <v/>
      </c>
      <c r="B13" s="7">
        <f>SUMPRODUCT((A13&gt;=Curve!$E$5:$E$16)*Curve!$D$5:$D$16)</f>
        <v/>
      </c>
      <c r="C13" s="8">
        <f>B13/SUM(Curve!$D$5:$D$16)</f>
        <v/>
      </c>
    </row>
    <row r="14">
      <c r="A14">
        <f>Inputs!$B$11+10*Inputs!$B$12</f>
        <v/>
      </c>
      <c r="B14" s="7">
        <f>SUMPRODUCT((A14&gt;=Curve!$E$5:$E$16)*Curve!$D$5:$D$16)</f>
        <v/>
      </c>
      <c r="C14" s="8">
        <f>B14/SUM(Curve!$D$5:$D$16)</f>
        <v/>
      </c>
    </row>
    <row r="15">
      <c r="A15">
        <f>Inputs!$B$11+11*Inputs!$B$12</f>
        <v/>
      </c>
      <c r="B15" s="7">
        <f>SUMPRODUCT((A15&gt;=Curve!$E$5:$E$16)*Curve!$D$5:$D$16)</f>
        <v/>
      </c>
      <c r="C15" s="8">
        <f>B15/SUM(Curve!$D$5:$D$16)</f>
        <v/>
      </c>
    </row>
    <row r="16">
      <c r="A16">
        <f>Inputs!$B$11+12*Inputs!$B$12</f>
        <v/>
      </c>
      <c r="B16" s="7">
        <f>SUMPRODUCT((A16&gt;=Curve!$E$5:$E$16)*Curve!$D$5:$D$16)</f>
        <v/>
      </c>
      <c r="C16" s="8">
        <f>B16/SUM(Curve!$D$5:$D$16)</f>
        <v/>
      </c>
    </row>
    <row r="17">
      <c r="A17">
        <f>Inputs!$B$11+13*Inputs!$B$12</f>
        <v/>
      </c>
      <c r="B17" s="7">
        <f>SUMPRODUCT((A17&gt;=Curve!$E$5:$E$16)*Curve!$D$5:$D$16)</f>
        <v/>
      </c>
      <c r="C17" s="8">
        <f>B17/SUM(Curve!$D$5:$D$16)</f>
        <v/>
      </c>
    </row>
    <row r="18">
      <c r="A18">
        <f>Inputs!$B$11+14*Inputs!$B$12</f>
        <v/>
      </c>
      <c r="B18" s="7">
        <f>SUMPRODUCT((A18&gt;=Curve!$E$5:$E$16)*Curve!$D$5:$D$16)</f>
        <v/>
      </c>
      <c r="C18" s="8">
        <f>B18/SUM(Curve!$D$5:$D$16)</f>
        <v/>
      </c>
    </row>
    <row r="19">
      <c r="A19">
        <f>Inputs!$B$11+15*Inputs!$B$12</f>
        <v/>
      </c>
      <c r="B19" s="7">
        <f>SUMPRODUCT((A19&gt;=Curve!$E$5:$E$16)*Curve!$D$5:$D$16)</f>
        <v/>
      </c>
      <c r="C19" s="8">
        <f>B19/SUM(Curve!$D$5:$D$16)</f>
        <v/>
      </c>
    </row>
    <row r="20">
      <c r="A20">
        <f>Inputs!$B$11+16*Inputs!$B$12</f>
        <v/>
      </c>
      <c r="B20" s="7">
        <f>SUMPRODUCT((A20&gt;=Curve!$E$5:$E$16)*Curve!$D$5:$D$16)</f>
        <v/>
      </c>
      <c r="C20" s="8">
        <f>B20/SUM(Curve!$D$5:$D$16)</f>
        <v/>
      </c>
    </row>
    <row r="21">
      <c r="A21">
        <f>Inputs!$B$11+17*Inputs!$B$12</f>
        <v/>
      </c>
      <c r="B21" s="7">
        <f>SUMPRODUCT((A21&gt;=Curve!$E$5:$E$16)*Curve!$D$5:$D$16)</f>
        <v/>
      </c>
      <c r="C21" s="8">
        <f>B21/SUM(Curve!$D$5:$D$16)</f>
        <v/>
      </c>
    </row>
    <row r="22">
      <c r="A22">
        <f>Inputs!$B$11+18*Inputs!$B$12</f>
        <v/>
      </c>
      <c r="B22" s="7">
        <f>SUMPRODUCT((A22&gt;=Curve!$E$5:$E$16)*Curve!$D$5:$D$16)</f>
        <v/>
      </c>
      <c r="C22" s="8">
        <f>B22/SUM(Curve!$D$5:$D$16)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80" customWidth="1" min="1" max="1"/>
    <col width="22" customWidth="1" min="2" max="2"/>
    <col width="22" customWidth="1" min="3" max="3"/>
    <col width="22" customWidth="1" min="4" max="4"/>
  </cols>
  <sheetData>
    <row r="1">
      <c r="A1" s="2" t="inlineStr">
        <is>
          <t>Cross-checks: figures NOT used as curve inputs. APPROXIMATE - built from company disclosures and the Dallas Fed Energy Survey, US shale only, WTI basis</t>
        </is>
      </c>
    </row>
    <row r="3">
      <c r="A3" s="2" t="inlineStr">
        <is>
          <t>A. Dallas Fed new-well breakeven vs operator-disclosed economics</t>
        </is>
      </c>
    </row>
    <row r="4">
      <c r="A4" s="3" t="inlineStr">
        <is>
          <t>Item</t>
        </is>
      </c>
      <c r="B4" s="3" t="inlineStr">
        <is>
          <t>Value</t>
        </is>
      </c>
      <c r="C4" s="3" t="inlineStr">
        <is>
          <t>Unit</t>
        </is>
      </c>
      <c r="D4" s="3" t="inlineStr">
        <is>
          <t>Source ID</t>
        </is>
      </c>
    </row>
    <row r="5">
      <c r="A5" t="inlineStr">
        <is>
          <t>Dallas Fed Q1 2026, large firms (&gt;=10,000 b/d) / small firms new-well breakeven</t>
        </is>
      </c>
      <c r="B5" t="inlineStr">
        <is>
          <t>59 / 68</t>
        </is>
      </c>
      <c r="C5" t="inlineStr">
        <is>
          <t>USD/bbl WTI</t>
        </is>
      </c>
      <c r="D5" t="inlineStr">
        <is>
          <t>D7</t>
        </is>
      </c>
    </row>
    <row r="6">
      <c r="A6" t="inlineStr">
        <is>
          <t>Dallas Fed Q1 2026, all responses new-well / shut-in breakeven</t>
        </is>
      </c>
      <c r="B6" t="inlineStr">
        <is>
          <t>66 / 43</t>
        </is>
      </c>
      <c r="C6" t="inlineStr">
        <is>
          <t>USD/bbl WTI</t>
        </is>
      </c>
      <c r="D6" t="inlineStr">
        <is>
          <t>D7, D8</t>
        </is>
      </c>
    </row>
    <row r="7">
      <c r="A7" t="inlineStr">
        <is>
          <t>Permian Resources D&amp;C cost per lateral foot, Q1 2026</t>
        </is>
      </c>
      <c r="B7" t="n">
        <v>685</v>
      </c>
      <c r="C7" t="inlineStr">
        <is>
          <t>USD/ft</t>
        </is>
      </c>
      <c r="D7" t="inlineStr">
        <is>
          <t>O1</t>
        </is>
      </c>
    </row>
    <row r="8">
      <c r="A8" t="inlineStr">
        <is>
          <t>Matador full-year 2026 D&amp;C per completed lateral foot (midpoint of 785-805)</t>
        </is>
      </c>
      <c r="B8" t="n">
        <v>795</v>
      </c>
      <c r="C8" t="inlineStr">
        <is>
          <t>USD/ft</t>
        </is>
      </c>
      <c r="D8" t="inlineStr">
        <is>
          <t>O3</t>
        </is>
      </c>
    </row>
    <row r="9">
      <c r="A9" t="inlineStr">
        <is>
          <t>Diamondback Barnett (not core) lowest well cost to date</t>
        </is>
      </c>
      <c r="B9" t="inlineStr">
        <is>
          <t>&lt;400</t>
        </is>
      </c>
      <c r="C9" t="inlineStr">
        <is>
          <t>USD/ft</t>
        </is>
      </c>
      <c r="D9" t="inlineStr">
        <is>
          <t>O4</t>
        </is>
      </c>
    </row>
    <row r="10">
      <c r="A10" t="inlineStr">
        <is>
          <t>Chord Bakken 2-/3-/4-mile D&amp;C per foot</t>
        </is>
      </c>
      <c r="B10" t="inlineStr">
        <is>
          <t>710 / 568 / 532</t>
        </is>
      </c>
      <c r="C10" t="inlineStr">
        <is>
          <t>USD/ft</t>
        </is>
      </c>
      <c r="D10" t="inlineStr">
        <is>
          <t>O5</t>
        </is>
      </c>
    </row>
    <row r="11">
      <c r="A11" t="inlineStr">
        <is>
          <t>Chord Bakken 2-/3-/4-mile oil EUR</t>
        </is>
      </c>
      <c r="B11" t="inlineStr">
        <is>
          <t>450 / 675 / 855</t>
        </is>
      </c>
      <c r="C11" t="inlineStr">
        <is>
          <t>Mbbl</t>
        </is>
      </c>
      <c r="D11" t="inlineStr">
        <is>
          <t>O5</t>
        </is>
      </c>
    </row>
    <row r="12">
      <c r="A12" t="inlineStr">
        <is>
          <t>TPL / Enverus remaining Permian locations &lt;$60 breakeven</t>
        </is>
      </c>
      <c r="B12" t="n">
        <v>65000</v>
      </c>
      <c r="C12" t="inlineStr">
        <is>
          <t>locations</t>
        </is>
      </c>
      <c r="D12" t="inlineStr">
        <is>
          <t>T1</t>
        </is>
      </c>
    </row>
    <row r="13">
      <c r="A13" t="inlineStr">
        <is>
          <t>NOG Duvernay (Canada, excluded) average breakeven</t>
        </is>
      </c>
      <c r="B13" t="inlineStr">
        <is>
          <t>&lt;50</t>
        </is>
      </c>
      <c r="C13" t="inlineStr">
        <is>
          <t>USD/bbl WTI</t>
        </is>
      </c>
      <c r="D13" t="inlineStr">
        <is>
          <t>O6</t>
        </is>
      </c>
    </row>
    <row r="16">
      <c r="A16" s="2" t="inlineStr">
        <is>
          <t>B. Volume cross-check: STEO Permian crude production (Mb/d) at the reference month vs TPL's 4Q 2025 Permian figure (6.7)</t>
        </is>
      </c>
    </row>
    <row r="17">
      <c r="A17" t="inlineStr">
        <is>
          <t>STEO Permian crude production, reference month</t>
        </is>
      </c>
      <c r="B17">
        <f>Inputs!$C$14</f>
        <v/>
      </c>
    </row>
    <row r="18">
      <c r="A18" t="inlineStr">
        <is>
          <t>TPL (EIA) Permian crude, 4Q 2025 average</t>
        </is>
      </c>
      <c r="B18" t="n">
        <v>6.7</v>
      </c>
    </row>
    <row r="20">
      <c r="A20" s="2" t="inlineStr">
        <is>
          <t>C. Inventory at the current pace (TPL &lt;$60 locations / STEO completions)</t>
        </is>
      </c>
    </row>
    <row r="21">
      <c r="A21" s="3" t="inlineStr">
        <is>
          <t>Basin</t>
        </is>
      </c>
      <c r="B21" s="3" t="inlineStr">
        <is>
          <t>Locations &lt;$60</t>
        </is>
      </c>
      <c r="C21" s="3" t="inlineStr">
        <is>
          <t>Wells completed per year</t>
        </is>
      </c>
      <c r="D21" s="3" t="inlineStr">
        <is>
          <t>Years</t>
        </is>
      </c>
    </row>
    <row r="22">
      <c r="A22">
        <f>Inputs!$A$14</f>
        <v/>
      </c>
      <c r="B22">
        <f>Inputs!$M$14</f>
        <v/>
      </c>
      <c r="C22">
        <f>Inputs!$N$14</f>
        <v/>
      </c>
      <c r="D22">
        <f>Inputs!$O$14</f>
        <v/>
      </c>
    </row>
    <row r="23">
      <c r="A23">
        <f>Inputs!$A$15</f>
        <v/>
      </c>
      <c r="B23">
        <f>Inputs!$M$15</f>
        <v/>
      </c>
      <c r="C23">
        <f>Inputs!$N$15</f>
        <v/>
      </c>
      <c r="D23">
        <f>Inputs!$O$15</f>
        <v/>
      </c>
    </row>
    <row r="24">
      <c r="A24">
        <f>Inputs!$A$16</f>
        <v/>
      </c>
      <c r="B24">
        <f>Inputs!$M$16</f>
        <v/>
      </c>
      <c r="C24">
        <f>Inputs!$N$16</f>
        <v/>
      </c>
      <c r="D24">
        <f>Inputs!$O$16</f>
        <v/>
      </c>
    </row>
    <row r="26">
      <c r="A26" t="inlineStr">
        <is>
          <t>Caveat: the Dallas Fed averages (about $63-67 new-well) sit ABOVE TPL's $60 inventory cut-off, so most future locations need a price above the survey average only if they are weaker than the &lt;$60 set; the two are different bases and are not combined.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2" t="inlineStr">
        <is>
          <t>Chart data (live): cost curve steps, price lines and the supply ladder. APPROXIMATE - built from company disclosures and the Dallas Fed Energy Survey, US shale only, WTI basis</t>
        </is>
      </c>
    </row>
    <row r="3">
      <c r="A3" t="inlineStr">
        <is>
          <t>WTI spot</t>
        </is>
      </c>
      <c r="B3">
        <f>'Price context'!$B$2</f>
        <v/>
      </c>
    </row>
    <row r="4">
      <c r="A4" t="inlineStr">
        <is>
          <t>WTI 12-month mean</t>
        </is>
      </c>
      <c r="B4">
        <f>'Price context'!$B$4</f>
        <v/>
      </c>
    </row>
    <row r="5">
      <c r="A5" t="inlineStr">
        <is>
          <t>Brent forward M12 as WTI</t>
        </is>
      </c>
      <c r="B5">
        <f>'Price forwards'!$B$5-Inputs!$B$6</f>
        <v/>
      </c>
    </row>
    <row r="6">
      <c r="E6" t="inlineStr">
        <is>
          <t>Cost curve (Dallas Fed Q1 2026 breakevens)</t>
        </is>
      </c>
      <c r="G6" t="inlineStr">
        <is>
          <t>Same tiers, Dallas Fed Q1 2025 (prior year)</t>
        </is>
      </c>
      <c r="I6" t="inlineStr">
        <is>
          <t>WTI spot</t>
        </is>
      </c>
      <c r="J6" t="inlineStr">
        <is>
          <t>WTI, 12-month mean</t>
        </is>
      </c>
      <c r="K6" t="inlineStr">
        <is>
          <t>Brent forward M12 less spread</t>
        </is>
      </c>
    </row>
    <row r="7">
      <c r="A7" s="3" t="n"/>
      <c r="B7" s="3" t="n"/>
      <c r="C7" s="3" t="n"/>
      <c r="D7" s="3" t="inlineStr">
        <is>
          <t>x: cumulative volume (Mb/d)</t>
        </is>
      </c>
      <c r="E7" s="3" t="inlineStr">
        <is>
          <t>y: breakeven (Dallas Fed Q1 2026)</t>
        </is>
      </c>
      <c r="F7" s="3" t="inlineStr">
        <is>
          <t>x prior</t>
        </is>
      </c>
      <c r="G7" s="3" t="inlineStr">
        <is>
          <t>y: same tiers, Dallas Fed Q1 2025</t>
        </is>
      </c>
      <c r="H7" s="3" t="inlineStr">
        <is>
          <t>x line</t>
        </is>
      </c>
      <c r="I7" s="3" t="inlineStr">
        <is>
          <t>y WTI spot</t>
        </is>
      </c>
      <c r="J7" s="3" t="inlineStr">
        <is>
          <t>y WTI 12-month mean</t>
        </is>
      </c>
      <c r="K7" s="3" t="inlineStr">
        <is>
          <t>y Brent M12 as WTI</t>
        </is>
      </c>
    </row>
    <row r="8">
      <c r="D8">
        <f>0</f>
        <v/>
      </c>
      <c r="E8">
        <f>Curve!$E$5</f>
        <v/>
      </c>
      <c r="F8">
        <f>0</f>
        <v/>
      </c>
      <c r="G8">
        <f>Curve!$G$5</f>
        <v/>
      </c>
      <c r="H8" t="n">
        <v>0</v>
      </c>
      <c r="I8">
        <f>$B$3</f>
        <v/>
      </c>
      <c r="J8">
        <f>$B$4</f>
        <v/>
      </c>
      <c r="K8">
        <f>$B$5</f>
        <v/>
      </c>
    </row>
    <row r="9">
      <c r="D9">
        <f>Curve!$F$5</f>
        <v/>
      </c>
      <c r="E9">
        <f>Curve!$E$5</f>
        <v/>
      </c>
      <c r="F9">
        <f>Curve!$F$5</f>
        <v/>
      </c>
      <c r="G9">
        <f>Curve!$G$5</f>
        <v/>
      </c>
      <c r="H9">
        <f>D31</f>
        <v/>
      </c>
      <c r="I9">
        <f>$B$3</f>
        <v/>
      </c>
      <c r="J9">
        <f>$B$4</f>
        <v/>
      </c>
      <c r="K9">
        <f>$B$5</f>
        <v/>
      </c>
    </row>
    <row r="10">
      <c r="D10">
        <f>Curve!$F$5</f>
        <v/>
      </c>
      <c r="E10">
        <f>Curve!$E$6</f>
        <v/>
      </c>
      <c r="F10">
        <f>Curve!$F$5</f>
        <v/>
      </c>
      <c r="G10">
        <f>Curve!$G$6</f>
        <v/>
      </c>
    </row>
    <row r="11">
      <c r="D11">
        <f>Curve!$F$6</f>
        <v/>
      </c>
      <c r="E11">
        <f>Curve!$E$6</f>
        <v/>
      </c>
      <c r="F11">
        <f>Curve!$F$6</f>
        <v/>
      </c>
      <c r="G11">
        <f>Curve!$G$6</f>
        <v/>
      </c>
    </row>
    <row r="12">
      <c r="D12">
        <f>Curve!$F$6</f>
        <v/>
      </c>
      <c r="E12">
        <f>Curve!$E$7</f>
        <v/>
      </c>
      <c r="F12">
        <f>Curve!$F$6</f>
        <v/>
      </c>
      <c r="G12">
        <f>Curve!$G$7</f>
        <v/>
      </c>
    </row>
    <row r="13">
      <c r="D13">
        <f>Curve!$F$7</f>
        <v/>
      </c>
      <c r="E13">
        <f>Curve!$E$7</f>
        <v/>
      </c>
      <c r="F13">
        <f>Curve!$F$7</f>
        <v/>
      </c>
      <c r="G13">
        <f>Curve!$G$7</f>
        <v/>
      </c>
    </row>
    <row r="14">
      <c r="D14">
        <f>Curve!$F$7</f>
        <v/>
      </c>
      <c r="E14">
        <f>Curve!$E$8</f>
        <v/>
      </c>
      <c r="F14">
        <f>Curve!$F$7</f>
        <v/>
      </c>
      <c r="G14">
        <f>Curve!$G$8</f>
        <v/>
      </c>
    </row>
    <row r="15">
      <c r="D15">
        <f>Curve!$F$8</f>
        <v/>
      </c>
      <c r="E15">
        <f>Curve!$E$8</f>
        <v/>
      </c>
      <c r="F15">
        <f>Curve!$F$8</f>
        <v/>
      </c>
      <c r="G15">
        <f>Curve!$G$8</f>
        <v/>
      </c>
    </row>
    <row r="16">
      <c r="D16">
        <f>Curve!$F$8</f>
        <v/>
      </c>
      <c r="E16">
        <f>Curve!$E$9</f>
        <v/>
      </c>
      <c r="F16">
        <f>Curve!$F$8</f>
        <v/>
      </c>
      <c r="G16">
        <f>Curve!$G$9</f>
        <v/>
      </c>
    </row>
    <row r="17">
      <c r="D17">
        <f>Curve!$F$9</f>
        <v/>
      </c>
      <c r="E17">
        <f>Curve!$E$9</f>
        <v/>
      </c>
      <c r="F17">
        <f>Curve!$F$9</f>
        <v/>
      </c>
      <c r="G17">
        <f>Curve!$G$9</f>
        <v/>
      </c>
    </row>
    <row r="18">
      <c r="D18">
        <f>Curve!$F$9</f>
        <v/>
      </c>
      <c r="E18">
        <f>Curve!$E$10</f>
        <v/>
      </c>
      <c r="F18">
        <f>Curve!$F$9</f>
        <v/>
      </c>
      <c r="G18">
        <f>Curve!$G$10</f>
        <v/>
      </c>
    </row>
    <row r="19">
      <c r="D19">
        <f>Curve!$F$10</f>
        <v/>
      </c>
      <c r="E19">
        <f>Curve!$E$10</f>
        <v/>
      </c>
      <c r="F19">
        <f>Curve!$F$10</f>
        <v/>
      </c>
      <c r="G19">
        <f>Curve!$G$10</f>
        <v/>
      </c>
    </row>
    <row r="20">
      <c r="D20">
        <f>Curve!$F$10</f>
        <v/>
      </c>
      <c r="E20">
        <f>Curve!$E$11</f>
        <v/>
      </c>
      <c r="F20">
        <f>Curve!$F$10</f>
        <v/>
      </c>
      <c r="G20">
        <f>Curve!$G$11</f>
        <v/>
      </c>
    </row>
    <row r="21">
      <c r="D21">
        <f>Curve!$F$11</f>
        <v/>
      </c>
      <c r="E21">
        <f>Curve!$E$11</f>
        <v/>
      </c>
      <c r="F21">
        <f>Curve!$F$11</f>
        <v/>
      </c>
      <c r="G21">
        <f>Curve!$G$11</f>
        <v/>
      </c>
    </row>
    <row r="22">
      <c r="D22">
        <f>Curve!$F$11</f>
        <v/>
      </c>
      <c r="E22">
        <f>Curve!$E$12</f>
        <v/>
      </c>
      <c r="F22">
        <f>Curve!$F$11</f>
        <v/>
      </c>
      <c r="G22">
        <f>Curve!$G$12</f>
        <v/>
      </c>
    </row>
    <row r="23">
      <c r="D23">
        <f>Curve!$F$12</f>
        <v/>
      </c>
      <c r="E23">
        <f>Curve!$E$12</f>
        <v/>
      </c>
      <c r="F23">
        <f>Curve!$F$12</f>
        <v/>
      </c>
      <c r="G23">
        <f>Curve!$G$12</f>
        <v/>
      </c>
    </row>
    <row r="24">
      <c r="D24">
        <f>Curve!$F$12</f>
        <v/>
      </c>
      <c r="E24">
        <f>Curve!$E$13</f>
        <v/>
      </c>
      <c r="F24">
        <f>Curve!$F$12</f>
        <v/>
      </c>
      <c r="G24">
        <f>Curve!$G$13</f>
        <v/>
      </c>
    </row>
    <row r="25">
      <c r="D25">
        <f>Curve!$F$13</f>
        <v/>
      </c>
      <c r="E25">
        <f>Curve!$E$13</f>
        <v/>
      </c>
      <c r="F25">
        <f>Curve!$F$13</f>
        <v/>
      </c>
      <c r="G25">
        <f>Curve!$G$13</f>
        <v/>
      </c>
    </row>
    <row r="26">
      <c r="D26">
        <f>Curve!$F$13</f>
        <v/>
      </c>
      <c r="E26">
        <f>Curve!$E$14</f>
        <v/>
      </c>
      <c r="F26">
        <f>Curve!$F$13</f>
        <v/>
      </c>
      <c r="G26">
        <f>Curve!$G$14</f>
        <v/>
      </c>
    </row>
    <row r="27">
      <c r="D27">
        <f>Curve!$F$14</f>
        <v/>
      </c>
      <c r="E27">
        <f>Curve!$E$14</f>
        <v/>
      </c>
      <c r="F27">
        <f>Curve!$F$14</f>
        <v/>
      </c>
      <c r="G27">
        <f>Curve!$G$14</f>
        <v/>
      </c>
    </row>
    <row r="28">
      <c r="D28">
        <f>Curve!$F$14</f>
        <v/>
      </c>
      <c r="E28">
        <f>Curve!$E$15</f>
        <v/>
      </c>
      <c r="F28">
        <f>Curve!$F$14</f>
        <v/>
      </c>
      <c r="G28">
        <f>Curve!$G$15</f>
        <v/>
      </c>
    </row>
    <row r="29">
      <c r="D29">
        <f>Curve!$F$15</f>
        <v/>
      </c>
      <c r="E29">
        <f>Curve!$E$15</f>
        <v/>
      </c>
      <c r="F29">
        <f>Curve!$F$15</f>
        <v/>
      </c>
      <c r="G29">
        <f>Curve!$G$15</f>
        <v/>
      </c>
    </row>
    <row r="30">
      <c r="D30">
        <f>Curve!$F$15</f>
        <v/>
      </c>
      <c r="E30">
        <f>Curve!$E$16</f>
        <v/>
      </c>
      <c r="F30">
        <f>Curve!$F$15</f>
        <v/>
      </c>
      <c r="G30">
        <f>Curve!$G$16</f>
        <v/>
      </c>
    </row>
    <row r="31">
      <c r="D31">
        <f>Curve!$F$16</f>
        <v/>
      </c>
      <c r="E31">
        <f>Curve!$E$16</f>
        <v/>
      </c>
      <c r="F31">
        <f>Curve!$F$16</f>
        <v/>
      </c>
      <c r="G31">
        <f>Curve!$G$16</f>
        <v/>
      </c>
    </row>
    <row r="34">
      <c r="A34" s="2" t="inlineStr">
        <is>
          <t>Supply ladder</t>
        </is>
      </c>
    </row>
    <row r="35">
      <c r="A35" s="3" t="inlineStr">
        <is>
          <t>WTI (USD/bbl)</t>
        </is>
      </c>
      <c r="B35" s="3" t="inlineStr">
        <is>
          <t>Supported volume (Mb/d)</t>
        </is>
      </c>
    </row>
    <row r="36">
      <c r="A36">
        <f>'Supply ladder'!A4</f>
        <v/>
      </c>
      <c r="B36">
        <f>'Supply ladder'!B4</f>
        <v/>
      </c>
    </row>
    <row r="37">
      <c r="A37">
        <f>'Supply ladder'!A5</f>
        <v/>
      </c>
      <c r="B37">
        <f>'Supply ladder'!B5</f>
        <v/>
      </c>
    </row>
    <row r="38">
      <c r="A38">
        <f>'Supply ladder'!A6</f>
        <v/>
      </c>
      <c r="B38">
        <f>'Supply ladder'!B6</f>
        <v/>
      </c>
    </row>
    <row r="39">
      <c r="A39">
        <f>'Supply ladder'!A7</f>
        <v/>
      </c>
      <c r="B39">
        <f>'Supply ladder'!B7</f>
        <v/>
      </c>
    </row>
    <row r="40">
      <c r="A40">
        <f>'Supply ladder'!A8</f>
        <v/>
      </c>
      <c r="B40">
        <f>'Supply ladder'!B8</f>
        <v/>
      </c>
    </row>
    <row r="41">
      <c r="A41">
        <f>'Supply ladder'!A9</f>
        <v/>
      </c>
      <c r="B41">
        <f>'Supply ladder'!B9</f>
        <v/>
      </c>
    </row>
    <row r="42">
      <c r="A42">
        <f>'Supply ladder'!A10</f>
        <v/>
      </c>
      <c r="B42">
        <f>'Supply ladder'!B10</f>
        <v/>
      </c>
    </row>
    <row r="43">
      <c r="A43">
        <f>'Supply ladder'!A11</f>
        <v/>
      </c>
      <c r="B43">
        <f>'Supply ladder'!B11</f>
        <v/>
      </c>
    </row>
    <row r="44">
      <c r="A44">
        <f>'Supply ladder'!A12</f>
        <v/>
      </c>
      <c r="B44">
        <f>'Supply ladder'!B12</f>
        <v/>
      </c>
    </row>
    <row r="45">
      <c r="A45">
        <f>'Supply ladder'!A13</f>
        <v/>
      </c>
      <c r="B45">
        <f>'Supply ladder'!B13</f>
        <v/>
      </c>
    </row>
    <row r="46">
      <c r="A46">
        <f>'Supply ladder'!A14</f>
        <v/>
      </c>
      <c r="B46">
        <f>'Supply ladder'!B14</f>
        <v/>
      </c>
    </row>
    <row r="47">
      <c r="A47">
        <f>'Supply ladder'!A15</f>
        <v/>
      </c>
      <c r="B47">
        <f>'Supply ladder'!B15</f>
        <v/>
      </c>
    </row>
    <row r="48">
      <c r="A48">
        <f>'Supply ladder'!A16</f>
        <v/>
      </c>
      <c r="B48">
        <f>'Supply ladder'!B16</f>
        <v/>
      </c>
    </row>
    <row r="49">
      <c r="A49">
        <f>'Supply ladder'!A17</f>
        <v/>
      </c>
      <c r="B49">
        <f>'Supply ladder'!B17</f>
        <v/>
      </c>
    </row>
    <row r="50">
      <c r="A50">
        <f>'Supply ladder'!A18</f>
        <v/>
      </c>
      <c r="B50">
        <f>'Supply ladder'!B18</f>
        <v/>
      </c>
    </row>
    <row r="51">
      <c r="A51">
        <f>'Supply ladder'!A19</f>
        <v/>
      </c>
      <c r="B51">
        <f>'Supply ladder'!B19</f>
        <v/>
      </c>
    </row>
    <row r="52">
      <c r="A52">
        <f>'Supply ladder'!A20</f>
        <v/>
      </c>
      <c r="B52">
        <f>'Supply ladder'!B20</f>
        <v/>
      </c>
    </row>
    <row r="53">
      <c r="A53">
        <f>'Supply ladder'!A21</f>
        <v/>
      </c>
      <c r="B53">
        <f>'Supply ladder'!B21</f>
        <v/>
      </c>
    </row>
    <row r="54">
      <c r="A54">
        <f>'Supply ladder'!A22</f>
        <v/>
      </c>
      <c r="B54">
        <f>'Supply ladder'!B22</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7" customWidth="1" min="1" max="1"/>
    <col width="16" customWidth="1" min="2" max="2"/>
    <col width="70" customWidth="1" min="3" max="3"/>
    <col width="18" customWidth="1" min="4" max="4"/>
    <col width="16" customWidth="1" min="5" max="5"/>
    <col width="16" customWidth="1" min="6" max="6"/>
    <col width="28" customWidth="1" min="7" max="7"/>
    <col width="50" customWidth="1" min="8" max="8"/>
    <col width="60" customWidth="1" min="9" max="9"/>
    <col width="22" customWidth="1" min="10" max="10"/>
    <col width="36" customWidth="1" min="11" max="11"/>
  </cols>
  <sheetData>
    <row r="1">
      <c r="A1" t="inlineStr">
        <is>
          <t>ID</t>
        </is>
      </c>
      <c r="B1" t="inlineStr">
        <is>
          <t>Type</t>
        </is>
      </c>
      <c r="C1" t="inlineStr">
        <is>
          <t>Item</t>
        </is>
      </c>
      <c r="D1" t="inlineStr">
        <is>
          <t>Value</t>
        </is>
      </c>
      <c r="E1" t="inlineStr">
        <is>
          <t>Unit</t>
        </is>
      </c>
      <c r="F1" t="inlineStr">
        <is>
          <t>As-of</t>
        </is>
      </c>
      <c r="G1" t="inlineStr">
        <is>
          <t>Publisher</t>
        </is>
      </c>
      <c r="H1" t="inlineStr">
        <is>
          <t>Document</t>
        </is>
      </c>
      <c r="I1" t="inlineStr">
        <is>
          <t>URL</t>
        </is>
      </c>
      <c r="J1" t="inlineStr">
        <is>
          <t>Status</t>
        </is>
      </c>
      <c r="K1" t="inlineStr">
        <is>
          <t>Used where</t>
        </is>
      </c>
    </row>
    <row r="2">
      <c r="A2" s="9" t="inlineStr">
        <is>
          <t>D1</t>
        </is>
      </c>
      <c r="B2" s="9" t="inlineStr">
        <is>
          <t>breakeven</t>
        </is>
      </c>
      <c r="C2" s="9" t="inlineStr">
        <is>
          <t>New-well breakeven, Permian Basin - Midland (average of responses)</t>
        </is>
      </c>
      <c r="D2" s="9" t="n">
        <v>68.56999999999999</v>
      </c>
      <c r="E2" s="9" t="inlineStr">
        <is>
          <t>USD/bbl WTI</t>
        </is>
      </c>
      <c r="F2" s="9" t="inlineStr">
        <is>
          <t>Q1 2026</t>
        </is>
      </c>
      <c r="G2" s="9" t="inlineStr">
        <is>
          <t>Federal Reserve Bank of Dallas</t>
        </is>
      </c>
      <c r="H2" s="9" t="inlineStr">
        <is>
          <t>Dallas Fed Energy Survey, Q1 2026, special questions (fielded 11-19 Mar 2026, 130 firms); 14 responses</t>
        </is>
      </c>
      <c r="I2" s="9" t="inlineStr">
        <is>
          <t>https://www.dallasfed.org/-/media/Documents/research/surveys/DES/2026/2601/des26q1_charts.xlsx</t>
        </is>
      </c>
      <c r="J2" s="9" t="inlineStr">
        <is>
          <t>SOURCED</t>
        </is>
      </c>
      <c r="K2" s="9" t="inlineStr">
        <is>
          <t>Inputs (Permian average uses 'Permian all responses')</t>
        </is>
      </c>
    </row>
    <row r="3">
      <c r="A3" s="9" t="inlineStr">
        <is>
          <t>D2</t>
        </is>
      </c>
      <c r="B3" s="9" t="inlineStr">
        <is>
          <t>breakeven</t>
        </is>
      </c>
      <c r="C3" s="9" t="inlineStr">
        <is>
          <t>New-well breakeven, Permian Basin - Delaware</t>
        </is>
      </c>
      <c r="D3" s="9" t="n">
        <v>63.21</v>
      </c>
      <c r="E3" s="9" t="inlineStr">
        <is>
          <t>USD/bbl WTI</t>
        </is>
      </c>
      <c r="F3" s="9" t="inlineStr">
        <is>
          <t>Q1 2026</t>
        </is>
      </c>
      <c r="G3" s="9" t="inlineStr">
        <is>
          <t>Federal Reserve Bank of Dallas</t>
        </is>
      </c>
      <c r="H3" s="9" t="inlineStr">
        <is>
          <t>Dallas Fed Energy Survey, Q1 2026, special questions (fielded 11-19 Mar 2026, 130 firms); 19 responses</t>
        </is>
      </c>
      <c r="I3" s="9" t="inlineStr">
        <is>
          <t>https://www.dallasfed.org/-/media/Documents/research/surveys/DES/2026/2601/des26q1_charts.xlsx</t>
        </is>
      </c>
      <c r="J3" s="9" t="inlineStr">
        <is>
          <t>SOURCED</t>
        </is>
      </c>
      <c r="K3" s="9" t="inlineStr">
        <is>
          <t>memo (range)</t>
        </is>
      </c>
    </row>
    <row r="4">
      <c r="A4" s="9" t="inlineStr">
        <is>
          <t>D3</t>
        </is>
      </c>
      <c r="B4" s="9" t="inlineStr">
        <is>
          <t>breakeven</t>
        </is>
      </c>
      <c r="C4" s="9" t="inlineStr">
        <is>
          <t>New-well breakeven, Permian Basin - Other</t>
        </is>
      </c>
      <c r="D4" s="9" t="n">
        <v>70</v>
      </c>
      <c r="E4" s="9" t="inlineStr">
        <is>
          <t>USD/bbl WTI</t>
        </is>
      </c>
      <c r="F4" s="9" t="inlineStr">
        <is>
          <t>Q1 2026</t>
        </is>
      </c>
      <c r="G4" s="9" t="inlineStr">
        <is>
          <t>Federal Reserve Bank of Dallas</t>
        </is>
      </c>
      <c r="H4" s="9" t="inlineStr">
        <is>
          <t>Dallas Fed Energy Survey, Q1 2026, special questions (fielded 11-19 Mar 2026, 130 firms); 12 responses</t>
        </is>
      </c>
      <c r="I4" s="9" t="inlineStr">
        <is>
          <t>https://www.dallasfed.org/-/media/Documents/research/surveys/DES/2026/2601/des26q1_charts.xlsx</t>
        </is>
      </c>
      <c r="J4" s="9" t="inlineStr">
        <is>
          <t>SOURCED</t>
        </is>
      </c>
      <c r="K4" s="9" t="inlineStr">
        <is>
          <t>memo (range)</t>
        </is>
      </c>
    </row>
    <row r="5">
      <c r="A5" s="9" t="inlineStr">
        <is>
          <t>D4</t>
        </is>
      </c>
      <c r="B5" s="9" t="inlineStr">
        <is>
          <t>breakeven</t>
        </is>
      </c>
      <c r="C5" s="9" t="inlineStr">
        <is>
          <t>New-well breakeven, Permian (all responses)</t>
        </is>
      </c>
      <c r="D5" s="9" t="n">
        <v>67</v>
      </c>
      <c r="E5" s="9" t="inlineStr">
        <is>
          <t>USD/bbl WTI</t>
        </is>
      </c>
      <c r="F5" s="9" t="inlineStr">
        <is>
          <t>Q1 2026</t>
        </is>
      </c>
      <c r="G5" s="9" t="inlineStr">
        <is>
          <t>Federal Reserve Bank of Dallas</t>
        </is>
      </c>
      <c r="H5" s="9" t="inlineStr">
        <is>
          <t>Break-even prices for U.S. oil producers - major shale plays, 'New Wells' sheet, update 25 Mar 2026</t>
        </is>
      </c>
      <c r="I5" s="9" t="inlineStr">
        <is>
          <t>https://www.dallasfed.org/-/media/documents/research/surveys/des/documents/breakeven.xlsx</t>
        </is>
      </c>
      <c r="J5" s="9" t="inlineStr">
        <is>
          <t>SOURCED</t>
        </is>
      </c>
      <c r="K5" s="9" t="inlineStr">
        <is>
          <t>Inputs: Permian new-well breakeven</t>
        </is>
      </c>
    </row>
    <row r="6">
      <c r="A6" s="9" t="inlineStr">
        <is>
          <t>D5</t>
        </is>
      </c>
      <c r="B6" s="9" t="inlineStr">
        <is>
          <t>breakeven</t>
        </is>
      </c>
      <c r="C6" s="9" t="inlineStr">
        <is>
          <t>New-well breakeven, Eagle Ford</t>
        </is>
      </c>
      <c r="D6" s="9" t="n">
        <v>63</v>
      </c>
      <c r="E6" s="9" t="inlineStr">
        <is>
          <t>USD/bbl WTI</t>
        </is>
      </c>
      <c r="F6" s="9" t="inlineStr">
        <is>
          <t>Q1 2026</t>
        </is>
      </c>
      <c r="G6" s="9" t="inlineStr">
        <is>
          <t>Federal Reserve Bank of Dallas</t>
        </is>
      </c>
      <c r="H6" s="9" t="inlineStr">
        <is>
          <t>Dallas Fed Energy Survey, Q1 2026, special questions (fielded 11-19 Mar 2026, 130 firms); 5 responses (small sample)</t>
        </is>
      </c>
      <c r="I6" s="9" t="inlineStr">
        <is>
          <t>https://www.dallasfed.org/-/media/Documents/research/surveys/DES/2026/2601/des26q1_charts.xlsx</t>
        </is>
      </c>
      <c r="J6" s="9" t="inlineStr">
        <is>
          <t>SOURCED</t>
        </is>
      </c>
      <c r="K6" s="9" t="inlineStr">
        <is>
          <t>Inputs: Eagle Ford</t>
        </is>
      </c>
    </row>
    <row r="7">
      <c r="A7" s="9" t="inlineStr">
        <is>
          <t>D6</t>
        </is>
      </c>
      <c r="B7" s="9" t="inlineStr">
        <is>
          <t>breakeven</t>
        </is>
      </c>
      <c r="C7" s="9" t="inlineStr">
        <is>
          <t>New-well breakeven, Other U.S. (shale)</t>
        </is>
      </c>
      <c r="D7" s="9" t="n">
        <v>62.38</v>
      </c>
      <c r="E7" s="9" t="inlineStr">
        <is>
          <t>USD/bbl WTI</t>
        </is>
      </c>
      <c r="F7" s="9" t="inlineStr">
        <is>
          <t>Q1 2026</t>
        </is>
      </c>
      <c r="G7" s="9" t="inlineStr">
        <is>
          <t>Federal Reserve Bank of Dallas</t>
        </is>
      </c>
      <c r="H7" s="9" t="inlineStr">
        <is>
          <t>Dallas Fed Energy Survey, Q1 2026, special questions (fielded 11-19 Mar 2026, 130 firms); 17 responses</t>
        </is>
      </c>
      <c r="I7" s="9" t="inlineStr">
        <is>
          <t>https://www.dallasfed.org/-/media/Documents/research/surveys/DES/2026/2601/des26q1_charts.xlsx</t>
        </is>
      </c>
      <c r="J7" s="9" t="inlineStr">
        <is>
          <t>SOURCED</t>
        </is>
      </c>
      <c r="K7" s="9" t="inlineStr">
        <is>
          <t>Inputs: Bakken (MAPPING ASSUMPTION - no Bakken line published) and Other shale</t>
        </is>
      </c>
    </row>
    <row r="8">
      <c r="A8" s="9" t="inlineStr">
        <is>
          <t>D7</t>
        </is>
      </c>
      <c r="B8" s="9" t="inlineStr">
        <is>
          <t>breakeven</t>
        </is>
      </c>
      <c r="C8" s="9" t="inlineStr">
        <is>
          <t>New-well breakeven, all responses / large firms (&gt;=10,000 b/d) / small firms</t>
        </is>
      </c>
      <c r="D8" s="9" t="inlineStr">
        <is>
          <t>66 / 59 / 68</t>
        </is>
      </c>
      <c r="E8" s="9" t="inlineStr">
        <is>
          <t>USD/bbl WTI</t>
        </is>
      </c>
      <c r="F8" s="9" t="inlineStr">
        <is>
          <t>Q1 2026</t>
        </is>
      </c>
      <c r="G8" s="9" t="inlineStr">
        <is>
          <t>Federal Reserve Bank of Dallas</t>
        </is>
      </c>
      <c r="H8" s="9" t="inlineStr">
        <is>
          <t>Break-even page, 'New Wells' sheet</t>
        </is>
      </c>
      <c r="I8" s="9" t="inlineStr">
        <is>
          <t>https://www.dallasfed.org/-/media/documents/research/surveys/des/documents/breakeven.xlsx</t>
        </is>
      </c>
      <c r="J8" s="9" t="inlineStr">
        <is>
          <t>SOURCED</t>
        </is>
      </c>
      <c r="K8" s="9" t="inlineStr">
        <is>
          <t>Cross-checks</t>
        </is>
      </c>
    </row>
    <row r="9">
      <c r="A9" s="9" t="inlineStr">
        <is>
          <t>D8</t>
        </is>
      </c>
      <c r="B9" s="9" t="inlineStr">
        <is>
          <t>breakeven</t>
        </is>
      </c>
      <c r="C9" s="9" t="inlineStr">
        <is>
          <t>Shut-in (operating cost) breakeven: Permian all 39, Eagle Ford 40, Other shale 44.12, Midland 41.54, Delaware 33.82</t>
        </is>
      </c>
      <c r="D9" s="9" t="inlineStr">
        <is>
          <t>39 / 40 / 44.12</t>
        </is>
      </c>
      <c r="E9" s="9" t="inlineStr">
        <is>
          <t>USD/bbl WTI</t>
        </is>
      </c>
      <c r="F9" s="9" t="inlineStr">
        <is>
          <t>Q1 2026</t>
        </is>
      </c>
      <c r="G9" s="9" t="inlineStr">
        <is>
          <t>Federal Reserve Bank of Dallas</t>
        </is>
      </c>
      <c r="H9" s="9" t="inlineStr">
        <is>
          <t>Break-even page, 'Existing Wells' sheet (WTI needed to cover operating expenses for existing wells)</t>
        </is>
      </c>
      <c r="I9" s="9" t="inlineStr">
        <is>
          <t>https://www.dallasfed.org/-/media/documents/research/surveys/des/documents/breakeven.xlsx</t>
        </is>
      </c>
      <c r="J9" s="9" t="inlineStr">
        <is>
          <t>SOURCED</t>
        </is>
      </c>
      <c r="K9" s="9" t="inlineStr">
        <is>
          <t>Inputs: shut-in breakevens</t>
        </is>
      </c>
    </row>
    <row r="10">
      <c r="A10" s="9" t="inlineStr">
        <is>
          <t>D9</t>
        </is>
      </c>
      <c r="B10" s="9" t="inlineStr">
        <is>
          <t>breakeven</t>
        </is>
      </c>
      <c r="C10" s="9" t="inlineStr">
        <is>
          <t>New-well breakeven range of responses (min-max): Midland 50-90, Delaware 50-85, Permian other 50-85, Eagle Ford 50-70, Other shale 35-85</t>
        </is>
      </c>
      <c r="D10" s="9" t="inlineStr">
        <is>
          <t>see item</t>
        </is>
      </c>
      <c r="E10" s="9" t="inlineStr">
        <is>
          <t>USD/bbl WTI</t>
        </is>
      </c>
      <c r="F10" s="9" t="inlineStr">
        <is>
          <t>Q1 2026</t>
        </is>
      </c>
      <c r="G10" s="9" t="inlineStr">
        <is>
          <t>Federal Reserve Bank of Dallas</t>
        </is>
      </c>
      <c r="H10" s="9" t="inlineStr">
        <is>
          <t>Dallas Fed Energy Survey, Q1 2026, special questions (fielded 11-19 Mar 2026, 130 firms), 'Special Question 2'</t>
        </is>
      </c>
      <c r="I10" s="9" t="inlineStr">
        <is>
          <t>https://www.dallasfed.org/-/media/Documents/research/surveys/DES/2026/2601/des26q1_charts.xlsx</t>
        </is>
      </c>
      <c r="J10" s="9" t="inlineStr">
        <is>
          <t>SOURCED</t>
        </is>
      </c>
      <c r="K10" s="9" t="inlineStr">
        <is>
          <t>Inputs: min / max</t>
        </is>
      </c>
    </row>
    <row r="11">
      <c r="A11" s="9" t="inlineStr">
        <is>
          <t>D10</t>
        </is>
      </c>
      <c r="B11" s="9" t="inlineStr">
        <is>
          <t>breakeven</t>
        </is>
      </c>
      <c r="C11" s="9" t="inlineStr">
        <is>
          <t>Prior-year survey (Q1 2025) new-well breakeven: Permian all 65, Eagle Ford 61.67, Other shale 63; shut-in Permian all 39, Eagle Ford 25.83, Other shale 40.81</t>
        </is>
      </c>
      <c r="D11" s="9" t="inlineStr">
        <is>
          <t>see item</t>
        </is>
      </c>
      <c r="E11" s="9" t="inlineStr">
        <is>
          <t>USD/bbl WTI</t>
        </is>
      </c>
      <c r="F11" s="9" t="inlineStr">
        <is>
          <t>Q1 2025</t>
        </is>
      </c>
      <c r="G11" s="9" t="inlineStr">
        <is>
          <t>Federal Reserve Bank of Dallas</t>
        </is>
      </c>
      <c r="H11" s="9" t="inlineStr">
        <is>
          <t>Break-even page, history table</t>
        </is>
      </c>
      <c r="I11" s="9" t="inlineStr">
        <is>
          <t>https://www.dallasfed.org/-/media/documents/research/surveys/des/documents/breakeven.xlsx</t>
        </is>
      </c>
      <c r="J11" s="9" t="inlineStr">
        <is>
          <t>SOURCED</t>
        </is>
      </c>
      <c r="K11" s="9" t="inlineStr">
        <is>
          <t>Inputs: prior-year series</t>
        </is>
      </c>
    </row>
    <row r="12">
      <c r="A12" s="9" t="inlineStr">
        <is>
          <t>D11</t>
        </is>
      </c>
      <c r="B12" s="9" t="inlineStr">
        <is>
          <t>price expectation</t>
        </is>
      </c>
      <c r="C12" s="9" t="inlineStr">
        <is>
          <t>Dallas Fed Q3 2026 survey: respondents expect WTI $88 at year-end 2026, $79 in two years, $82 in five years (range $70-126 for year-end 2026); WTI spot averaged $98.70 during collection (16-24 Sep 2026). No breakeven question this quarter (special questions: SPR, Persian Gulf exports, fuel spreads, FCF allocation, theft)</t>
        </is>
      </c>
      <c r="D12" s="9" t="inlineStr">
        <is>
          <t>88 / 79 / 82</t>
        </is>
      </c>
      <c r="E12" s="9" t="inlineStr">
        <is>
          <t>USD/bbl WTI</t>
        </is>
      </c>
      <c r="F12" s="9" t="inlineStr">
        <is>
          <t>Q3 2026</t>
        </is>
      </c>
      <c r="G12" s="9" t="inlineStr">
        <is>
          <t>Federal Reserve Bank of Dallas</t>
        </is>
      </c>
      <c r="H12" s="9" t="inlineStr">
        <is>
          <t>Dallas Fed Energy Survey, Q3 2026</t>
        </is>
      </c>
      <c r="I12" s="9" t="inlineStr">
        <is>
          <t>https://www.dallasfed.org/research/surveys/des/2026/2603</t>
        </is>
      </c>
      <c r="J12" s="9" t="inlineStr">
        <is>
          <t>SOURCED</t>
        </is>
      </c>
      <c r="K12" s="9" t="inlineStr">
        <is>
          <t>context only</t>
        </is>
      </c>
    </row>
    <row r="13">
      <c r="A13" s="9" t="inlineStr">
        <is>
          <t>E1</t>
        </is>
      </c>
      <c r="B13" s="9" t="inlineStr">
        <is>
          <t>volume</t>
        </is>
      </c>
      <c r="C13" s="9" t="inlineStr">
        <is>
          <t>STEO crude oil production by region: Permian, Bakken, Eagle Ford, Rest of Lower 48 (monthly, Mb/d); tight oil by formation (TOPR*)</t>
        </is>
      </c>
      <c r="D13" s="9" t="inlineStr">
        <is>
          <t>see 'STEO raw'</t>
        </is>
      </c>
      <c r="E13" s="9" t="inlineStr">
        <is>
          <t>Mb/d</t>
        </is>
      </c>
      <c r="F13" s="9" t="inlineStr">
        <is>
          <t>STEO, run date</t>
        </is>
      </c>
      <c r="G13" s="9" t="inlineStr">
        <is>
          <t>US EIA</t>
        </is>
      </c>
      <c r="H13" s="9" t="inlineStr">
        <is>
          <t>Short-Term Energy Outlook, regional oil production series (COPRPM/BK/EF/R48, TOPR*)</t>
        </is>
      </c>
      <c r="I13" s="9" t="inlineStr">
        <is>
          <t>https://api.eia.gov/v2/steo/data (EIA Short-Term Energy Outlook, regional series)</t>
        </is>
      </c>
      <c r="J13" s="9" t="inlineStr">
        <is>
          <t>SOURCED</t>
        </is>
      </c>
      <c r="K13" s="9" t="inlineStr">
        <is>
          <t>Inputs: production</t>
        </is>
      </c>
    </row>
    <row r="14">
      <c r="A14" s="9" t="inlineStr">
        <is>
          <t>E2</t>
        </is>
      </c>
      <c r="B14" s="9" t="inlineStr">
        <is>
          <t>decline</t>
        </is>
      </c>
      <c r="C14" s="9" t="inlineStr">
        <is>
          <t>STEO 'Existing Oil Production Change, One-year Trend': Permian COEOPPM, Bakken COEOPBK, Eagle Ford COEOPEF (kb/d, negative = base decline)</t>
        </is>
      </c>
      <c r="D14" s="9" t="inlineStr">
        <is>
          <t>see 'STEO raw'</t>
        </is>
      </c>
      <c r="E14" s="9" t="inlineStr">
        <is>
          <t>kb/d per year</t>
        </is>
      </c>
      <c r="F14" s="9" t="inlineStr">
        <is>
          <t>STEO, run date</t>
        </is>
      </c>
      <c r="G14" s="9" t="inlineStr">
        <is>
          <t>US EIA</t>
        </is>
      </c>
      <c r="H14" s="9" t="inlineStr">
        <is>
          <t>Short-Term Energy Outlook, regional series</t>
        </is>
      </c>
      <c r="I14" s="9" t="inlineStr">
        <is>
          <t>https://api.eia.gov/v2/steo/data (EIA Short-Term Energy Outlook, regional series)</t>
        </is>
      </c>
      <c r="J14" s="9" t="inlineStr">
        <is>
          <t>SOURCED</t>
        </is>
      </c>
      <c r="K14" s="9" t="inlineStr">
        <is>
          <t>Inputs: base decline = replacement barrels</t>
        </is>
      </c>
    </row>
    <row r="15">
      <c r="A15" s="9" t="inlineStr">
        <is>
          <t>E3</t>
        </is>
      </c>
      <c r="B15" s="9" t="inlineStr">
        <is>
          <t>activity</t>
        </is>
      </c>
      <c r="C15" s="9" t="inlineStr">
        <is>
          <t>STEO new wells completed per month (NWCPM/NWCBK/NWCEF) and new-well oil production (CONW*)</t>
        </is>
      </c>
      <c r="D15" s="9" t="inlineStr">
        <is>
          <t>see 'STEO raw'</t>
        </is>
      </c>
      <c r="E15" s="9" t="inlineStr">
        <is>
          <t>wells / month; kb/d</t>
        </is>
      </c>
      <c r="F15" s="9" t="inlineStr">
        <is>
          <t>STEO, run date</t>
        </is>
      </c>
      <c r="G15" s="9" t="inlineStr">
        <is>
          <t>US EIA</t>
        </is>
      </c>
      <c r="H15" s="9" t="inlineStr">
        <is>
          <t>Short-Term Energy Outlook, regional series</t>
        </is>
      </c>
      <c r="I15" s="9" t="inlineStr">
        <is>
          <t>https://api.eia.gov/v2/steo/data (EIA Short-Term Energy Outlook, regional series)</t>
        </is>
      </c>
      <c r="J15" s="9" t="inlineStr">
        <is>
          <t>SOURCED</t>
        </is>
      </c>
      <c r="K15" s="9" t="inlineStr">
        <is>
          <t>Inputs: inventory years</t>
        </is>
      </c>
    </row>
    <row r="16">
      <c r="A16" s="9" t="inlineStr">
        <is>
          <t>T1</t>
        </is>
      </c>
      <c r="B16" s="9" t="inlineStr">
        <is>
          <t>inventory</t>
        </is>
      </c>
      <c r="C16" s="9" t="inlineStr">
        <is>
          <t>Estimated remaining well locations with &lt;$60/bbl breakeven economics: Permian ~65,000 (Midland + Delaware), Eagle Ford ~13,000, Williston ~5,000, Anadarko ~3,000, DJ ~3,000 (Montney ~34,000, Canada, not used); Enverus-based chart label</t>
        </is>
      </c>
      <c r="D16" s="9" t="inlineStr">
        <is>
          <t>65,000 / 13,000 / 5,000 / 3,000 / 3,000</t>
        </is>
      </c>
      <c r="E16" s="9" t="inlineStr">
        <is>
          <t>locations</t>
        </is>
      </c>
      <c r="F16" s="9" t="inlineStr">
        <is>
          <t>30 Jun 2026 (deck 2Q26)</t>
        </is>
      </c>
      <c r="G16" s="9" t="inlineStr">
        <is>
          <t>Texas Pacific Land (citing Enverus, EIA, company data)</t>
        </is>
      </c>
      <c r="H16" s="9" t="inlineStr">
        <is>
          <t>2Q 2026 TPL Investor Presentation, slide 9 (deck page 8 of text extract); also 8-K ex99.2 5 Aug 2026</t>
        </is>
      </c>
      <c r="I16" s="9" t="inlineStr">
        <is>
          <t>https://d1io3yog0oux5.cloudfront.net/_44c0a1327e37db57b36e014028684610/texaspacific/db/706/6716/pdf/2Q+2026+TPL+Investor+Presentation+vF.pdf</t>
        </is>
      </c>
      <c r="J16" s="9" t="inlineStr">
        <is>
          <t>SOURCED (third-party chart label)</t>
        </is>
      </c>
      <c r="K16" s="9" t="inlineStr">
        <is>
          <t>Inputs: inventory locations</t>
        </is>
      </c>
    </row>
    <row r="17">
      <c r="A17" s="9" t="inlineStr">
        <is>
          <t>T2</t>
        </is>
      </c>
      <c r="B17" s="9" t="inlineStr">
        <is>
          <t>volume</t>
        </is>
      </c>
      <c r="C17" s="9" t="inlineStr">
        <is>
          <t>Permian crude production 6.7 MMb/d (4Q 2025 average) per TPL / EIA</t>
        </is>
      </c>
      <c r="D17" s="9" t="n">
        <v>6.7</v>
      </c>
      <c r="E17" s="9" t="inlineStr">
        <is>
          <t>Mb/d</t>
        </is>
      </c>
      <c r="F17" s="9" t="inlineStr">
        <is>
          <t>4Q 2025</t>
        </is>
      </c>
      <c r="G17" s="9" t="inlineStr">
        <is>
          <t>Texas Pacific Land (citing EIA)</t>
        </is>
      </c>
      <c r="H17" s="9" t="inlineStr">
        <is>
          <t>2Q 2026 TPL Investor Presentation</t>
        </is>
      </c>
      <c r="I17" s="9" t="inlineStr">
        <is>
          <t>https://d1io3yog0oux5.cloudfront.net/_44c0a1327e37db57b36e014028684610/texaspacific/db/706/6716/pdf/2Q+2026+TPL+Investor+Presentation+vF.pdf</t>
        </is>
      </c>
      <c r="J17" s="9" t="inlineStr">
        <is>
          <t>SOURCED</t>
        </is>
      </c>
      <c r="K17" s="9" t="inlineStr">
        <is>
          <t>Cross-check of STEO Permian</t>
        </is>
      </c>
    </row>
    <row r="18">
      <c r="A18" s="9" t="inlineStr">
        <is>
          <t>O1</t>
        </is>
      </c>
      <c r="B18" s="9" t="inlineStr">
        <is>
          <t>well cost</t>
        </is>
      </c>
      <c r="C18" s="9" t="inlineStr">
        <is>
          <t>Permian Resources D&amp;C cost per lateral foot, Q1 2026 (Q4 2025 ~$700, -14% vs 2024)</t>
        </is>
      </c>
      <c r="D18" s="9" t="n">
        <v>685</v>
      </c>
      <c r="E18" s="9" t="inlineStr">
        <is>
          <t>USD per lateral ft</t>
        </is>
      </c>
      <c r="F18" s="9" t="inlineStr">
        <is>
          <t>Q1 2026</t>
        </is>
      </c>
      <c r="G18" s="9" t="inlineStr">
        <is>
          <t>Permian Resources</t>
        </is>
      </c>
      <c r="H18" s="9" t="inlineStr">
        <is>
          <t>Q1 2026 earnings release (8-K ex99.1, 6 May 2026)</t>
        </is>
      </c>
      <c r="I18" s="9" t="inlineStr">
        <is>
          <t>https://www.sec.gov/Archives/edgar/data/1658566/000165856626000069/ex991prq12026earningsrelea.htm</t>
        </is>
      </c>
      <c r="J18" s="9" t="inlineStr">
        <is>
          <t>SOURCED</t>
        </is>
      </c>
      <c r="K18" s="9" t="inlineStr">
        <is>
          <t>Cross-checks</t>
        </is>
      </c>
    </row>
    <row r="19">
      <c r="A19" s="9" t="inlineStr">
        <is>
          <t>O2</t>
        </is>
      </c>
      <c r="B19" s="9" t="inlineStr">
        <is>
          <t>guidance</t>
        </is>
      </c>
      <c r="C19" s="9" t="inlineStr">
        <is>
          <t>Permian Resources Q2 2026 average daily oil production</t>
        </is>
      </c>
      <c r="D19" s="9" t="n">
        <v>198071</v>
      </c>
      <c r="E19" s="9" t="inlineStr">
        <is>
          <t>bbl/d</t>
        </is>
      </c>
      <c r="F19" s="9" t="inlineStr">
        <is>
          <t>Q2 2026</t>
        </is>
      </c>
      <c r="G19" s="9" t="inlineStr">
        <is>
          <t>Permian Resources</t>
        </is>
      </c>
      <c r="H19" s="9" t="inlineStr">
        <is>
          <t>Q2 2026 earnings release (8-K ex99.1, 5 Aug 2026)</t>
        </is>
      </c>
      <c r="I19" s="9" t="inlineStr">
        <is>
          <t>https://www.sec.gov/Archives/edgar/data/1658566/000165856626000094/ex991prq22026earningsrelea.htm</t>
        </is>
      </c>
      <c r="J19" s="9" t="inlineStr">
        <is>
          <t>SOURCED</t>
        </is>
      </c>
      <c r="K19" s="9" t="inlineStr">
        <is>
          <t>Cross-checks</t>
        </is>
      </c>
    </row>
    <row r="20">
      <c r="A20" s="9" t="inlineStr">
        <is>
          <t>O3</t>
        </is>
      </c>
      <c r="B20" s="9" t="inlineStr">
        <is>
          <t>well cost</t>
        </is>
      </c>
      <c r="C20" s="9" t="inlineStr">
        <is>
          <t>Matador full-year 2026 D&amp;C cost estimate $785-805 per completed lateral foot ($795 midpoint); Q3 adjacent assets as low as $640 per foot; total 2026 capex midpoint $1.675 bn</t>
        </is>
      </c>
      <c r="D20" s="9" t="inlineStr">
        <is>
          <t>785-805</t>
        </is>
      </c>
      <c r="E20" s="9" t="inlineStr">
        <is>
          <t>USD per completed lateral ft</t>
        </is>
      </c>
      <c r="F20" s="9" t="inlineStr">
        <is>
          <t>Q2 2026</t>
        </is>
      </c>
      <c r="G20" s="9" t="inlineStr">
        <is>
          <t>Matador Resources</t>
        </is>
      </c>
      <c r="H20" s="9" t="inlineStr">
        <is>
          <t>Q2 2026 earnings release (8-K ex99.1, 5 Aug 2026)</t>
        </is>
      </c>
      <c r="I20" s="9" t="inlineStr">
        <is>
          <t>https://www.sec.gov/Archives/edgar/data/1520006/000152000626000036/a20260630mtdr8ker-ex991.htm</t>
        </is>
      </c>
      <c r="J20" s="9" t="inlineStr">
        <is>
          <t>SOURCED</t>
        </is>
      </c>
      <c r="K20" s="9" t="inlineStr">
        <is>
          <t>Cross-checks</t>
        </is>
      </c>
    </row>
    <row r="21">
      <c r="A21" s="9" t="inlineStr">
        <is>
          <t>O4</t>
        </is>
      </c>
      <c r="B21" s="9" t="inlineStr">
        <is>
          <t>well cost</t>
        </is>
      </c>
      <c r="C21" s="9" t="inlineStr">
        <is>
          <t>Diamondback: lowest Barnett well cost to date under $400 per lateral foot (Barnett; not the Wolfcamp core); 2026 total capex raised to ~$3.9 bn (from ~$3.75 bn), operated D&amp;C ~$3.31 bn, average lateral ~12,900 ft</t>
        </is>
      </c>
      <c r="D21" s="9" t="inlineStr">
        <is>
          <t>&lt;400</t>
        </is>
      </c>
      <c r="E21" s="9" t="inlineStr">
        <is>
          <t>USD per lateral ft</t>
        </is>
      </c>
      <c r="F21" s="9" t="inlineStr">
        <is>
          <t>Q1 / Q2 2026</t>
        </is>
      </c>
      <c r="G21" s="9" t="inlineStr">
        <is>
          <t>Diamondback Energy</t>
        </is>
      </c>
      <c r="H21" s="9" t="inlineStr">
        <is>
          <t>Q1 2026 (8-K ex99.2, 4 May 2026) and Q2 2026 (8-K ex99.1, 3 Aug 2026) releases</t>
        </is>
      </c>
      <c r="I21" s="9" t="inlineStr">
        <is>
          <t>https://www.sec.gov/Archives/edgar/data/1539838/000153983826000073/diamondbackex992-5x4x26.htm</t>
        </is>
      </c>
      <c r="J21" s="9" t="inlineStr">
        <is>
          <t>SOURCED</t>
        </is>
      </c>
      <c r="K21" s="9" t="inlineStr">
        <is>
          <t>Cross-checks</t>
        </is>
      </c>
    </row>
    <row r="22">
      <c r="A22" s="9" t="inlineStr">
        <is>
          <t>O5</t>
        </is>
      </c>
      <c r="B22" s="9" t="inlineStr">
        <is>
          <t>EUR / well cost</t>
        </is>
      </c>
      <c r="C22" s="9" t="inlineStr">
        <is>
          <t>Chord (Bakken, Western Extension case study, Feb 2026 capital assumptions): 2-/3-/4-mile well cost $7.1 / $8.5 / $10.7 MM ($710 / $568 / $532 per ft); oil EUR 450 / 675 / 855 Mbbl (45 / 45 / 43 bbl per ft); F&amp;D $15.78 / $12.62 / $12.46 per bbl. Chord also says 10+ years of low-breakeven inventory (no number) and a &gt;10% improvement in weighted-average inventory breakeven in 2025</t>
        </is>
      </c>
      <c r="D22" s="9" t="inlineStr">
        <is>
          <t>see item</t>
        </is>
      </c>
      <c r="E22" s="9" t="inlineStr">
        <is>
          <t>USD; Mbbl</t>
        </is>
      </c>
      <c r="F22" s="9" t="inlineStr">
        <is>
          <t>Aug 2026 deck</t>
        </is>
      </c>
      <c r="G22" s="9" t="inlineStr">
        <is>
          <t>Chord Energy</t>
        </is>
      </c>
      <c r="H22" s="9" t="inlineStr">
        <is>
          <t>2Q26 Earnings Presentation, 5 Aug 2026 (slides 13-15, 4-mile program)</t>
        </is>
      </c>
      <c r="I22" s="9" t="inlineStr">
        <is>
          <t>https://ir.chordenergy.com/image/CHRD-2Q26-Earnings-Presentation.pdf</t>
        </is>
      </c>
      <c r="J22" s="9" t="inlineStr">
        <is>
          <t>SOURCED</t>
        </is>
      </c>
      <c r="K22" s="9" t="inlineStr">
        <is>
          <t>Cross-checks</t>
        </is>
      </c>
    </row>
    <row r="23">
      <c r="A23" s="9" t="inlineStr">
        <is>
          <t>O6</t>
        </is>
      </c>
      <c r="B23" s="9" t="inlineStr">
        <is>
          <t>breakeven</t>
        </is>
      </c>
      <c r="C23" s="9" t="inlineStr">
        <is>
          <t>Northern Oil &amp; Gas: ~500 gross Duvernay locations with average breakevens below $50 WTI (ALBERTA, Canada - NOT US shale, excluded from the curve)</t>
        </is>
      </c>
      <c r="D23" s="9" t="inlineStr">
        <is>
          <t>&lt;50</t>
        </is>
      </c>
      <c r="E23" s="9" t="inlineStr">
        <is>
          <t>USD/bbl WTI</t>
        </is>
      </c>
      <c r="F23" s="9" t="inlineStr">
        <is>
          <t>26 May 2026</t>
        </is>
      </c>
      <c r="G23" s="9" t="inlineStr">
        <is>
          <t>Northern Oil and Gas</t>
        </is>
      </c>
      <c r="H23" s="9" t="inlineStr">
        <is>
          <t>8-K ex99.1, acquisition release</t>
        </is>
      </c>
      <c r="I23" s="9" t="inlineStr">
        <is>
          <t>https://www.sec.gov/Archives/edgar/data/1104485/000119312526237800/d11850dex991.htm</t>
        </is>
      </c>
      <c r="J23" s="9" t="inlineStr">
        <is>
          <t>SOURCED (excluded)</t>
        </is>
      </c>
      <c r="K23" s="9" t="inlineStr">
        <is>
          <t>none</t>
        </is>
      </c>
    </row>
    <row r="24">
      <c r="A24" s="9" t="inlineStr">
        <is>
          <t>X1</t>
        </is>
      </c>
      <c r="B24" s="9" t="inlineStr">
        <is>
          <t>well cost</t>
        </is>
      </c>
      <c r="C24" s="9" t="inlineStr">
        <is>
          <t>EIA 'Trends in U.S. Oil and Natural Gas Upstream Costs' (IHS study): well costs by play 2006-2015, forecast to 2018</t>
        </is>
      </c>
      <c r="D24" s="9" t="inlineStr">
        <is>
          <t>n/a</t>
        </is>
      </c>
      <c r="E24" s="9" t="inlineStr">
        <is>
          <t>USD</t>
        </is>
      </c>
      <c r="F24" s="9" t="inlineStr">
        <is>
          <t>Mar 2016</t>
        </is>
      </c>
      <c r="G24" s="9" t="inlineStr">
        <is>
          <t>US EIA / IHS</t>
        </is>
      </c>
      <c r="H24" s="9" t="inlineStr">
        <is>
          <t>Upstream cost study</t>
        </is>
      </c>
      <c r="I24" s="9" t="inlineStr">
        <is>
          <t>https://www.eia.gov/analysis/studies/drilling/pdf/upstream.pdf</t>
        </is>
      </c>
      <c r="J24" s="9" t="inlineStr">
        <is>
          <t>OPENED - too old</t>
        </is>
      </c>
      <c r="K24" s="9" t="inlineStr">
        <is>
          <t>not used (a decade old; costs and well design have changed)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 customWidth="1" min="1" max="1"/>
    <col width="16" customWidth="1" min="2" max="2"/>
    <col width="70" customWidth="1" min="3" max="3"/>
    <col width="18" customWidth="1" min="4" max="4"/>
    <col width="16" customWidth="1" min="5" max="5"/>
    <col width="16" customWidth="1" min="6" max="6"/>
    <col width="28" customWidth="1" min="7" max="7"/>
    <col width="50" customWidth="1" min="8" max="8"/>
    <col width="60" customWidth="1" min="9" max="9"/>
    <col width="22" customWidth="1" min="10" max="10"/>
    <col width="36" customWidth="1" min="11" max="11"/>
  </cols>
  <sheetData>
    <row r="1">
      <c r="A1" t="inlineStr">
        <is>
          <t>Source</t>
        </is>
      </c>
      <c r="B1" t="inlineStr">
        <is>
          <t>What happened (Actions, 6 Oct 2026)</t>
        </is>
      </c>
    </row>
    <row r="2">
      <c r="A2" s="9" t="inlineStr">
        <is>
          <t>Operator decks with a numeric breakeven (Diamondback, Devon, Occidental, EOG, Coterra, Civitas, Ovintiv, Chevron, ExxonMobil, APA, SM, Crescent, HighPeak, Vital)</t>
        </is>
      </c>
      <c r="B2" s="9" t="inlineStr">
        <is>
          <t>Opened their SEC 10-K / 10-Q / 2026 8-K exhibits (keyword windows in discovery_archive/results/oil/): no numeric new-well breakeven in the text. Most give breakevens only in investor-deck charts or footnotes: IR pages for Diamondback, Devon, Permian Resources, Coterra, Matador (hosts did not resolve or no PDF link found), Civitas, SM, Crescent, Magnolia, NOG (DNS failure from Actions), Ovintiv, Chevron, Exxon (404), Occidental and HighPeak (page opens, no deck link found). EOG's only deck link found is Feb 2024 (stale). Not read: numbers in chart images.</t>
        </is>
      </c>
    </row>
    <row r="3">
      <c r="A3" s="9" t="inlineStr">
        <is>
          <t>Permian Resources, Devon, EOG tier-1 inventory in years</t>
        </is>
      </c>
      <c r="B3" s="9" t="inlineStr">
        <is>
          <t>Press releases and 10-Ks opened; inventory life is stated qualitatively, not as locations plus years, in the text extracted.</t>
        </is>
      </c>
    </row>
    <row r="4">
      <c r="A4" s="9" t="inlineStr">
        <is>
          <t>Kansas City Fed Energy Survey</t>
        </is>
      </c>
      <c r="B4" s="9" t="inlineStr">
        <is>
          <t>Page opened (kansascityfed.org/surveys/energy-survey/); quarterly activity indices and price expectations only, no breakeven question found.</t>
        </is>
      </c>
    </row>
    <row r="5">
      <c r="A5" s="9" t="inlineStr">
        <is>
          <t>EIA AEO supply module notes (OGSM)</t>
        </is>
      </c>
      <c r="B5" s="9" t="inlineStr">
        <is>
          <t>Opened (eia.gov OGSM_Assumptions.pdf): methodology for well economics (IP, decline, discount) but no breakeven table by basin.</t>
        </is>
      </c>
    </row>
    <row r="6">
      <c r="A6" s="9" t="inlineStr">
        <is>
          <t>IEA Oil 2026, OPEC World Oil Outlook, Rystad, Enverus public pages</t>
        </is>
      </c>
      <c r="B6" s="9" t="inlineStr">
        <is>
          <t>IEA and OPEC pages did not return a document from Actions; Rystad news page and Enverus blog opened with navigation text only, no breakeven figures. Paid curves (Rystad, Enverus) are not public: paste your own into the override columns on 'Inputs'.</t>
        </is>
      </c>
    </row>
    <row r="7">
      <c r="A7" s="9" t="inlineStr">
        <is>
          <t>Dallas Fed Energy Survey by operator</t>
        </is>
      </c>
      <c r="B7" s="9" t="inlineStr">
        <is>
          <t>The survey is anonymous: basin averages, min and max only; no per-company breakevens.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 customWidth="1" min="1" max="1"/>
    <col width="16" customWidth="1" min="2" max="2"/>
    <col width="70" customWidth="1" min="3" max="3"/>
    <col width="18" customWidth="1" min="4" max="4"/>
    <col width="16" customWidth="1" min="5" max="5"/>
    <col width="16" customWidth="1" min="6" max="6"/>
    <col width="28" customWidth="1" min="7" max="7"/>
    <col width="50" customWidth="1" min="8" max="8"/>
    <col width="60" customWidth="1" min="9" max="9"/>
    <col width="22" customWidth="1" min="10" max="10"/>
    <col width="36" customWidth="1" min="11" max="11"/>
  </cols>
  <sheetData>
    <row r="1">
      <c r="A1" t="inlineStr">
        <is>
          <t>Status</t>
        </is>
      </c>
      <c r="B1" t="inlineStr">
        <is>
          <t>Claim seen</t>
        </is>
      </c>
      <c r="C1" t="inlineStr">
        <is>
          <t>Why not used</t>
        </is>
      </c>
    </row>
    <row r="2">
      <c r="A2" s="9" t="inlineStr">
        <is>
          <t>SNIPPET - unopened</t>
        </is>
      </c>
      <c r="B2" s="9" t="inlineStr">
        <is>
          <t>Diamondback 2026 production guidance 500-510 MBO/d (web search result, Feb 2026 release not opened)</t>
        </is>
      </c>
      <c r="C2" s="9" t="inlineStr">
        <is>
          <t>Not used</t>
        </is>
      </c>
    </row>
    <row r="3">
      <c r="A3" s="9" t="inlineStr">
        <is>
          <t>SNIPPET - unopened</t>
        </is>
      </c>
      <c r="B3" s="9" t="inlineStr">
        <is>
          <t>Permian Resources year-to-date acquisitions struck at a weighted-average front-month WTI of $72.50 per barrel (web search summary)</t>
        </is>
      </c>
      <c r="C3" s="9" t="inlineStr">
        <is>
          <t>Not used</t>
        </is>
      </c>
    </row>
    <row r="4">
      <c r="A4" s="9" t="inlineStr">
        <is>
          <t>SNIPPET - unopened</t>
        </is>
      </c>
      <c r="B4" s="9" t="inlineStr">
        <is>
          <t>Devon Q2 2026: 1,359 MBoe/d total and 503 kb/d oil at the top of guidance (web search summary; press release PDF not opened)</t>
        </is>
      </c>
      <c r="C4" s="9" t="inlineStr">
        <is>
          <t>Not used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Dallas Fed basin (USD/bbl WTI, average of responses)</t>
        </is>
      </c>
      <c r="B1" t="inlineStr">
        <is>
          <t>Shut-in breakeven Q1 2026</t>
        </is>
      </c>
      <c r="C1" t="inlineStr">
        <is>
          <t>Shut-in breakeven Q1 2025</t>
        </is>
      </c>
      <c r="D1" t="inlineStr">
        <is>
          <t>New-well breakeven Q1 2026</t>
        </is>
      </c>
      <c r="E1" t="inlineStr">
        <is>
          <t>New-well breakeven Q1 2025</t>
        </is>
      </c>
    </row>
    <row r="2">
      <c r="A2" t="inlineStr">
        <is>
          <t>Permian Basin - Midland</t>
        </is>
      </c>
      <c r="B2" t="n">
        <v>41.54</v>
      </c>
      <c r="C2" t="n">
        <v>35.44</v>
      </c>
      <c r="D2" t="n">
        <v>68.56999999999999</v>
      </c>
      <c r="E2" t="n">
        <v>60.56</v>
      </c>
    </row>
    <row r="3">
      <c r="A3" t="inlineStr">
        <is>
          <t>Permian Basin - Delaware</t>
        </is>
      </c>
      <c r="B3" t="n">
        <v>33.82</v>
      </c>
      <c r="C3" t="n">
        <v>33.03</v>
      </c>
      <c r="D3" t="n">
        <v>63.21</v>
      </c>
      <c r="E3" t="n">
        <v>62.22</v>
      </c>
    </row>
    <row r="4">
      <c r="A4" t="inlineStr">
        <is>
          <t>Permian Basin - Other</t>
        </is>
      </c>
      <c r="B4" t="n">
        <v>43.63</v>
      </c>
      <c r="C4" t="n">
        <v>45.15</v>
      </c>
      <c r="D4" t="n">
        <v>70</v>
      </c>
      <c r="E4" t="n">
        <v>69.75</v>
      </c>
    </row>
    <row r="5">
      <c r="A5" t="inlineStr">
        <is>
          <t>Permian (all responses)</t>
        </is>
      </c>
      <c r="B5" t="n">
        <v>39</v>
      </c>
      <c r="C5" t="n">
        <v>39</v>
      </c>
      <c r="D5" t="n">
        <v>67</v>
      </c>
      <c r="E5" t="n">
        <v>65</v>
      </c>
    </row>
    <row r="6">
      <c r="A6" t="inlineStr">
        <is>
          <t>Eagle Ford</t>
        </is>
      </c>
      <c r="B6" t="n">
        <v>40</v>
      </c>
      <c r="C6" t="n">
        <v>25.83</v>
      </c>
      <c r="D6" t="n">
        <v>63</v>
      </c>
      <c r="E6" t="n">
        <v>61.67</v>
      </c>
    </row>
    <row r="7">
      <c r="A7" t="inlineStr">
        <is>
          <t>Other U.S. (Shale)</t>
        </is>
      </c>
      <c r="B7" t="n">
        <v>44.12</v>
      </c>
      <c r="C7" t="n">
        <v>40.81</v>
      </c>
      <c r="D7" t="n">
        <v>62.38</v>
      </c>
      <c r="E7" t="n">
        <v>63</v>
      </c>
    </row>
    <row r="8">
      <c r="A8" t="inlineStr">
        <is>
          <t>Other U.S. (Nonshale)</t>
        </is>
      </c>
      <c r="B8" t="n">
        <v>47</v>
      </c>
      <c r="C8" t="n">
        <v>44.62</v>
      </c>
      <c r="D8" t="n">
        <v>67.81999999999999</v>
      </c>
      <c r="E8" t="n">
        <v>65.77</v>
      </c>
    </row>
    <row r="9">
      <c r="A9" t="inlineStr">
        <is>
          <t>All responses</t>
        </is>
      </c>
      <c r="B9" t="n">
        <v>43</v>
      </c>
      <c r="C9" t="n">
        <v>41</v>
      </c>
      <c r="D9" t="n">
        <v>66</v>
      </c>
      <c r="E9" t="n">
        <v>65</v>
      </c>
    </row>
    <row r="10">
      <c r="A10" t="inlineStr">
        <is>
          <t>Large firms (&gt;=10,000 b/d)</t>
        </is>
      </c>
      <c r="B10" t="n">
        <v>32</v>
      </c>
      <c r="C10" t="n">
        <v>31</v>
      </c>
      <c r="D10" t="n">
        <v>59</v>
      </c>
      <c r="E10" t="n">
        <v>61</v>
      </c>
    </row>
    <row r="11">
      <c r="A11" t="inlineStr">
        <is>
          <t>Small firms (&lt;10,000 b/d)</t>
        </is>
      </c>
      <c r="B11" t="n">
        <v>46</v>
      </c>
      <c r="C11" t="n">
        <v>44</v>
      </c>
      <c r="D11" t="n">
        <v>68</v>
      </c>
      <c r="E11" t="n">
        <v>66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New-well breakeven by Q1 survey (USD/bbl WTI)</t>
        </is>
      </c>
      <c r="B1" t="inlineStr">
        <is>
          <t>2017:Q1</t>
        </is>
      </c>
      <c r="C1" t="inlineStr">
        <is>
          <t>2018:Q1</t>
        </is>
      </c>
      <c r="D1" t="inlineStr">
        <is>
          <t>2019:Q1</t>
        </is>
      </c>
      <c r="E1" t="inlineStr">
        <is>
          <t>2020:Q1</t>
        </is>
      </c>
      <c r="F1" t="inlineStr">
        <is>
          <t>2021:Q1</t>
        </is>
      </c>
      <c r="G1" t="inlineStr">
        <is>
          <t>2022:Q1</t>
        </is>
      </c>
      <c r="H1" t="inlineStr">
        <is>
          <t>2023:Q1</t>
        </is>
      </c>
      <c r="I1" t="inlineStr">
        <is>
          <t>2024:Q1</t>
        </is>
      </c>
      <c r="J1" t="inlineStr">
        <is>
          <t>2025:Q1</t>
        </is>
      </c>
      <c r="K1" t="inlineStr">
        <is>
          <t>2026:Q1</t>
        </is>
      </c>
    </row>
    <row r="2">
      <c r="A2" t="inlineStr">
        <is>
          <t>Permian Basin - Midland</t>
        </is>
      </c>
      <c r="B2" t="n">
        <v>46</v>
      </c>
      <c r="C2" t="n">
        <v>47.33</v>
      </c>
      <c r="D2" t="n">
        <v>47.5</v>
      </c>
      <c r="E2" t="n">
        <v>45.57</v>
      </c>
      <c r="F2" t="n">
        <v>45.8</v>
      </c>
      <c r="G2" t="n">
        <v>51.29</v>
      </c>
      <c r="H2" t="n">
        <v>58.33</v>
      </c>
      <c r="I2" t="n">
        <v>61.61</v>
      </c>
      <c r="J2" t="n">
        <v>60.56</v>
      </c>
      <c r="K2" t="n">
        <v>68.56999999999999</v>
      </c>
    </row>
    <row r="3">
      <c r="A3" t="inlineStr">
        <is>
          <t>Permian Basin - Delaware</t>
        </is>
      </c>
      <c r="B3" t="n">
        <v>48</v>
      </c>
      <c r="C3" t="n">
        <v>48.92</v>
      </c>
      <c r="D3" t="n">
        <v>48.69</v>
      </c>
      <c r="E3" t="n">
        <v>51.56</v>
      </c>
      <c r="F3" t="n">
        <v>49.25</v>
      </c>
      <c r="G3" t="n">
        <v>49.74</v>
      </c>
      <c r="H3" t="n">
        <v>60.71</v>
      </c>
      <c r="I3" t="n">
        <v>63.81</v>
      </c>
      <c r="J3" t="n">
        <v>62.22</v>
      </c>
      <c r="K3" t="n">
        <v>63.21</v>
      </c>
    </row>
    <row r="4">
      <c r="A4" t="inlineStr">
        <is>
          <t>Eagle Ford</t>
        </is>
      </c>
      <c r="B4" t="n">
        <v>47.5</v>
      </c>
      <c r="D4" t="n">
        <v>51.27</v>
      </c>
      <c r="E4" t="n">
        <v>46</v>
      </c>
      <c r="F4" t="n">
        <v>46.25</v>
      </c>
      <c r="G4" t="n">
        <v>48</v>
      </c>
      <c r="H4" t="n">
        <v>56.43</v>
      </c>
      <c r="J4" t="n">
        <v>61.67</v>
      </c>
      <c r="K4" t="n">
        <v>63</v>
      </c>
    </row>
    <row r="5">
      <c r="A5" t="inlineStr">
        <is>
          <t>Other U.S. (Shale)</t>
        </is>
      </c>
      <c r="B5" t="n">
        <v>55.25</v>
      </c>
      <c r="C5" t="n">
        <v>53.57</v>
      </c>
      <c r="D5" t="n">
        <v>48.5</v>
      </c>
      <c r="E5" t="n">
        <v>51</v>
      </c>
      <c r="F5" t="n">
        <v>58.06</v>
      </c>
      <c r="G5" t="n">
        <v>68.7</v>
      </c>
      <c r="H5" t="n">
        <v>60.91</v>
      </c>
      <c r="I5" t="n">
        <v>59.41</v>
      </c>
      <c r="J5" t="n">
        <v>63</v>
      </c>
      <c r="K5" t="n">
        <v>62.38</v>
      </c>
    </row>
    <row r="6">
      <c r="A6" t="inlineStr">
        <is>
          <t>Permian (all responses)</t>
        </is>
      </c>
      <c r="B6" t="n">
        <v>48</v>
      </c>
      <c r="C6" t="n">
        <v>50</v>
      </c>
      <c r="D6" t="n">
        <v>50</v>
      </c>
      <c r="E6" t="n">
        <v>49</v>
      </c>
      <c r="F6" t="n">
        <v>50</v>
      </c>
      <c r="G6" t="n">
        <v>52</v>
      </c>
      <c r="H6" t="n">
        <v>61</v>
      </c>
      <c r="I6" t="n">
        <v>65</v>
      </c>
      <c r="J6" t="n">
        <v>65</v>
      </c>
      <c r="K6" t="n">
        <v>67</v>
      </c>
    </row>
    <row r="7">
      <c r="A7" t="inlineStr">
        <is>
          <t>All responses</t>
        </is>
      </c>
      <c r="B7" t="n">
        <v>50</v>
      </c>
      <c r="C7" t="n">
        <v>52</v>
      </c>
      <c r="D7" t="n">
        <v>50</v>
      </c>
      <c r="E7" t="n">
        <v>49</v>
      </c>
      <c r="F7" t="n">
        <v>52</v>
      </c>
      <c r="G7" t="n">
        <v>56</v>
      </c>
      <c r="H7" t="n">
        <v>62</v>
      </c>
      <c r="I7" t="n">
        <v>64</v>
      </c>
      <c r="J7" t="n">
        <v>65</v>
      </c>
      <c r="K7" t="n">
        <v>66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65"/>
  <sheetViews>
    <sheetView workbookViewId="0">
      <selection activeCell="A1" sqref="A1"/>
    </sheetView>
  </sheetViews>
  <sheetFormatPr baseColWidth="8" defaultRowHeight="15"/>
  <sheetData>
    <row r="1">
      <c r="A1" t="inlineStr">
        <is>
          <t>key</t>
        </is>
      </c>
      <c r="B1" t="inlineStr">
        <is>
          <t>id</t>
        </is>
      </c>
      <c r="C1" t="inlineStr">
        <is>
          <t>period</t>
        </is>
      </c>
      <c r="D1" t="inlineStr">
        <is>
          <t>value</t>
        </is>
      </c>
      <c r="E1" t="inlineStr">
        <is>
          <t>description</t>
        </is>
      </c>
      <c r="F1" t="inlineStr">
        <is>
          <t>unit</t>
        </is>
      </c>
    </row>
    <row r="2">
      <c r="A2" t="inlineStr">
        <is>
          <t>COEOPBK|2025-01</t>
        </is>
      </c>
      <c r="B2" t="inlineStr">
        <is>
          <t>COEOPBK</t>
        </is>
      </c>
      <c r="C2" t="inlineStr">
        <is>
          <t>2025-01</t>
        </is>
      </c>
      <c r="D2" t="inlineStr">
        <is>
          <t>-66.22617992</t>
        </is>
      </c>
      <c r="E2" t="inlineStr">
        <is>
          <t>Bakken Existing Oil Production Change, One-year Trend</t>
        </is>
      </c>
      <c r="F2" t="inlineStr">
        <is>
          <t>thousand barrels per day</t>
        </is>
      </c>
    </row>
    <row r="3">
      <c r="A3" t="inlineStr">
        <is>
          <t>COEOPBK|2025-02</t>
        </is>
      </c>
      <c r="B3" t="inlineStr">
        <is>
          <t>COEOPBK</t>
        </is>
      </c>
      <c r="C3" t="inlineStr">
        <is>
          <t>2025-02</t>
        </is>
      </c>
      <c r="D3" t="inlineStr">
        <is>
          <t>-64.31499151</t>
        </is>
      </c>
      <c r="E3" t="inlineStr">
        <is>
          <t>Bakken Existing Oil Production Change, One-year Trend</t>
        </is>
      </c>
      <c r="F3" t="inlineStr">
        <is>
          <t>thousand barrels per day</t>
        </is>
      </c>
    </row>
    <row r="4">
      <c r="A4" t="inlineStr">
        <is>
          <t>COEOPBK|2025-03</t>
        </is>
      </c>
      <c r="B4" t="inlineStr">
        <is>
          <t>COEOPBK</t>
        </is>
      </c>
      <c r="C4" t="inlineStr">
        <is>
          <t>2025-03</t>
        </is>
      </c>
      <c r="D4" t="inlineStr">
        <is>
          <t>-61.90378453</t>
        </is>
      </c>
      <c r="E4" t="inlineStr">
        <is>
          <t>Bakken Existing Oil Production Change, One-year Trend</t>
        </is>
      </c>
      <c r="F4" t="inlineStr">
        <is>
          <t>thousand barrels per day</t>
        </is>
      </c>
    </row>
    <row r="5">
      <c r="A5" t="inlineStr">
        <is>
          <t>COEOPBK|2025-04</t>
        </is>
      </c>
      <c r="B5" t="inlineStr">
        <is>
          <t>COEOPBK</t>
        </is>
      </c>
      <c r="C5" t="inlineStr">
        <is>
          <t>2025-04</t>
        </is>
      </c>
      <c r="D5" t="inlineStr">
        <is>
          <t>-60.84300047</t>
        </is>
      </c>
      <c r="E5" t="inlineStr">
        <is>
          <t>Bakken Existing Oil Production Change, One-year Trend</t>
        </is>
      </c>
      <c r="F5" t="inlineStr">
        <is>
          <t>thousand barrels per day</t>
        </is>
      </c>
    </row>
    <row r="6">
      <c r="A6" t="inlineStr">
        <is>
          <t>COEOPBK|2025-05</t>
        </is>
      </c>
      <c r="B6" t="inlineStr">
        <is>
          <t>COEOPBK</t>
        </is>
      </c>
      <c r="C6" t="inlineStr">
        <is>
          <t>2025-05</t>
        </is>
      </c>
      <c r="D6" t="inlineStr">
        <is>
          <t>-61.65699664</t>
        </is>
      </c>
      <c r="E6" t="inlineStr">
        <is>
          <t>Bakken Existing Oil Production Change, One-year Trend</t>
        </is>
      </c>
      <c r="F6" t="inlineStr">
        <is>
          <t>thousand barrels per day</t>
        </is>
      </c>
    </row>
    <row r="7">
      <c r="A7" t="inlineStr">
        <is>
          <t>COEOPBK|2025-06</t>
        </is>
      </c>
      <c r="B7" t="inlineStr">
        <is>
          <t>COEOPBK</t>
        </is>
      </c>
      <c r="C7" t="inlineStr">
        <is>
          <t>2025-06</t>
        </is>
      </c>
      <c r="D7" t="inlineStr">
        <is>
          <t>-63.24702789</t>
        </is>
      </c>
      <c r="E7" t="inlineStr">
        <is>
          <t>Bakken Existing Oil Production Change, One-year Trend</t>
        </is>
      </c>
      <c r="F7" t="inlineStr">
        <is>
          <t>thousand barrels per day</t>
        </is>
      </c>
    </row>
    <row r="8">
      <c r="A8" t="inlineStr">
        <is>
          <t>COEOPBK|2025-07</t>
        </is>
      </c>
      <c r="B8" t="inlineStr">
        <is>
          <t>COEOPBK</t>
        </is>
      </c>
      <c r="C8" t="inlineStr">
        <is>
          <t>2025-07</t>
        </is>
      </c>
      <c r="D8" t="inlineStr">
        <is>
          <t>-65.00153383</t>
        </is>
      </c>
      <c r="E8" t="inlineStr">
        <is>
          <t>Bakken Existing Oil Production Change, One-year Trend</t>
        </is>
      </c>
      <c r="F8" t="inlineStr">
        <is>
          <t>thousand barrels per day</t>
        </is>
      </c>
    </row>
    <row r="9">
      <c r="A9" t="inlineStr">
        <is>
          <t>COEOPBK|2025-08</t>
        </is>
      </c>
      <c r="B9" t="inlineStr">
        <is>
          <t>COEOPBK</t>
        </is>
      </c>
      <c r="C9" t="inlineStr">
        <is>
          <t>2025-08</t>
        </is>
      </c>
      <c r="D9" t="inlineStr">
        <is>
          <t>-68.09203165</t>
        </is>
      </c>
      <c r="E9" t="inlineStr">
        <is>
          <t>Bakken Existing Oil Production Change, One-year Trend</t>
        </is>
      </c>
      <c r="F9" t="inlineStr">
        <is>
          <t>thousand barrels per day</t>
        </is>
      </c>
    </row>
    <row r="10">
      <c r="A10" t="inlineStr">
        <is>
          <t>COEOPBK|2025-09</t>
        </is>
      </c>
      <c r="B10" t="inlineStr">
        <is>
          <t>COEOPBK</t>
        </is>
      </c>
      <c r="C10" t="inlineStr">
        <is>
          <t>2025-09</t>
        </is>
      </c>
      <c r="D10" t="inlineStr">
        <is>
          <t>-70.30650167</t>
        </is>
      </c>
      <c r="E10" t="inlineStr">
        <is>
          <t>Bakken Existing Oil Production Change, One-year Trend</t>
        </is>
      </c>
      <c r="F10" t="inlineStr">
        <is>
          <t>thousand barrels per day</t>
        </is>
      </c>
    </row>
    <row r="11">
      <c r="A11" t="inlineStr">
        <is>
          <t>COEOPBK|2025-10</t>
        </is>
      </c>
      <c r="B11" t="inlineStr">
        <is>
          <t>COEOPBK</t>
        </is>
      </c>
      <c r="C11" t="inlineStr">
        <is>
          <t>2025-10</t>
        </is>
      </c>
      <c r="D11" t="inlineStr">
        <is>
          <t>-71.16792535</t>
        </is>
      </c>
      <c r="E11" t="inlineStr">
        <is>
          <t>Bakken Existing Oil Production Change, One-year Trend</t>
        </is>
      </c>
      <c r="F11" t="inlineStr">
        <is>
          <t>thousand barrels per day</t>
        </is>
      </c>
    </row>
    <row r="12">
      <c r="A12" t="inlineStr">
        <is>
          <t>COEOPBK|2025-11</t>
        </is>
      </c>
      <c r="B12" t="inlineStr">
        <is>
          <t>COEOPBK</t>
        </is>
      </c>
      <c r="C12" t="inlineStr">
        <is>
          <t>2025-11</t>
        </is>
      </c>
      <c r="D12" t="inlineStr">
        <is>
          <t>-71.25007571</t>
        </is>
      </c>
      <c r="E12" t="inlineStr">
        <is>
          <t>Bakken Existing Oil Production Change, One-year Trend</t>
        </is>
      </c>
      <c r="F12" t="inlineStr">
        <is>
          <t>thousand barrels per day</t>
        </is>
      </c>
    </row>
    <row r="13">
      <c r="A13" t="inlineStr">
        <is>
          <t>COEOPBK|2025-12</t>
        </is>
      </c>
      <c r="B13" t="inlineStr">
        <is>
          <t>COEOPBK</t>
        </is>
      </c>
      <c r="C13" t="inlineStr">
        <is>
          <t>2025-12</t>
        </is>
      </c>
      <c r="D13" t="inlineStr">
        <is>
          <t>-70.07115209</t>
        </is>
      </c>
      <c r="E13" t="inlineStr">
        <is>
          <t>Bakken Existing Oil Production Change, One-year Trend</t>
        </is>
      </c>
      <c r="F13" t="inlineStr">
        <is>
          <t>thousand barrels per day</t>
        </is>
      </c>
    </row>
    <row r="14">
      <c r="A14" t="inlineStr">
        <is>
          <t>COEOPBK|2026-01</t>
        </is>
      </c>
      <c r="B14" t="inlineStr">
        <is>
          <t>COEOPBK</t>
        </is>
      </c>
      <c r="C14" t="inlineStr">
        <is>
          <t>2026-01</t>
        </is>
      </c>
      <c r="D14" t="inlineStr">
        <is>
          <t>-69.70807409</t>
        </is>
      </c>
      <c r="E14" t="inlineStr">
        <is>
          <t>Bakken Existing Oil Production Change, One-year Trend</t>
        </is>
      </c>
      <c r="F14" t="inlineStr">
        <is>
          <t>thousand barrels per day</t>
        </is>
      </c>
    </row>
    <row r="15">
      <c r="A15" t="inlineStr">
        <is>
          <t>COEOPBK|2026-02</t>
        </is>
      </c>
      <c r="B15" t="inlineStr">
        <is>
          <t>COEOPBK</t>
        </is>
      </c>
      <c r="C15" t="inlineStr">
        <is>
          <t>2026-02</t>
        </is>
      </c>
      <c r="D15" t="inlineStr">
        <is>
          <t>-70.05161526</t>
        </is>
      </c>
      <c r="E15" t="inlineStr">
        <is>
          <t>Bakken Existing Oil Production Change, One-year Trend</t>
        </is>
      </c>
      <c r="F15" t="inlineStr">
        <is>
          <t>thousand barrels per day</t>
        </is>
      </c>
    </row>
    <row r="16">
      <c r="A16" t="inlineStr">
        <is>
          <t>COEOPBK|2026-03</t>
        </is>
      </c>
      <c r="B16" t="inlineStr">
        <is>
          <t>COEOPBK</t>
        </is>
      </c>
      <c r="C16" t="inlineStr">
        <is>
          <t>2026-03</t>
        </is>
      </c>
      <c r="D16" t="inlineStr">
        <is>
          <t>-69.75271234</t>
        </is>
      </c>
      <c r="E16" t="inlineStr">
        <is>
          <t>Bakken Existing Oil Production Change, One-year Trend</t>
        </is>
      </c>
      <c r="F16" t="inlineStr">
        <is>
          <t>thousand barrels per day</t>
        </is>
      </c>
    </row>
    <row r="17">
      <c r="A17" t="inlineStr">
        <is>
          <t>COEOPBK|2026-04</t>
        </is>
      </c>
      <c r="B17" t="inlineStr">
        <is>
          <t>COEOPBK</t>
        </is>
      </c>
      <c r="C17" t="inlineStr">
        <is>
          <t>2026-04</t>
        </is>
      </c>
      <c r="D17" t="inlineStr">
        <is>
          <t>-69.62894099</t>
        </is>
      </c>
      <c r="E17" t="inlineStr">
        <is>
          <t>Bakken Existing Oil Production Change, One-year Trend</t>
        </is>
      </c>
      <c r="F17" t="inlineStr">
        <is>
          <t>thousand barrels per day</t>
        </is>
      </c>
    </row>
    <row r="18">
      <c r="A18" t="inlineStr">
        <is>
          <t>COEOPBK|2026-05</t>
        </is>
      </c>
      <c r="B18" t="inlineStr">
        <is>
          <t>COEOPBK</t>
        </is>
      </c>
      <c r="C18" t="inlineStr">
        <is>
          <t>2026-05</t>
        </is>
      </c>
      <c r="D18" t="inlineStr">
        <is>
          <t>-69.66575738</t>
        </is>
      </c>
      <c r="E18" t="inlineStr">
        <is>
          <t>Bakken Existing Oil Production Change, One-year Trend</t>
        </is>
      </c>
      <c r="F18" t="inlineStr">
        <is>
          <t>thousand barrels per day</t>
        </is>
      </c>
    </row>
    <row r="19">
      <c r="A19" t="inlineStr">
        <is>
          <t>COEOPBK|2026-06</t>
        </is>
      </c>
      <c r="B19" t="inlineStr">
        <is>
          <t>COEOPBK</t>
        </is>
      </c>
      <c r="C19" t="inlineStr">
        <is>
          <t>2026-06</t>
        </is>
      </c>
      <c r="D19" t="inlineStr">
        <is>
          <t>-70.06651797</t>
        </is>
      </c>
      <c r="E19" t="inlineStr">
        <is>
          <t>Bakken Existing Oil Production Change, One-year Trend</t>
        </is>
      </c>
      <c r="F19" t="inlineStr">
        <is>
          <t>thousand barrels per day</t>
        </is>
      </c>
    </row>
    <row r="20">
      <c r="A20" t="inlineStr">
        <is>
          <t>COEOPBK|2026-07</t>
        </is>
      </c>
      <c r="B20" t="inlineStr">
        <is>
          <t>COEOPBK</t>
        </is>
      </c>
      <c r="C20" t="inlineStr">
        <is>
          <t>2026-07</t>
        </is>
      </c>
      <c r="D20" t="inlineStr">
        <is>
          <t>-70.79015763</t>
        </is>
      </c>
      <c r="E20" t="inlineStr">
        <is>
          <t>Bakken Existing Oil Production Change, One-year Trend</t>
        </is>
      </c>
      <c r="F20" t="inlineStr">
        <is>
          <t>thousand barrels per day</t>
        </is>
      </c>
    </row>
    <row r="21">
      <c r="A21" t="inlineStr">
        <is>
          <t>COEOPBK|2026-08</t>
        </is>
      </c>
      <c r="B21" t="inlineStr">
        <is>
          <t>COEOPBK</t>
        </is>
      </c>
      <c r="C21" t="inlineStr">
        <is>
          <t>2026-08</t>
        </is>
      </c>
      <c r="D21" t="inlineStr">
        <is>
          <t>-71.79397539</t>
        </is>
      </c>
      <c r="E21" t="inlineStr">
        <is>
          <t>Bakken Existing Oil Production Change, One-year Trend</t>
        </is>
      </c>
      <c r="F21" t="inlineStr">
        <is>
          <t>thousand barrels per day</t>
        </is>
      </c>
    </row>
    <row r="22">
      <c r="A22" t="inlineStr">
        <is>
          <t>COEOPEF|2025-01</t>
        </is>
      </c>
      <c r="B22" t="inlineStr">
        <is>
          <t>COEOPEF</t>
        </is>
      </c>
      <c r="C22" t="inlineStr">
        <is>
          <t>2025-01</t>
        </is>
      </c>
      <c r="D22" t="inlineStr">
        <is>
          <t>-77.10255633</t>
        </is>
      </c>
      <c r="E22" t="inlineStr">
        <is>
          <t>Eagle Ford Existing Oil Production Change, One-year Trend</t>
        </is>
      </c>
      <c r="F22" t="inlineStr">
        <is>
          <t>thousand barrels per day</t>
        </is>
      </c>
    </row>
    <row r="23">
      <c r="A23" t="inlineStr">
        <is>
          <t>COEOPEF|2025-02</t>
        </is>
      </c>
      <c r="B23" t="inlineStr">
        <is>
          <t>COEOPEF</t>
        </is>
      </c>
      <c r="C23" t="inlineStr">
        <is>
          <t>2025-02</t>
        </is>
      </c>
      <c r="D23" t="inlineStr">
        <is>
          <t>-76.14322</t>
        </is>
      </c>
      <c r="E23" t="inlineStr">
        <is>
          <t>Eagle Ford Existing Oil Production Change, One-year Trend</t>
        </is>
      </c>
      <c r="F23" t="inlineStr">
        <is>
          <t>thousand barrels per day</t>
        </is>
      </c>
    </row>
    <row r="24">
      <c r="A24" t="inlineStr">
        <is>
          <t>COEOPEF|2025-03</t>
        </is>
      </c>
      <c r="B24" t="inlineStr">
        <is>
          <t>COEOPEF</t>
        </is>
      </c>
      <c r="C24" t="inlineStr">
        <is>
          <t>2025-03</t>
        </is>
      </c>
      <c r="D24" t="inlineStr">
        <is>
          <t>-75.03103644</t>
        </is>
      </c>
      <c r="E24" t="inlineStr">
        <is>
          <t>Eagle Ford Existing Oil Production Change, One-year Trend</t>
        </is>
      </c>
      <c r="F24" t="inlineStr">
        <is>
          <t>thousand barrels per day</t>
        </is>
      </c>
    </row>
    <row r="25">
      <c r="A25" t="inlineStr">
        <is>
          <t>COEOPEF|2025-04</t>
        </is>
      </c>
      <c r="B25" t="inlineStr">
        <is>
          <t>COEOPEF</t>
        </is>
      </c>
      <c r="C25" t="inlineStr">
        <is>
          <t>2025-04</t>
        </is>
      </c>
      <c r="D25" t="inlineStr">
        <is>
          <t>-75.4010382</t>
        </is>
      </c>
      <c r="E25" t="inlineStr">
        <is>
          <t>Eagle Ford Existing Oil Production Change, One-year Trend</t>
        </is>
      </c>
      <c r="F25" t="inlineStr">
        <is>
          <t>thousand barrels per day</t>
        </is>
      </c>
    </row>
    <row r="26">
      <c r="A26" t="inlineStr">
        <is>
          <t>COEOPEF|2025-05</t>
        </is>
      </c>
      <c r="B26" t="inlineStr">
        <is>
          <t>COEOPEF</t>
        </is>
      </c>
      <c r="C26" t="inlineStr">
        <is>
          <t>2025-05</t>
        </is>
      </c>
      <c r="D26" t="inlineStr">
        <is>
          <t>-78.41416328</t>
        </is>
      </c>
      <c r="E26" t="inlineStr">
        <is>
          <t>Eagle Ford Existing Oil Production Change, One-year Trend</t>
        </is>
      </c>
      <c r="F26" t="inlineStr">
        <is>
          <t>thousand barrels per day</t>
        </is>
      </c>
    </row>
    <row r="27">
      <c r="A27" t="inlineStr">
        <is>
          <t>COEOPEF|2025-06</t>
        </is>
      </c>
      <c r="B27" t="inlineStr">
        <is>
          <t>COEOPEF</t>
        </is>
      </c>
      <c r="C27" t="inlineStr">
        <is>
          <t>2025-06</t>
        </is>
      </c>
      <c r="D27" t="inlineStr">
        <is>
          <t>-82.68678771</t>
        </is>
      </c>
      <c r="E27" t="inlineStr">
        <is>
          <t>Eagle Ford Existing Oil Production Change, One-year Trend</t>
        </is>
      </c>
      <c r="F27" t="inlineStr">
        <is>
          <t>thousand barrels per day</t>
        </is>
      </c>
    </row>
    <row r="28">
      <c r="A28" t="inlineStr">
        <is>
          <t>COEOPEF|2025-07</t>
        </is>
      </c>
      <c r="B28" t="inlineStr">
        <is>
          <t>COEOPEF</t>
        </is>
      </c>
      <c r="C28" t="inlineStr">
        <is>
          <t>2025-07</t>
        </is>
      </c>
      <c r="D28" t="inlineStr">
        <is>
          <t>-85.84168148</t>
        </is>
      </c>
      <c r="E28" t="inlineStr">
        <is>
          <t>Eagle Ford Existing Oil Production Change, One-year Trend</t>
        </is>
      </c>
      <c r="F28" t="inlineStr">
        <is>
          <t>thousand barrels per day</t>
        </is>
      </c>
    </row>
    <row r="29">
      <c r="A29" t="inlineStr">
        <is>
          <t>COEOPEF|2025-08</t>
        </is>
      </c>
      <c r="B29" t="inlineStr">
        <is>
          <t>COEOPEF</t>
        </is>
      </c>
      <c r="C29" t="inlineStr">
        <is>
          <t>2025-08</t>
        </is>
      </c>
      <c r="D29" t="inlineStr">
        <is>
          <t>-86.2742891</t>
        </is>
      </c>
      <c r="E29" t="inlineStr">
        <is>
          <t>Eagle Ford Existing Oil Production Change, One-year Trend</t>
        </is>
      </c>
      <c r="F29" t="inlineStr">
        <is>
          <t>thousand barrels per day</t>
        </is>
      </c>
    </row>
    <row r="30">
      <c r="A30" t="inlineStr">
        <is>
          <t>COEOPEF|2025-09</t>
        </is>
      </c>
      <c r="B30" t="inlineStr">
        <is>
          <t>COEOPEF</t>
        </is>
      </c>
      <c r="C30" t="inlineStr">
        <is>
          <t>2025-09</t>
        </is>
      </c>
      <c r="D30" t="inlineStr">
        <is>
          <t>-85.72994744</t>
        </is>
      </c>
      <c r="E30" t="inlineStr">
        <is>
          <t>Eagle Ford Existing Oil Production Change, One-year Trend</t>
        </is>
      </c>
      <c r="F30" t="inlineStr">
        <is>
          <t>thousand barrels per day</t>
        </is>
      </c>
    </row>
    <row r="31">
      <c r="A31" t="inlineStr">
        <is>
          <t>COEOPEF|2025-10</t>
        </is>
      </c>
      <c r="B31" t="inlineStr">
        <is>
          <t>COEOPEF</t>
        </is>
      </c>
      <c r="C31" t="inlineStr">
        <is>
          <t>2025-10</t>
        </is>
      </c>
      <c r="D31" t="inlineStr">
        <is>
          <t>-84.60841997</t>
        </is>
      </c>
      <c r="E31" t="inlineStr">
        <is>
          <t>Eagle Ford Existing Oil Production Change, One-year Trend</t>
        </is>
      </c>
      <c r="F31" t="inlineStr">
        <is>
          <t>thousand barrels per day</t>
        </is>
      </c>
    </row>
    <row r="32">
      <c r="A32" t="inlineStr">
        <is>
          <t>COEOPEF|2025-11</t>
        </is>
      </c>
      <c r="B32" t="inlineStr">
        <is>
          <t>COEOPEF</t>
        </is>
      </c>
      <c r="C32" t="inlineStr">
        <is>
          <t>2025-11</t>
        </is>
      </c>
      <c r="D32" t="inlineStr">
        <is>
          <t>-83.29726218</t>
        </is>
      </c>
      <c r="E32" t="inlineStr">
        <is>
          <t>Eagle Ford Existing Oil Production Change, One-year Trend</t>
        </is>
      </c>
      <c r="F32" t="inlineStr">
        <is>
          <t>thousand barrels per day</t>
        </is>
      </c>
    </row>
    <row r="33">
      <c r="A33" t="inlineStr">
        <is>
          <t>COEOPEF|2025-12</t>
        </is>
      </c>
      <c r="B33" t="inlineStr">
        <is>
          <t>COEOPEF</t>
        </is>
      </c>
      <c r="C33" t="inlineStr">
        <is>
          <t>2025-12</t>
        </is>
      </c>
      <c r="D33" t="inlineStr">
        <is>
          <t>-81.52239624</t>
        </is>
      </c>
      <c r="E33" t="inlineStr">
        <is>
          <t>Eagle Ford Existing Oil Production Change, One-year Trend</t>
        </is>
      </c>
      <c r="F33" t="inlineStr">
        <is>
          <t>thousand barrels per day</t>
        </is>
      </c>
    </row>
    <row r="34">
      <c r="A34" t="inlineStr">
        <is>
          <t>COEOPEF|2026-01</t>
        </is>
      </c>
      <c r="B34" t="inlineStr">
        <is>
          <t>COEOPEF</t>
        </is>
      </c>
      <c r="C34" t="inlineStr">
        <is>
          <t>2026-01</t>
        </is>
      </c>
      <c r="D34" t="inlineStr">
        <is>
          <t>-79.4016371</t>
        </is>
      </c>
      <c r="E34" t="inlineStr">
        <is>
          <t>Eagle Ford Existing Oil Production Change, One-year Trend</t>
        </is>
      </c>
      <c r="F34" t="inlineStr">
        <is>
          <t>thousand barrels per day</t>
        </is>
      </c>
    </row>
    <row r="35">
      <c r="A35" t="inlineStr">
        <is>
          <t>COEOPEF|2026-02</t>
        </is>
      </c>
      <c r="B35" t="inlineStr">
        <is>
          <t>COEOPEF</t>
        </is>
      </c>
      <c r="C35" t="inlineStr">
        <is>
          <t>2026-02</t>
        </is>
      </c>
      <c r="D35" t="inlineStr">
        <is>
          <t>-79.04763219</t>
        </is>
      </c>
      <c r="E35" t="inlineStr">
        <is>
          <t>Eagle Ford Existing Oil Production Change, One-year Trend</t>
        </is>
      </c>
      <c r="F35" t="inlineStr">
        <is>
          <t>thousand barrels per day</t>
        </is>
      </c>
    </row>
    <row r="36">
      <c r="A36" t="inlineStr">
        <is>
          <t>COEOPEF|2026-03</t>
        </is>
      </c>
      <c r="B36" t="inlineStr">
        <is>
          <t>COEOPEF</t>
        </is>
      </c>
      <c r="C36" t="inlineStr">
        <is>
          <t>2026-03</t>
        </is>
      </c>
      <c r="D36" t="inlineStr">
        <is>
          <t>-80.42465404</t>
        </is>
      </c>
      <c r="E36" t="inlineStr">
        <is>
          <t>Eagle Ford Existing Oil Production Change, One-year Trend</t>
        </is>
      </c>
      <c r="F36" t="inlineStr">
        <is>
          <t>thousand barrels per day</t>
        </is>
      </c>
    </row>
    <row r="37">
      <c r="A37" t="inlineStr">
        <is>
          <t>COEOPEF|2026-04</t>
        </is>
      </c>
      <c r="B37" t="inlineStr">
        <is>
          <t>COEOPEF</t>
        </is>
      </c>
      <c r="C37" t="inlineStr">
        <is>
          <t>2026-04</t>
        </is>
      </c>
      <c r="D37" t="inlineStr">
        <is>
          <t>-81.68274144</t>
        </is>
      </c>
      <c r="E37" t="inlineStr">
        <is>
          <t>Eagle Ford Existing Oil Production Change, One-year Trend</t>
        </is>
      </c>
      <c r="F37" t="inlineStr">
        <is>
          <t>thousand barrels per day</t>
        </is>
      </c>
    </row>
    <row r="38">
      <c r="A38" t="inlineStr">
        <is>
          <t>COEOPEF|2026-05</t>
        </is>
      </c>
      <c r="B38" t="inlineStr">
        <is>
          <t>COEOPEF</t>
        </is>
      </c>
      <c r="C38" t="inlineStr">
        <is>
          <t>2026-05</t>
        </is>
      </c>
      <c r="D38" t="inlineStr">
        <is>
          <t>-82.79247504</t>
        </is>
      </c>
      <c r="E38" t="inlineStr">
        <is>
          <t>Eagle Ford Existing Oil Production Change, One-year Trend</t>
        </is>
      </c>
      <c r="F38" t="inlineStr">
        <is>
          <t>thousand barrels per day</t>
        </is>
      </c>
    </row>
    <row r="39">
      <c r="A39" t="inlineStr">
        <is>
          <t>COEOPEF|2026-06</t>
        </is>
      </c>
      <c r="B39" t="inlineStr">
        <is>
          <t>COEOPEF</t>
        </is>
      </c>
      <c r="C39" t="inlineStr">
        <is>
          <t>2026-06</t>
        </is>
      </c>
      <c r="D39" t="inlineStr">
        <is>
          <t>-83.82943195</t>
        </is>
      </c>
      <c r="E39" t="inlineStr">
        <is>
          <t>Eagle Ford Existing Oil Production Change, One-year Trend</t>
        </is>
      </c>
      <c r="F39" t="inlineStr">
        <is>
          <t>thousand barrels per day</t>
        </is>
      </c>
    </row>
    <row r="40">
      <c r="A40" t="inlineStr">
        <is>
          <t>COEOPEF|2026-07</t>
        </is>
      </c>
      <c r="B40" t="inlineStr">
        <is>
          <t>COEOPEF</t>
        </is>
      </c>
      <c r="C40" t="inlineStr">
        <is>
          <t>2026-07</t>
        </is>
      </c>
      <c r="D40" t="inlineStr">
        <is>
          <t>-84.73232527</t>
        </is>
      </c>
      <c r="E40" t="inlineStr">
        <is>
          <t>Eagle Ford Existing Oil Production Change, One-year Trend</t>
        </is>
      </c>
      <c r="F40" t="inlineStr">
        <is>
          <t>thousand barrels per day</t>
        </is>
      </c>
    </row>
    <row r="41">
      <c r="A41" t="inlineStr">
        <is>
          <t>COEOPEF|2026-08</t>
        </is>
      </c>
      <c r="B41" t="inlineStr">
        <is>
          <t>COEOPEF</t>
        </is>
      </c>
      <c r="C41" t="inlineStr">
        <is>
          <t>2026-08</t>
        </is>
      </c>
      <c r="D41" t="inlineStr">
        <is>
          <t>-85.57281183</t>
        </is>
      </c>
      <c r="E41" t="inlineStr">
        <is>
          <t>Eagle Ford Existing Oil Production Change, One-year Trend</t>
        </is>
      </c>
      <c r="F41" t="inlineStr">
        <is>
          <t>thousand barrels per day</t>
        </is>
      </c>
    </row>
    <row r="42">
      <c r="A42" t="inlineStr">
        <is>
          <t>COEOPPM|2025-01</t>
        </is>
      </c>
      <c r="B42" t="inlineStr">
        <is>
          <t>COEOPPM</t>
        </is>
      </c>
      <c r="C42" t="inlineStr">
        <is>
          <t>2025-01</t>
        </is>
      </c>
      <c r="D42" t="inlineStr">
        <is>
          <t>-431.8810585</t>
        </is>
      </c>
      <c r="E42" t="inlineStr">
        <is>
          <t>Permian Existing Oil Production Change, One-year Trend</t>
        </is>
      </c>
      <c r="F42" t="inlineStr">
        <is>
          <t>thousand barrels per day</t>
        </is>
      </c>
    </row>
    <row r="43">
      <c r="A43" t="inlineStr">
        <is>
          <t>COEOPPM|2025-02</t>
        </is>
      </c>
      <c r="B43" t="inlineStr">
        <is>
          <t>COEOPPM</t>
        </is>
      </c>
      <c r="C43" t="inlineStr">
        <is>
          <t>2025-02</t>
        </is>
      </c>
      <c r="D43" t="inlineStr">
        <is>
          <t>-437.2248584</t>
        </is>
      </c>
      <c r="E43" t="inlineStr">
        <is>
          <t>Permian Existing Oil Production Change, One-year Trend</t>
        </is>
      </c>
      <c r="F43" t="inlineStr">
        <is>
          <t>thousand barrels per day</t>
        </is>
      </c>
    </row>
    <row r="44">
      <c r="A44" t="inlineStr">
        <is>
          <t>COEOPPM|2025-03</t>
        </is>
      </c>
      <c r="B44" t="inlineStr">
        <is>
          <t>COEOPPM</t>
        </is>
      </c>
      <c r="C44" t="inlineStr">
        <is>
          <t>2025-03</t>
        </is>
      </c>
      <c r="D44" t="inlineStr">
        <is>
          <t>-437.0535679</t>
        </is>
      </c>
      <c r="E44" t="inlineStr">
        <is>
          <t>Permian Existing Oil Production Change, One-year Trend</t>
        </is>
      </c>
      <c r="F44" t="inlineStr">
        <is>
          <t>thousand barrels per day</t>
        </is>
      </c>
    </row>
    <row r="45">
      <c r="A45" t="inlineStr">
        <is>
          <t>COEOPPM|2025-04</t>
        </is>
      </c>
      <c r="B45" t="inlineStr">
        <is>
          <t>COEOPPM</t>
        </is>
      </c>
      <c r="C45" t="inlineStr">
        <is>
          <t>2025-04</t>
        </is>
      </c>
      <c r="D45" t="inlineStr">
        <is>
          <t>-430.0453715</t>
        </is>
      </c>
      <c r="E45" t="inlineStr">
        <is>
          <t>Permian Existing Oil Production Change, One-year Trend</t>
        </is>
      </c>
      <c r="F45" t="inlineStr">
        <is>
          <t>thousand barrels per day</t>
        </is>
      </c>
    </row>
    <row r="46">
      <c r="A46" t="inlineStr">
        <is>
          <t>COEOPPM|2025-05</t>
        </is>
      </c>
      <c r="B46" t="inlineStr">
        <is>
          <t>COEOPPM</t>
        </is>
      </c>
      <c r="C46" t="inlineStr">
        <is>
          <t>2025-05</t>
        </is>
      </c>
      <c r="D46" t="inlineStr">
        <is>
          <t>-424.1256063</t>
        </is>
      </c>
      <c r="E46" t="inlineStr">
        <is>
          <t>Permian Existing Oil Production Change, One-year Trend</t>
        </is>
      </c>
      <c r="F46" t="inlineStr">
        <is>
          <t>thousand barrels per day</t>
        </is>
      </c>
    </row>
    <row r="47">
      <c r="A47" t="inlineStr">
        <is>
          <t>COEOPPM|2025-06</t>
        </is>
      </c>
      <c r="B47" t="inlineStr">
        <is>
          <t>COEOPPM</t>
        </is>
      </c>
      <c r="C47" t="inlineStr">
        <is>
          <t>2025-06</t>
        </is>
      </c>
      <c r="D47" t="inlineStr">
        <is>
          <t>-423.5037347</t>
        </is>
      </c>
      <c r="E47" t="inlineStr">
        <is>
          <t>Permian Existing Oil Production Change, One-year Trend</t>
        </is>
      </c>
      <c r="F47" t="inlineStr">
        <is>
          <t>thousand barrels per day</t>
        </is>
      </c>
    </row>
    <row r="48">
      <c r="A48" t="inlineStr">
        <is>
          <t>COEOPPM|2025-07</t>
        </is>
      </c>
      <c r="B48" t="inlineStr">
        <is>
          <t>COEOPPM</t>
        </is>
      </c>
      <c r="C48" t="inlineStr">
        <is>
          <t>2025-07</t>
        </is>
      </c>
      <c r="D48" t="inlineStr">
        <is>
          <t>-427.617813</t>
        </is>
      </c>
      <c r="E48" t="inlineStr">
        <is>
          <t>Permian Existing Oil Production Change, One-year Trend</t>
        </is>
      </c>
      <c r="F48" t="inlineStr">
        <is>
          <t>thousand barrels per day</t>
        </is>
      </c>
    </row>
    <row r="49">
      <c r="A49" t="inlineStr">
        <is>
          <t>COEOPPM|2025-08</t>
        </is>
      </c>
      <c r="B49" t="inlineStr">
        <is>
          <t>COEOPPM</t>
        </is>
      </c>
      <c r="C49" t="inlineStr">
        <is>
          <t>2025-08</t>
        </is>
      </c>
      <c r="D49" t="inlineStr">
        <is>
          <t>-433.8027777</t>
        </is>
      </c>
      <c r="E49" t="inlineStr">
        <is>
          <t>Permian Existing Oil Production Change, One-year Trend</t>
        </is>
      </c>
      <c r="F49" t="inlineStr">
        <is>
          <t>thousand barrels per day</t>
        </is>
      </c>
    </row>
    <row r="50">
      <c r="A50" t="inlineStr">
        <is>
          <t>COEOPPM|2025-09</t>
        </is>
      </c>
      <c r="B50" t="inlineStr">
        <is>
          <t>COEOPPM</t>
        </is>
      </c>
      <c r="C50" t="inlineStr">
        <is>
          <t>2025-09</t>
        </is>
      </c>
      <c r="D50" t="inlineStr">
        <is>
          <t>-443.9456071</t>
        </is>
      </c>
      <c r="E50" t="inlineStr">
        <is>
          <t>Permian Existing Oil Production Change, One-year Trend</t>
        </is>
      </c>
      <c r="F50" t="inlineStr">
        <is>
          <t>thousand barrels per day</t>
        </is>
      </c>
    </row>
    <row r="51">
      <c r="A51" t="inlineStr">
        <is>
          <t>COEOPPM|2025-10</t>
        </is>
      </c>
      <c r="B51" t="inlineStr">
        <is>
          <t>COEOPPM</t>
        </is>
      </c>
      <c r="C51" t="inlineStr">
        <is>
          <t>2025-10</t>
        </is>
      </c>
      <c r="D51" t="inlineStr">
        <is>
          <t>-450.0002832</t>
        </is>
      </c>
      <c r="E51" t="inlineStr">
        <is>
          <t>Permian Existing Oil Production Change, One-year Trend</t>
        </is>
      </c>
      <c r="F51" t="inlineStr">
        <is>
          <t>thousand barrels per day</t>
        </is>
      </c>
    </row>
    <row r="52">
      <c r="A52" t="inlineStr">
        <is>
          <t>COEOPPM|2025-11</t>
        </is>
      </c>
      <c r="B52" t="inlineStr">
        <is>
          <t>COEOPPM</t>
        </is>
      </c>
      <c r="C52" t="inlineStr">
        <is>
          <t>2025-11</t>
        </is>
      </c>
      <c r="D52" t="inlineStr">
        <is>
          <t>-453.7307433</t>
        </is>
      </c>
      <c r="E52" t="inlineStr">
        <is>
          <t>Permian Existing Oil Production Change, One-year Trend</t>
        </is>
      </c>
      <c r="F52" t="inlineStr">
        <is>
          <t>thousand barrels per day</t>
        </is>
      </c>
    </row>
    <row r="53">
      <c r="A53" t="inlineStr">
        <is>
          <t>COEOPPM|2025-12</t>
        </is>
      </c>
      <c r="B53" t="inlineStr">
        <is>
          <t>COEOPPM</t>
        </is>
      </c>
      <c r="C53" t="inlineStr">
        <is>
          <t>2025-12</t>
        </is>
      </c>
      <c r="D53" t="inlineStr">
        <is>
          <t>-456.3802819</t>
        </is>
      </c>
      <c r="E53" t="inlineStr">
        <is>
          <t>Permian Existing Oil Production Change, One-year Trend</t>
        </is>
      </c>
      <c r="F53" t="inlineStr">
        <is>
          <t>thousand barrels per day</t>
        </is>
      </c>
    </row>
    <row r="54">
      <c r="A54" t="inlineStr">
        <is>
          <t>COEOPPM|2026-01</t>
        </is>
      </c>
      <c r="B54" t="inlineStr">
        <is>
          <t>COEOPPM</t>
        </is>
      </c>
      <c r="C54" t="inlineStr">
        <is>
          <t>2026-01</t>
        </is>
      </c>
      <c r="D54" t="inlineStr">
        <is>
          <t>-458.7776818</t>
        </is>
      </c>
      <c r="E54" t="inlineStr">
        <is>
          <t>Permian Existing Oil Production Change, One-year Trend</t>
        </is>
      </c>
      <c r="F54" t="inlineStr">
        <is>
          <t>thousand barrels per day</t>
        </is>
      </c>
    </row>
    <row r="55">
      <c r="A55" t="inlineStr">
        <is>
          <t>COEOPPM|2026-02</t>
        </is>
      </c>
      <c r="B55" t="inlineStr">
        <is>
          <t>COEOPPM</t>
        </is>
      </c>
      <c r="C55" t="inlineStr">
        <is>
          <t>2026-02</t>
        </is>
      </c>
      <c r="D55" t="inlineStr">
        <is>
          <t>-460.3982172</t>
        </is>
      </c>
      <c r="E55" t="inlineStr">
        <is>
          <t>Permian Existing Oil Production Change, One-year Trend</t>
        </is>
      </c>
      <c r="F55" t="inlineStr">
        <is>
          <t>thousand barrels per day</t>
        </is>
      </c>
    </row>
    <row r="56">
      <c r="A56" t="inlineStr">
        <is>
          <t>COEOPPM|2026-03</t>
        </is>
      </c>
      <c r="B56" t="inlineStr">
        <is>
          <t>COEOPPM</t>
        </is>
      </c>
      <c r="C56" t="inlineStr">
        <is>
          <t>2026-03</t>
        </is>
      </c>
      <c r="D56" t="inlineStr">
        <is>
          <t>-458.3953519</t>
        </is>
      </c>
      <c r="E56" t="inlineStr">
        <is>
          <t>Permian Existing Oil Production Change, One-year Trend</t>
        </is>
      </c>
      <c r="F56" t="inlineStr">
        <is>
          <t>thousand barrels per day</t>
        </is>
      </c>
    </row>
    <row r="57">
      <c r="A57" t="inlineStr">
        <is>
          <t>COEOPPM|2026-04</t>
        </is>
      </c>
      <c r="B57" t="inlineStr">
        <is>
          <t>COEOPPM</t>
        </is>
      </c>
      <c r="C57" t="inlineStr">
        <is>
          <t>2026-04</t>
        </is>
      </c>
      <c r="D57" t="inlineStr">
        <is>
          <t>-461.5852785</t>
        </is>
      </c>
      <c r="E57" t="inlineStr">
        <is>
          <t>Permian Existing Oil Production Change, One-year Trend</t>
        </is>
      </c>
      <c r="F57" t="inlineStr">
        <is>
          <t>thousand barrels per day</t>
        </is>
      </c>
    </row>
    <row r="58">
      <c r="A58" t="inlineStr">
        <is>
          <t>COEOPPM|2026-05</t>
        </is>
      </c>
      <c r="B58" t="inlineStr">
        <is>
          <t>COEOPPM</t>
        </is>
      </c>
      <c r="C58" t="inlineStr">
        <is>
          <t>2026-05</t>
        </is>
      </c>
      <c r="D58" t="inlineStr">
        <is>
          <t>-466.8415345</t>
        </is>
      </c>
      <c r="E58" t="inlineStr">
        <is>
          <t>Permian Existing Oil Production Change, One-year Trend</t>
        </is>
      </c>
      <c r="F58" t="inlineStr">
        <is>
          <t>thousand barrels per day</t>
        </is>
      </c>
    </row>
    <row r="59">
      <c r="A59" t="inlineStr">
        <is>
          <t>COEOPPM|2026-06</t>
        </is>
      </c>
      <c r="B59" t="inlineStr">
        <is>
          <t>COEOPPM</t>
        </is>
      </c>
      <c r="C59" t="inlineStr">
        <is>
          <t>2026-06</t>
        </is>
      </c>
      <c r="D59" t="inlineStr">
        <is>
          <t>-473.5213852</t>
        </is>
      </c>
      <c r="E59" t="inlineStr">
        <is>
          <t>Permian Existing Oil Production Change, One-year Trend</t>
        </is>
      </c>
      <c r="F59" t="inlineStr">
        <is>
          <t>thousand barrels per day</t>
        </is>
      </c>
    </row>
    <row r="60">
      <c r="A60" t="inlineStr">
        <is>
          <t>COEOPPM|2026-07</t>
        </is>
      </c>
      <c r="B60" t="inlineStr">
        <is>
          <t>COEOPPM</t>
        </is>
      </c>
      <c r="C60" t="inlineStr">
        <is>
          <t>2026-07</t>
        </is>
      </c>
      <c r="D60" t="inlineStr">
        <is>
          <t>-481.2656462</t>
        </is>
      </c>
      <c r="E60" t="inlineStr">
        <is>
          <t>Permian Existing Oil Production Change, One-year Trend</t>
        </is>
      </c>
      <c r="F60" t="inlineStr">
        <is>
          <t>thousand barrels per day</t>
        </is>
      </c>
    </row>
    <row r="61">
      <c r="A61" t="inlineStr">
        <is>
          <t>COEOPPM|2026-08</t>
        </is>
      </c>
      <c r="B61" t="inlineStr">
        <is>
          <t>COEOPPM</t>
        </is>
      </c>
      <c r="C61" t="inlineStr">
        <is>
          <t>2026-08</t>
        </is>
      </c>
      <c r="D61" t="inlineStr">
        <is>
          <t>-490.913796</t>
        </is>
      </c>
      <c r="E61" t="inlineStr">
        <is>
          <t>Permian Existing Oil Production Change, One-year Trend</t>
        </is>
      </c>
      <c r="F61" t="inlineStr">
        <is>
          <t>thousand barrels per day</t>
        </is>
      </c>
    </row>
    <row r="62">
      <c r="A62" t="inlineStr">
        <is>
          <t>CONWBK|2025-01</t>
        </is>
      </c>
      <c r="B62" t="inlineStr">
        <is>
          <t>CONWBK</t>
        </is>
      </c>
      <c r="C62" t="inlineStr">
        <is>
          <t>2025-01</t>
        </is>
      </c>
      <c r="D62" t="inlineStr">
        <is>
          <t>54.04706315</t>
        </is>
      </c>
      <c r="E62" t="inlineStr">
        <is>
          <t>Bakken New-wells Oil Production, One-year Trend</t>
        </is>
      </c>
      <c r="F62" t="inlineStr">
        <is>
          <t>thousand barrels per day</t>
        </is>
      </c>
    </row>
    <row r="63">
      <c r="A63" t="inlineStr">
        <is>
          <t>CONWBK|2025-02</t>
        </is>
      </c>
      <c r="B63" t="inlineStr">
        <is>
          <t>CONWBK</t>
        </is>
      </c>
      <c r="C63" t="inlineStr">
        <is>
          <t>2025-02</t>
        </is>
      </c>
      <c r="D63" t="inlineStr">
        <is>
          <t>52.58377128</t>
        </is>
      </c>
      <c r="E63" t="inlineStr">
        <is>
          <t>Bakken New-wells Oil Production, One-year Trend</t>
        </is>
      </c>
      <c r="F63" t="inlineStr">
        <is>
          <t>thousand barrels per day</t>
        </is>
      </c>
    </row>
    <row r="64">
      <c r="A64" t="inlineStr">
        <is>
          <t>CONWBK|2025-03</t>
        </is>
      </c>
      <c r="B64" t="inlineStr">
        <is>
          <t>CONWBK</t>
        </is>
      </c>
      <c r="C64" t="inlineStr">
        <is>
          <t>2025-03</t>
        </is>
      </c>
      <c r="D64" t="inlineStr">
        <is>
          <t>53.24037925</t>
        </is>
      </c>
      <c r="E64" t="inlineStr">
        <is>
          <t>Bakken New-wells Oil Production, One-year Trend</t>
        </is>
      </c>
      <c r="F64" t="inlineStr">
        <is>
          <t>thousand barrels per day</t>
        </is>
      </c>
    </row>
    <row r="65">
      <c r="A65" t="inlineStr">
        <is>
          <t>CONWBK|2025-04</t>
        </is>
      </c>
      <c r="B65" t="inlineStr">
        <is>
          <t>CONWBK</t>
        </is>
      </c>
      <c r="C65" t="inlineStr">
        <is>
          <t>2025-04</t>
        </is>
      </c>
      <c r="D65" t="inlineStr">
        <is>
          <t>56.13877316</t>
        </is>
      </c>
      <c r="E65" t="inlineStr">
        <is>
          <t>Bakken New-wells Oil Production, One-year Trend</t>
        </is>
      </c>
      <c r="F65" t="inlineStr">
        <is>
          <t>thousand barrels per day</t>
        </is>
      </c>
    </row>
    <row r="66">
      <c r="A66" t="inlineStr">
        <is>
          <t>CONWBK|2025-05</t>
        </is>
      </c>
      <c r="B66" t="inlineStr">
        <is>
          <t>CONWBK</t>
        </is>
      </c>
      <c r="C66" t="inlineStr">
        <is>
          <t>2025-05</t>
        </is>
      </c>
      <c r="D66" t="inlineStr">
        <is>
          <t>59.80754068</t>
        </is>
      </c>
      <c r="E66" t="inlineStr">
        <is>
          <t>Bakken New-wells Oil Production, One-year Trend</t>
        </is>
      </c>
      <c r="F66" t="inlineStr">
        <is>
          <t>thousand barrels per day</t>
        </is>
      </c>
    </row>
    <row r="67">
      <c r="A67" t="inlineStr">
        <is>
          <t>CONWBK|2025-06</t>
        </is>
      </c>
      <c r="B67" t="inlineStr">
        <is>
          <t>CONWBK</t>
        </is>
      </c>
      <c r="C67" t="inlineStr">
        <is>
          <t>2025-06</t>
        </is>
      </c>
      <c r="D67" t="inlineStr">
        <is>
          <t>63.30020599</t>
        </is>
      </c>
      <c r="E67" t="inlineStr">
        <is>
          <t>Bakken New-wells Oil Production, One-year Trend</t>
        </is>
      </c>
      <c r="F67" t="inlineStr">
        <is>
          <t>thousand barrels per day</t>
        </is>
      </c>
    </row>
    <row r="68">
      <c r="A68" t="inlineStr">
        <is>
          <t>CONWBK|2025-07</t>
        </is>
      </c>
      <c r="B68" t="inlineStr">
        <is>
          <t>CONWBK</t>
        </is>
      </c>
      <c r="C68" t="inlineStr">
        <is>
          <t>2025-07</t>
        </is>
      </c>
      <c r="D68" t="inlineStr">
        <is>
          <t>66.45033347</t>
        </is>
      </c>
      <c r="E68" t="inlineStr">
        <is>
          <t>Bakken New-wells Oil Production, One-year Trend</t>
        </is>
      </c>
      <c r="F68" t="inlineStr">
        <is>
          <t>thousand barrels per day</t>
        </is>
      </c>
    </row>
    <row r="69">
      <c r="A69" t="inlineStr">
        <is>
          <t>CONWBK|2025-08</t>
        </is>
      </c>
      <c r="B69" t="inlineStr">
        <is>
          <t>CONWBK</t>
        </is>
      </c>
      <c r="C69" t="inlineStr">
        <is>
          <t>2025-08</t>
        </is>
      </c>
      <c r="D69" t="inlineStr">
        <is>
          <t>68.7357972</t>
        </is>
      </c>
      <c r="E69" t="inlineStr">
        <is>
          <t>Bakken New-wells Oil Production, One-year Trend</t>
        </is>
      </c>
      <c r="F69" t="inlineStr">
        <is>
          <t>thousand barrels per day</t>
        </is>
      </c>
    </row>
    <row r="70">
      <c r="A70" t="inlineStr">
        <is>
          <t>CONWBK|2025-09</t>
        </is>
      </c>
      <c r="B70" t="inlineStr">
        <is>
          <t>CONWBK</t>
        </is>
      </c>
      <c r="C70" t="inlineStr">
        <is>
          <t>2025-09</t>
        </is>
      </c>
      <c r="D70" t="inlineStr">
        <is>
          <t>69.10338285</t>
        </is>
      </c>
      <c r="E70" t="inlineStr">
        <is>
          <t>Bakken New-wells Oil Production, One-year Trend</t>
        </is>
      </c>
      <c r="F70" t="inlineStr">
        <is>
          <t>thousand barrels per day</t>
        </is>
      </c>
    </row>
    <row r="71">
      <c r="A71" t="inlineStr">
        <is>
          <t>CONWBK|2025-10</t>
        </is>
      </c>
      <c r="B71" t="inlineStr">
        <is>
          <t>CONWBK</t>
        </is>
      </c>
      <c r="C71" t="inlineStr">
        <is>
          <t>2025-10</t>
        </is>
      </c>
      <c r="D71" t="inlineStr">
        <is>
          <t>67.470239</t>
        </is>
      </c>
      <c r="E71" t="inlineStr">
        <is>
          <t>Bakken New-wells Oil Production, One-year Trend</t>
        </is>
      </c>
      <c r="F71" t="inlineStr">
        <is>
          <t>thousand barrels per day</t>
        </is>
      </c>
    </row>
    <row r="72">
      <c r="A72" t="inlineStr">
        <is>
          <t>CONWBK|2025-11</t>
        </is>
      </c>
      <c r="B72" t="inlineStr">
        <is>
          <t>CONWBK</t>
        </is>
      </c>
      <c r="C72" t="inlineStr">
        <is>
          <t>2025-11</t>
        </is>
      </c>
      <c r="D72" t="inlineStr">
        <is>
          <t>64.94029275</t>
        </is>
      </c>
      <c r="E72" t="inlineStr">
        <is>
          <t>Bakken New-wells Oil Production, One-year Trend</t>
        </is>
      </c>
      <c r="F72" t="inlineStr">
        <is>
          <t>thousand barrels per day</t>
        </is>
      </c>
    </row>
    <row r="73">
      <c r="A73" t="inlineStr">
        <is>
          <t>CONWBK|2025-12</t>
        </is>
      </c>
      <c r="B73" t="inlineStr">
        <is>
          <t>CONWBK</t>
        </is>
      </c>
      <c r="C73" t="inlineStr">
        <is>
          <t>2025-12</t>
        </is>
      </c>
      <c r="D73" t="inlineStr">
        <is>
          <t>62.88001818</t>
        </is>
      </c>
      <c r="E73" t="inlineStr">
        <is>
          <t>Bakken New-wells Oil Production, One-year Trend</t>
        </is>
      </c>
      <c r="F73" t="inlineStr">
        <is>
          <t>thousand barrels per day</t>
        </is>
      </c>
    </row>
    <row r="74">
      <c r="A74" t="inlineStr">
        <is>
          <t>CONWBK|2026-01</t>
        </is>
      </c>
      <c r="B74" t="inlineStr">
        <is>
          <t>CONWBK</t>
        </is>
      </c>
      <c r="C74" t="inlineStr">
        <is>
          <t>2026-01</t>
        </is>
      </c>
      <c r="D74" t="inlineStr">
        <is>
          <t>61.86704806</t>
        </is>
      </c>
      <c r="E74" t="inlineStr">
        <is>
          <t>Bakken New-wells Oil Production, One-year Trend</t>
        </is>
      </c>
      <c r="F74" t="inlineStr">
        <is>
          <t>thousand barrels per day</t>
        </is>
      </c>
    </row>
    <row r="75">
      <c r="A75" t="inlineStr">
        <is>
          <t>CONWBK|2026-02</t>
        </is>
      </c>
      <c r="B75" t="inlineStr">
        <is>
          <t>CONWBK</t>
        </is>
      </c>
      <c r="C75" t="inlineStr">
        <is>
          <t>2026-02</t>
        </is>
      </c>
      <c r="D75" t="inlineStr">
        <is>
          <t>61.43487765</t>
        </is>
      </c>
      <c r="E75" t="inlineStr">
        <is>
          <t>Bakken New-wells Oil Production, One-year Trend</t>
        </is>
      </c>
      <c r="F75" t="inlineStr">
        <is>
          <t>thousand barrels per day</t>
        </is>
      </c>
    </row>
    <row r="76">
      <c r="A76" t="inlineStr">
        <is>
          <t>CONWBK|2026-03</t>
        </is>
      </c>
      <c r="B76" t="inlineStr">
        <is>
          <t>CONWBK</t>
        </is>
      </c>
      <c r="C76" t="inlineStr">
        <is>
          <t>2026-03</t>
        </is>
      </c>
      <c r="D76" t="inlineStr">
        <is>
          <t>61.24283233</t>
        </is>
      </c>
      <c r="E76" t="inlineStr">
        <is>
          <t>Bakken New-wells Oil Production, One-year Trend</t>
        </is>
      </c>
      <c r="F76" t="inlineStr">
        <is>
          <t>thousand barrels per day</t>
        </is>
      </c>
    </row>
    <row r="77">
      <c r="A77" t="inlineStr">
        <is>
          <t>CONWBK|2026-04</t>
        </is>
      </c>
      <c r="B77" t="inlineStr">
        <is>
          <t>CONWBK</t>
        </is>
      </c>
      <c r="C77" t="inlineStr">
        <is>
          <t>2026-04</t>
        </is>
      </c>
      <c r="D77" t="inlineStr">
        <is>
          <t>61.9885188</t>
        </is>
      </c>
      <c r="E77" t="inlineStr">
        <is>
          <t>Bakken New-wells Oil Production, One-year Trend</t>
        </is>
      </c>
      <c r="F77" t="inlineStr">
        <is>
          <t>thousand barrels per day</t>
        </is>
      </c>
    </row>
    <row r="78">
      <c r="A78" t="inlineStr">
        <is>
          <t>CONWBK|2026-05</t>
        </is>
      </c>
      <c r="B78" t="inlineStr">
        <is>
          <t>CONWBK</t>
        </is>
      </c>
      <c r="C78" t="inlineStr">
        <is>
          <t>2026-05</t>
        </is>
      </c>
      <c r="D78" t="inlineStr">
        <is>
          <t>62.84407169</t>
        </is>
      </c>
      <c r="E78" t="inlineStr">
        <is>
          <t>Bakken New-wells Oil Production, One-year Trend</t>
        </is>
      </c>
      <c r="F78" t="inlineStr">
        <is>
          <t>thousand barrels per day</t>
        </is>
      </c>
    </row>
    <row r="79">
      <c r="A79" t="inlineStr">
        <is>
          <t>CONWBK|2026-06</t>
        </is>
      </c>
      <c r="B79" t="inlineStr">
        <is>
          <t>CONWBK</t>
        </is>
      </c>
      <c r="C79" t="inlineStr">
        <is>
          <t>2026-06</t>
        </is>
      </c>
      <c r="D79" t="inlineStr">
        <is>
          <t>63.88504573</t>
        </is>
      </c>
      <c r="E79" t="inlineStr">
        <is>
          <t>Bakken New-wells Oil Production, One-year Trend</t>
        </is>
      </c>
      <c r="F79" t="inlineStr">
        <is>
          <t>thousand barrels per day</t>
        </is>
      </c>
    </row>
    <row r="80">
      <c r="A80" t="inlineStr">
        <is>
          <t>CONWBK|2026-07</t>
        </is>
      </c>
      <c r="B80" t="inlineStr">
        <is>
          <t>CONWBK</t>
        </is>
      </c>
      <c r="C80" t="inlineStr">
        <is>
          <t>2026-07</t>
        </is>
      </c>
      <c r="D80" t="inlineStr">
        <is>
          <t>64.98221081</t>
        </is>
      </c>
      <c r="E80" t="inlineStr">
        <is>
          <t>Bakken New-wells Oil Production, One-year Trend</t>
        </is>
      </c>
      <c r="F80" t="inlineStr">
        <is>
          <t>thousand barrels per day</t>
        </is>
      </c>
    </row>
    <row r="81">
      <c r="A81" t="inlineStr">
        <is>
          <t>CONWBK|2026-08</t>
        </is>
      </c>
      <c r="B81" t="inlineStr">
        <is>
          <t>CONWBK</t>
        </is>
      </c>
      <c r="C81" t="inlineStr">
        <is>
          <t>2026-08</t>
        </is>
      </c>
      <c r="D81" t="inlineStr">
        <is>
          <t>66.14383658</t>
        </is>
      </c>
      <c r="E81" t="inlineStr">
        <is>
          <t>Bakken New-wells Oil Production, One-year Trend</t>
        </is>
      </c>
      <c r="F81" t="inlineStr">
        <is>
          <t>thousand barrels per day</t>
        </is>
      </c>
    </row>
    <row r="82">
      <c r="A82" t="inlineStr">
        <is>
          <t>CONWEF|2025-01</t>
        </is>
      </c>
      <c r="B82" t="inlineStr">
        <is>
          <t>CONWEF</t>
        </is>
      </c>
      <c r="C82" t="inlineStr">
        <is>
          <t>2025-01</t>
        </is>
      </c>
      <c r="D82" t="inlineStr">
        <is>
          <t>75.9406371</t>
        </is>
      </c>
      <c r="E82" t="inlineStr">
        <is>
          <t>Eagle Ford New-wells Oil Production, One-year Trend</t>
        </is>
      </c>
      <c r="F82" t="inlineStr">
        <is>
          <t>thousand barrels per day</t>
        </is>
      </c>
    </row>
    <row r="83">
      <c r="A83" t="inlineStr">
        <is>
          <t>CONWEF|2025-02</t>
        </is>
      </c>
      <c r="B83" t="inlineStr">
        <is>
          <t>CONWEF</t>
        </is>
      </c>
      <c r="C83" t="inlineStr">
        <is>
          <t>2025-02</t>
        </is>
      </c>
      <c r="D83" t="inlineStr">
        <is>
          <t>76.20612508</t>
        </is>
      </c>
      <c r="E83" t="inlineStr">
        <is>
          <t>Eagle Ford New-wells Oil Production, One-year Trend</t>
        </is>
      </c>
      <c r="F83" t="inlineStr">
        <is>
          <t>thousand barrels per day</t>
        </is>
      </c>
    </row>
    <row r="84">
      <c r="A84" t="inlineStr">
        <is>
          <t>CONWEF|2025-03</t>
        </is>
      </c>
      <c r="B84" t="inlineStr">
        <is>
          <t>CONWEF</t>
        </is>
      </c>
      <c r="C84" t="inlineStr">
        <is>
          <t>2025-03</t>
        </is>
      </c>
      <c r="D84" t="inlineStr">
        <is>
          <t>77.92553661</t>
        </is>
      </c>
      <c r="E84" t="inlineStr">
        <is>
          <t>Eagle Ford New-wells Oil Production, One-year Trend</t>
        </is>
      </c>
      <c r="F84" t="inlineStr">
        <is>
          <t>thousand barrels per day</t>
        </is>
      </c>
    </row>
    <row r="85">
      <c r="A85" t="inlineStr">
        <is>
          <t>CONWEF|2025-04</t>
        </is>
      </c>
      <c r="B85" t="inlineStr">
        <is>
          <t>CONWEF</t>
        </is>
      </c>
      <c r="C85" t="inlineStr">
        <is>
          <t>2025-04</t>
        </is>
      </c>
      <c r="D85" t="inlineStr">
        <is>
          <t>80.66842827</t>
        </is>
      </c>
      <c r="E85" t="inlineStr">
        <is>
          <t>Eagle Ford New-wells Oil Production, One-year Trend</t>
        </is>
      </c>
      <c r="F85" t="inlineStr">
        <is>
          <t>thousand barrels per day</t>
        </is>
      </c>
    </row>
    <row r="86">
      <c r="A86" t="inlineStr">
        <is>
          <t>CONWEF|2025-05</t>
        </is>
      </c>
      <c r="B86" t="inlineStr">
        <is>
          <t>CONWEF</t>
        </is>
      </c>
      <c r="C86" t="inlineStr">
        <is>
          <t>2025-05</t>
        </is>
      </c>
      <c r="D86" t="inlineStr">
        <is>
          <t>81.85242805</t>
        </is>
      </c>
      <c r="E86" t="inlineStr">
        <is>
          <t>Eagle Ford New-wells Oil Production, One-year Trend</t>
        </is>
      </c>
      <c r="F86" t="inlineStr">
        <is>
          <t>thousand barrels per day</t>
        </is>
      </c>
    </row>
    <row r="87">
      <c r="A87" t="inlineStr">
        <is>
          <t>CONWEF|2025-06</t>
        </is>
      </c>
      <c r="B87" t="inlineStr">
        <is>
          <t>CONWEF</t>
        </is>
      </c>
      <c r="C87" t="inlineStr">
        <is>
          <t>2025-06</t>
        </is>
      </c>
      <c r="D87" t="inlineStr">
        <is>
          <t>79.4740621</t>
        </is>
      </c>
      <c r="E87" t="inlineStr">
        <is>
          <t>Eagle Ford New-wells Oil Production, One-year Trend</t>
        </is>
      </c>
      <c r="F87" t="inlineStr">
        <is>
          <t>thousand barrels per day</t>
        </is>
      </c>
    </row>
    <row r="88">
      <c r="A88" t="inlineStr">
        <is>
          <t>CONWEF|2025-07</t>
        </is>
      </c>
      <c r="B88" t="inlineStr">
        <is>
          <t>CONWEF</t>
        </is>
      </c>
      <c r="C88" t="inlineStr">
        <is>
          <t>2025-07</t>
        </is>
      </c>
      <c r="D88" t="inlineStr">
        <is>
          <t>75.33004228</t>
        </is>
      </c>
      <c r="E88" t="inlineStr">
        <is>
          <t>Eagle Ford New-wells Oil Production, One-year Trend</t>
        </is>
      </c>
      <c r="F88" t="inlineStr">
        <is>
          <t>thousand barrels per day</t>
        </is>
      </c>
    </row>
    <row r="89">
      <c r="A89" t="inlineStr">
        <is>
          <t>CONWEF|2025-08</t>
        </is>
      </c>
      <c r="B89" t="inlineStr">
        <is>
          <t>CONWEF</t>
        </is>
      </c>
      <c r="C89" t="inlineStr">
        <is>
          <t>2025-08</t>
        </is>
      </c>
      <c r="D89" t="inlineStr">
        <is>
          <t>70.91104353</t>
        </is>
      </c>
      <c r="E89" t="inlineStr">
        <is>
          <t>Eagle Ford New-wells Oil Production, One-year Trend</t>
        </is>
      </c>
      <c r="F89" t="inlineStr">
        <is>
          <t>thousand barrels per day</t>
        </is>
      </c>
    </row>
    <row r="90">
      <c r="A90" t="inlineStr">
        <is>
          <t>CONWEF|2025-09</t>
        </is>
      </c>
      <c r="B90" t="inlineStr">
        <is>
          <t>CONWEF</t>
        </is>
      </c>
      <c r="C90" t="inlineStr">
        <is>
          <t>2025-09</t>
        </is>
      </c>
      <c r="D90" t="inlineStr">
        <is>
          <t>67.24495457</t>
        </is>
      </c>
      <c r="E90" t="inlineStr">
        <is>
          <t>Eagle Ford New-wells Oil Production, One-year Trend</t>
        </is>
      </c>
      <c r="F90" t="inlineStr">
        <is>
          <t>thousand barrels per day</t>
        </is>
      </c>
    </row>
    <row r="91">
      <c r="A91" t="inlineStr">
        <is>
          <t>CONWEF|2025-10</t>
        </is>
      </c>
      <c r="B91" t="inlineStr">
        <is>
          <t>CONWEF</t>
        </is>
      </c>
      <c r="C91" t="inlineStr">
        <is>
          <t>2025-10</t>
        </is>
      </c>
      <c r="D91" t="inlineStr">
        <is>
          <t>64.18892654</t>
        </is>
      </c>
      <c r="E91" t="inlineStr">
        <is>
          <t>Eagle Ford New-wells Oil Production, One-year Trend</t>
        </is>
      </c>
      <c r="F91" t="inlineStr">
        <is>
          <t>thousand barrels per day</t>
        </is>
      </c>
    </row>
    <row r="92">
      <c r="A92" t="inlineStr">
        <is>
          <t>CONWEF|2025-11</t>
        </is>
      </c>
      <c r="B92" t="inlineStr">
        <is>
          <t>CONWEF</t>
        </is>
      </c>
      <c r="C92" t="inlineStr">
        <is>
          <t>2025-11</t>
        </is>
      </c>
      <c r="D92" t="inlineStr">
        <is>
          <t>61.94036885</t>
        </is>
      </c>
      <c r="E92" t="inlineStr">
        <is>
          <t>Eagle Ford New-wells Oil Production, One-year Trend</t>
        </is>
      </c>
      <c r="F92" t="inlineStr">
        <is>
          <t>thousand barrels per day</t>
        </is>
      </c>
    </row>
    <row r="93">
      <c r="A93" t="inlineStr">
        <is>
          <t>CONWEF|2025-12</t>
        </is>
      </c>
      <c r="B93" t="inlineStr">
        <is>
          <t>CONWEF</t>
        </is>
      </c>
      <c r="C93" t="inlineStr">
        <is>
          <t>2025-12</t>
        </is>
      </c>
      <c r="D93" t="inlineStr">
        <is>
          <t>61.28406345</t>
        </is>
      </c>
      <c r="E93" t="inlineStr">
        <is>
          <t>Eagle Ford New-wells Oil Production, One-year Trend</t>
        </is>
      </c>
      <c r="F93" t="inlineStr">
        <is>
          <t>thousand barrels per day</t>
        </is>
      </c>
    </row>
    <row r="94">
      <c r="A94" t="inlineStr">
        <is>
          <t>CONWEF|2026-01</t>
        </is>
      </c>
      <c r="B94" t="inlineStr">
        <is>
          <t>CONWEF</t>
        </is>
      </c>
      <c r="C94" t="inlineStr">
        <is>
          <t>2026-01</t>
        </is>
      </c>
      <c r="D94" t="inlineStr">
        <is>
          <t>62.02625725</t>
        </is>
      </c>
      <c r="E94" t="inlineStr">
        <is>
          <t>Eagle Ford New-wells Oil Production, One-year Trend</t>
        </is>
      </c>
      <c r="F94" t="inlineStr">
        <is>
          <t>thousand barrels per day</t>
        </is>
      </c>
    </row>
    <row r="95">
      <c r="A95" t="inlineStr">
        <is>
          <t>CONWEF|2026-02</t>
        </is>
      </c>
      <c r="B95" t="inlineStr">
        <is>
          <t>CONWEF</t>
        </is>
      </c>
      <c r="C95" t="inlineStr">
        <is>
          <t>2026-02</t>
        </is>
      </c>
      <c r="D95" t="inlineStr">
        <is>
          <t>64.28970117</t>
        </is>
      </c>
      <c r="E95" t="inlineStr">
        <is>
          <t>Eagle Ford New-wells Oil Production, One-year Trend</t>
        </is>
      </c>
      <c r="F95" t="inlineStr">
        <is>
          <t>thousand barrels per day</t>
        </is>
      </c>
    </row>
    <row r="96">
      <c r="A96" t="inlineStr">
        <is>
          <t>CONWEF|2026-03</t>
        </is>
      </c>
      <c r="B96" t="inlineStr">
        <is>
          <t>CONWEF</t>
        </is>
      </c>
      <c r="C96" t="inlineStr">
        <is>
          <t>2026-03</t>
        </is>
      </c>
      <c r="D96" t="inlineStr">
        <is>
          <t>66.6648914</t>
        </is>
      </c>
      <c r="E96" t="inlineStr">
        <is>
          <t>Eagle Ford New-wells Oil Production, One-year Trend</t>
        </is>
      </c>
      <c r="F96" t="inlineStr">
        <is>
          <t>thousand barrels per day</t>
        </is>
      </c>
    </row>
    <row r="97">
      <c r="A97" t="inlineStr">
        <is>
          <t>CONWEF|2026-04</t>
        </is>
      </c>
      <c r="B97" t="inlineStr">
        <is>
          <t>CONWEF</t>
        </is>
      </c>
      <c r="C97" t="inlineStr">
        <is>
          <t>2026-04</t>
        </is>
      </c>
      <c r="D97" t="inlineStr">
        <is>
          <t>67.58677375</t>
        </is>
      </c>
      <c r="E97" t="inlineStr">
        <is>
          <t>Eagle Ford New-wells Oil Production, One-year Trend</t>
        </is>
      </c>
      <c r="F97" t="inlineStr">
        <is>
          <t>thousand barrels per day</t>
        </is>
      </c>
    </row>
    <row r="98">
      <c r="A98" t="inlineStr">
        <is>
          <t>CONWEF|2026-05</t>
        </is>
      </c>
      <c r="B98" t="inlineStr">
        <is>
          <t>CONWEF</t>
        </is>
      </c>
      <c r="C98" t="inlineStr">
        <is>
          <t>2026-05</t>
        </is>
      </c>
      <c r="D98" t="inlineStr">
        <is>
          <t>68.33510534</t>
        </is>
      </c>
      <c r="E98" t="inlineStr">
        <is>
          <t>Eagle Ford New-wells Oil Production, One-year Trend</t>
        </is>
      </c>
      <c r="F98" t="inlineStr">
        <is>
          <t>thousand barrels per day</t>
        </is>
      </c>
    </row>
    <row r="99">
      <c r="A99" t="inlineStr">
        <is>
          <t>CONWEF|2026-06</t>
        </is>
      </c>
      <c r="B99" t="inlineStr">
        <is>
          <t>CONWEF</t>
        </is>
      </c>
      <c r="C99" t="inlineStr">
        <is>
          <t>2026-06</t>
        </is>
      </c>
      <c r="D99" t="inlineStr">
        <is>
          <t>68.92169056</t>
        </is>
      </c>
      <c r="E99" t="inlineStr">
        <is>
          <t>Eagle Ford New-wells Oil Production, One-year Trend</t>
        </is>
      </c>
      <c r="F99" t="inlineStr">
        <is>
          <t>thousand barrels per day</t>
        </is>
      </c>
    </row>
    <row r="100">
      <c r="A100" t="inlineStr">
        <is>
          <t>CONWEF|2026-07</t>
        </is>
      </c>
      <c r="B100" t="inlineStr">
        <is>
          <t>CONWEF</t>
        </is>
      </c>
      <c r="C100" t="inlineStr">
        <is>
          <t>2026-07</t>
        </is>
      </c>
      <c r="D100" t="inlineStr">
        <is>
          <t>69.30681282</t>
        </is>
      </c>
      <c r="E100" t="inlineStr">
        <is>
          <t>Eagle Ford New-wells Oil Production, One-year Trend</t>
        </is>
      </c>
      <c r="F100" t="inlineStr">
        <is>
          <t>thousand barrels per day</t>
        </is>
      </c>
    </row>
    <row r="101">
      <c r="A101" t="inlineStr">
        <is>
          <t>CONWEF|2026-08</t>
        </is>
      </c>
      <c r="B101" t="inlineStr">
        <is>
          <t>CONWEF</t>
        </is>
      </c>
      <c r="C101" t="inlineStr">
        <is>
          <t>2026-08</t>
        </is>
      </c>
      <c r="D101" t="inlineStr">
        <is>
          <t>69.52709972</t>
        </is>
      </c>
      <c r="E101" t="inlineStr">
        <is>
          <t>Eagle Ford New-wells Oil Production, One-year Trend</t>
        </is>
      </c>
      <c r="F101" t="inlineStr">
        <is>
          <t>thousand barrels per day</t>
        </is>
      </c>
    </row>
    <row r="102">
      <c r="A102" t="inlineStr">
        <is>
          <t>CONWPM|2025-01</t>
        </is>
      </c>
      <c r="B102" t="inlineStr">
        <is>
          <t>CONWPM</t>
        </is>
      </c>
      <c r="C102" t="inlineStr">
        <is>
          <t>2025-01</t>
        </is>
      </c>
      <c r="D102" t="inlineStr">
        <is>
          <t>438.7831324</t>
        </is>
      </c>
      <c r="E102" t="inlineStr">
        <is>
          <t>Permian New-wells Oil Production, One-year Trend</t>
        </is>
      </c>
      <c r="F102" t="inlineStr">
        <is>
          <t>thousand barrels per day</t>
        </is>
      </c>
    </row>
    <row r="103">
      <c r="A103" t="inlineStr">
        <is>
          <t>CONWPM|2025-02</t>
        </is>
      </c>
      <c r="B103" t="inlineStr">
        <is>
          <t>CONWPM</t>
        </is>
      </c>
      <c r="C103" t="inlineStr">
        <is>
          <t>2025-02</t>
        </is>
      </c>
      <c r="D103" t="inlineStr">
        <is>
          <t>444.4235622</t>
        </is>
      </c>
      <c r="E103" t="inlineStr">
        <is>
          <t>Permian New-wells Oil Production, One-year Trend</t>
        </is>
      </c>
      <c r="F103" t="inlineStr">
        <is>
          <t>thousand barrels per day</t>
        </is>
      </c>
    </row>
    <row r="104">
      <c r="A104" t="inlineStr">
        <is>
          <t>CONWPM|2025-03</t>
        </is>
      </c>
      <c r="B104" t="inlineStr">
        <is>
          <t>CONWPM</t>
        </is>
      </c>
      <c r="C104" t="inlineStr">
        <is>
          <t>2025-03</t>
        </is>
      </c>
      <c r="D104" t="inlineStr">
        <is>
          <t>450.2340837</t>
        </is>
      </c>
      <c r="E104" t="inlineStr">
        <is>
          <t>Permian New-wells Oil Production, One-year Trend</t>
        </is>
      </c>
      <c r="F104" t="inlineStr">
        <is>
          <t>thousand barrels per day</t>
        </is>
      </c>
    </row>
    <row r="105">
      <c r="A105" t="inlineStr">
        <is>
          <t>CONWPM|2025-04</t>
        </is>
      </c>
      <c r="B105" t="inlineStr">
        <is>
          <t>CONWPM</t>
        </is>
      </c>
      <c r="C105" t="inlineStr">
        <is>
          <t>2025-04</t>
        </is>
      </c>
      <c r="D105" t="inlineStr">
        <is>
          <t>456.3173784</t>
        </is>
      </c>
      <c r="E105" t="inlineStr">
        <is>
          <t>Permian New-wells Oil Production, One-year Trend</t>
        </is>
      </c>
      <c r="F105" t="inlineStr">
        <is>
          <t>thousand barrels per day</t>
        </is>
      </c>
    </row>
    <row r="106">
      <c r="A106" t="inlineStr">
        <is>
          <t>CONWPM|2025-05</t>
        </is>
      </c>
      <c r="B106" t="inlineStr">
        <is>
          <t>CONWPM</t>
        </is>
      </c>
      <c r="C106" t="inlineStr">
        <is>
          <t>2025-05</t>
        </is>
      </c>
      <c r="D106" t="inlineStr">
        <is>
          <t>462.8149366</t>
        </is>
      </c>
      <c r="E106" t="inlineStr">
        <is>
          <t>Permian New-wells Oil Production, One-year Trend</t>
        </is>
      </c>
      <c r="F106" t="inlineStr">
        <is>
          <t>thousand barrels per day</t>
        </is>
      </c>
    </row>
    <row r="107">
      <c r="A107" t="inlineStr">
        <is>
          <t>CONWPM|2025-06</t>
        </is>
      </c>
      <c r="B107" t="inlineStr">
        <is>
          <t>CONWPM</t>
        </is>
      </c>
      <c r="C107" t="inlineStr">
        <is>
          <t>2025-06</t>
        </is>
      </c>
      <c r="D107" t="inlineStr">
        <is>
          <t>466.6107322</t>
        </is>
      </c>
      <c r="E107" t="inlineStr">
        <is>
          <t>Permian New-wells Oil Production, One-year Trend</t>
        </is>
      </c>
      <c r="F107" t="inlineStr">
        <is>
          <t>thousand barrels per day</t>
        </is>
      </c>
    </row>
    <row r="108">
      <c r="A108" t="inlineStr">
        <is>
          <t>CONWPM|2025-07</t>
        </is>
      </c>
      <c r="B108" t="inlineStr">
        <is>
          <t>CONWPM</t>
        </is>
      </c>
      <c r="C108" t="inlineStr">
        <is>
          <t>2025-07</t>
        </is>
      </c>
      <c r="D108" t="inlineStr">
        <is>
          <t>466.4578043</t>
        </is>
      </c>
      <c r="E108" t="inlineStr">
        <is>
          <t>Permian New-wells Oil Production, One-year Trend</t>
        </is>
      </c>
      <c r="F108" t="inlineStr">
        <is>
          <t>thousand barrels per day</t>
        </is>
      </c>
    </row>
    <row r="109">
      <c r="A109" t="inlineStr">
        <is>
          <t>CONWPM|2025-08</t>
        </is>
      </c>
      <c r="B109" t="inlineStr">
        <is>
          <t>CONWPM</t>
        </is>
      </c>
      <c r="C109" t="inlineStr">
        <is>
          <t>2025-08</t>
        </is>
      </c>
      <c r="D109" t="inlineStr">
        <is>
          <t>462.5210038</t>
        </is>
      </c>
      <c r="E109" t="inlineStr">
        <is>
          <t>Permian New-wells Oil Production, One-year Trend</t>
        </is>
      </c>
      <c r="F109" t="inlineStr">
        <is>
          <t>thousand barrels per day</t>
        </is>
      </c>
    </row>
    <row r="110">
      <c r="A110" t="inlineStr">
        <is>
          <t>CONWPM|2025-09</t>
        </is>
      </c>
      <c r="B110" t="inlineStr">
        <is>
          <t>CONWPM</t>
        </is>
      </c>
      <c r="C110" t="inlineStr">
        <is>
          <t>2025-09</t>
        </is>
      </c>
      <c r="D110" t="inlineStr">
        <is>
          <t>454.3540696</t>
        </is>
      </c>
      <c r="E110" t="inlineStr">
        <is>
          <t>Permian New-wells Oil Production, One-year Trend</t>
        </is>
      </c>
      <c r="F110" t="inlineStr">
        <is>
          <t>thousand barrels per day</t>
        </is>
      </c>
    </row>
    <row r="111">
      <c r="A111" t="inlineStr">
        <is>
          <t>CONWPM|2025-10</t>
        </is>
      </c>
      <c r="B111" t="inlineStr">
        <is>
          <t>CONWPM</t>
        </is>
      </c>
      <c r="C111" t="inlineStr">
        <is>
          <t>2025-10</t>
        </is>
      </c>
      <c r="D111" t="inlineStr">
        <is>
          <t>445.2111756</t>
        </is>
      </c>
      <c r="E111" t="inlineStr">
        <is>
          <t>Permian New-wells Oil Production, One-year Trend</t>
        </is>
      </c>
      <c r="F111" t="inlineStr">
        <is>
          <t>thousand barrels per day</t>
        </is>
      </c>
    </row>
    <row r="112">
      <c r="A112" t="inlineStr">
        <is>
          <t>CONWPM|2025-11</t>
        </is>
      </c>
      <c r="B112" t="inlineStr">
        <is>
          <t>CONWPM</t>
        </is>
      </c>
      <c r="C112" t="inlineStr">
        <is>
          <t>2025-11</t>
        </is>
      </c>
      <c r="D112" t="inlineStr">
        <is>
          <t>437.7889326</t>
        </is>
      </c>
      <c r="E112" t="inlineStr">
        <is>
          <t>Permian New-wells Oil Production, One-year Trend</t>
        </is>
      </c>
      <c r="F112" t="inlineStr">
        <is>
          <t>thousand barrels per day</t>
        </is>
      </c>
    </row>
    <row r="113">
      <c r="A113" t="inlineStr">
        <is>
          <t>CONWPM|2025-12</t>
        </is>
      </c>
      <c r="B113" t="inlineStr">
        <is>
          <t>CONWPM</t>
        </is>
      </c>
      <c r="C113" t="inlineStr">
        <is>
          <t>2025-12</t>
        </is>
      </c>
      <c r="D113" t="inlineStr">
        <is>
          <t>433.9366219</t>
        </is>
      </c>
      <c r="E113" t="inlineStr">
        <is>
          <t>Permian New-wells Oil Production, One-year Trend</t>
        </is>
      </c>
      <c r="F113" t="inlineStr">
        <is>
          <t>thousand barrels per day</t>
        </is>
      </c>
    </row>
    <row r="114">
      <c r="A114" t="inlineStr">
        <is>
          <t>CONWPM|2026-01</t>
        </is>
      </c>
      <c r="B114" t="inlineStr">
        <is>
          <t>CONWPM</t>
        </is>
      </c>
      <c r="C114" t="inlineStr">
        <is>
          <t>2026-01</t>
        </is>
      </c>
      <c r="D114" t="inlineStr">
        <is>
          <t>431.8648179</t>
        </is>
      </c>
      <c r="E114" t="inlineStr">
        <is>
          <t>Permian New-wells Oil Production, One-year Trend</t>
        </is>
      </c>
      <c r="F114" t="inlineStr">
        <is>
          <t>thousand barrels per day</t>
        </is>
      </c>
    </row>
    <row r="115">
      <c r="A115" t="inlineStr">
        <is>
          <t>CONWPM|2026-02</t>
        </is>
      </c>
      <c r="B115" t="inlineStr">
        <is>
          <t>CONWPM</t>
        </is>
      </c>
      <c r="C115" t="inlineStr">
        <is>
          <t>2026-02</t>
        </is>
      </c>
      <c r="D115" t="inlineStr">
        <is>
          <t>430.5842136</t>
        </is>
      </c>
      <c r="E115" t="inlineStr">
        <is>
          <t>Permian New-wells Oil Production, One-year Trend</t>
        </is>
      </c>
      <c r="F115" t="inlineStr">
        <is>
          <t>thousand barrels per day</t>
        </is>
      </c>
    </row>
    <row r="116">
      <c r="A116" t="inlineStr">
        <is>
          <t>CONWPM|2026-03</t>
        </is>
      </c>
      <c r="B116" t="inlineStr">
        <is>
          <t>CONWPM</t>
        </is>
      </c>
      <c r="C116" t="inlineStr">
        <is>
          <t>2026-03</t>
        </is>
      </c>
      <c r="D116" t="inlineStr">
        <is>
          <t>432.0113103</t>
        </is>
      </c>
      <c r="E116" t="inlineStr">
        <is>
          <t>Permian New-wells Oil Production, One-year Trend</t>
        </is>
      </c>
      <c r="F116" t="inlineStr">
        <is>
          <t>thousand barrels per day</t>
        </is>
      </c>
    </row>
    <row r="117">
      <c r="A117" t="inlineStr">
        <is>
          <t>CONWPM|2026-04</t>
        </is>
      </c>
      <c r="B117" t="inlineStr">
        <is>
          <t>CONWPM</t>
        </is>
      </c>
      <c r="C117" t="inlineStr">
        <is>
          <t>2026-04</t>
        </is>
      </c>
      <c r="D117" t="inlineStr">
        <is>
          <t>440.6923497</t>
        </is>
      </c>
      <c r="E117" t="inlineStr">
        <is>
          <t>Permian New-wells Oil Production, One-year Trend</t>
        </is>
      </c>
      <c r="F117" t="inlineStr">
        <is>
          <t>thousand barrels per day</t>
        </is>
      </c>
    </row>
    <row r="118">
      <c r="A118" t="inlineStr">
        <is>
          <t>CONWPM|2026-05</t>
        </is>
      </c>
      <c r="B118" t="inlineStr">
        <is>
          <t>CONWPM</t>
        </is>
      </c>
      <c r="C118" t="inlineStr">
        <is>
          <t>2026-05</t>
        </is>
      </c>
      <c r="D118" t="inlineStr">
        <is>
          <t>449.661918</t>
        </is>
      </c>
      <c r="E118" t="inlineStr">
        <is>
          <t>Permian New-wells Oil Production, One-year Trend</t>
        </is>
      </c>
      <c r="F118" t="inlineStr">
        <is>
          <t>thousand barrels per day</t>
        </is>
      </c>
    </row>
    <row r="119">
      <c r="A119" t="inlineStr">
        <is>
          <t>CONWPM|2026-06</t>
        </is>
      </c>
      <c r="B119" t="inlineStr">
        <is>
          <t>CONWPM</t>
        </is>
      </c>
      <c r="C119" t="inlineStr">
        <is>
          <t>2026-06</t>
        </is>
      </c>
      <c r="D119" t="inlineStr">
        <is>
          <t>459.2365397</t>
        </is>
      </c>
      <c r="E119" t="inlineStr">
        <is>
          <t>Permian New-wells Oil Production, One-year Trend</t>
        </is>
      </c>
      <c r="F119" t="inlineStr">
        <is>
          <t>thousand barrels per day</t>
        </is>
      </c>
    </row>
    <row r="120">
      <c r="A120" t="inlineStr">
        <is>
          <t>CONWPM|2026-07</t>
        </is>
      </c>
      <c r="B120" t="inlineStr">
        <is>
          <t>CONWPM</t>
        </is>
      </c>
      <c r="C120" t="inlineStr">
        <is>
          <t>2026-07</t>
        </is>
      </c>
      <c r="D120" t="inlineStr">
        <is>
          <t>468.6884586</t>
        </is>
      </c>
      <c r="E120" t="inlineStr">
        <is>
          <t>Permian New-wells Oil Production, One-year Trend</t>
        </is>
      </c>
      <c r="F120" t="inlineStr">
        <is>
          <t>thousand barrels per day</t>
        </is>
      </c>
    </row>
    <row r="121">
      <c r="A121" t="inlineStr">
        <is>
          <t>CONWPM|2026-08</t>
        </is>
      </c>
      <c r="B121" t="inlineStr">
        <is>
          <t>CONWPM</t>
        </is>
      </c>
      <c r="C121" t="inlineStr">
        <is>
          <t>2026-08</t>
        </is>
      </c>
      <c r="D121" t="inlineStr">
        <is>
          <t>478.6451452</t>
        </is>
      </c>
      <c r="E121" t="inlineStr">
        <is>
          <t>Permian New-wells Oil Production, One-year Trend</t>
        </is>
      </c>
      <c r="F121" t="inlineStr">
        <is>
          <t>thousand barrels per day</t>
        </is>
      </c>
    </row>
    <row r="122">
      <c r="A122" t="inlineStr">
        <is>
          <t>COPRBK|2025-01</t>
        </is>
      </c>
      <c r="B122" t="inlineStr">
        <is>
          <t>COPRBK</t>
        </is>
      </c>
      <c r="C122" t="inlineStr">
        <is>
          <t>2025-01</t>
        </is>
      </c>
      <c r="D122" t="inlineStr">
        <is>
          <t>1.238320455</t>
        </is>
      </c>
      <c r="E122" t="inlineStr">
        <is>
          <t>Crude Oil Production: Bakken</t>
        </is>
      </c>
      <c r="F122" t="inlineStr">
        <is>
          <t>million barrels per day</t>
        </is>
      </c>
    </row>
    <row r="123">
      <c r="A123" t="inlineStr">
        <is>
          <t>COPRBK|2025-02</t>
        </is>
      </c>
      <c r="B123" t="inlineStr">
        <is>
          <t>COPRBK</t>
        </is>
      </c>
      <c r="C123" t="inlineStr">
        <is>
          <t>2025-02</t>
        </is>
      </c>
      <c r="D123" t="inlineStr">
        <is>
          <t>1.216598924</t>
        </is>
      </c>
      <c r="E123" t="inlineStr">
        <is>
          <t>Crude Oil Production: Bakken</t>
        </is>
      </c>
      <c r="F123" t="inlineStr">
        <is>
          <t>million barrels per day</t>
        </is>
      </c>
    </row>
    <row r="124">
      <c r="A124" t="inlineStr">
        <is>
          <t>COPRBK|2025-03</t>
        </is>
      </c>
      <c r="B124" t="inlineStr">
        <is>
          <t>COPRBK</t>
        </is>
      </c>
      <c r="C124" t="inlineStr">
        <is>
          <t>2025-03</t>
        </is>
      </c>
      <c r="D124" t="inlineStr">
        <is>
          <t>1.249965438</t>
        </is>
      </c>
      <c r="E124" t="inlineStr">
        <is>
          <t>Crude Oil Production: Bakken</t>
        </is>
      </c>
      <c r="F124" t="inlineStr">
        <is>
          <t>million barrels per day</t>
        </is>
      </c>
    </row>
    <row r="125">
      <c r="A125" t="inlineStr">
        <is>
          <t>COPRBK|2025-04</t>
        </is>
      </c>
      <c r="B125" t="inlineStr">
        <is>
          <t>COPRBK</t>
        </is>
      </c>
      <c r="C125" t="inlineStr">
        <is>
          <t>2025-04</t>
        </is>
      </c>
      <c r="D125" t="inlineStr">
        <is>
          <t>1.22879138</t>
        </is>
      </c>
      <c r="E125" t="inlineStr">
        <is>
          <t>Crude Oil Production: Bakken</t>
        </is>
      </c>
      <c r="F125" t="inlineStr">
        <is>
          <t>million barrels per day</t>
        </is>
      </c>
    </row>
    <row r="126">
      <c r="A126" t="inlineStr">
        <is>
          <t>COPRBK|2025-05</t>
        </is>
      </c>
      <c r="B126" t="inlineStr">
        <is>
          <t>COPRBK</t>
        </is>
      </c>
      <c r="C126" t="inlineStr">
        <is>
          <t>2025-05</t>
        </is>
      </c>
      <c r="D126" t="inlineStr">
        <is>
          <t>1.18583506</t>
        </is>
      </c>
      <c r="E126" t="inlineStr">
        <is>
          <t>Crude Oil Production: Bakken</t>
        </is>
      </c>
      <c r="F126" t="inlineStr">
        <is>
          <t>million barrels per day</t>
        </is>
      </c>
    </row>
    <row r="127">
      <c r="A127" t="inlineStr">
        <is>
          <t>COPRBK|2025-06</t>
        </is>
      </c>
      <c r="B127" t="inlineStr">
        <is>
          <t>COPRBK</t>
        </is>
      </c>
      <c r="C127" t="inlineStr">
        <is>
          <t>2025-06</t>
        </is>
      </c>
      <c r="D127" t="inlineStr">
        <is>
          <t>1.230704286</t>
        </is>
      </c>
      <c r="E127" t="inlineStr">
        <is>
          <t>Crude Oil Production: Bakken</t>
        </is>
      </c>
      <c r="F127" t="inlineStr">
        <is>
          <t>million barrels per day</t>
        </is>
      </c>
    </row>
    <row r="128">
      <c r="A128" t="inlineStr">
        <is>
          <t>COPRBK|2025-07</t>
        </is>
      </c>
      <c r="B128" t="inlineStr">
        <is>
          <t>COPRBK</t>
        </is>
      </c>
      <c r="C128" t="inlineStr">
        <is>
          <t>2025-07</t>
        </is>
      </c>
      <c r="D128" t="inlineStr">
        <is>
          <t>1.243853596</t>
        </is>
      </c>
      <c r="E128" t="inlineStr">
        <is>
          <t>Crude Oil Production: Bakken</t>
        </is>
      </c>
      <c r="F128" t="inlineStr">
        <is>
          <t>million barrels per day</t>
        </is>
      </c>
    </row>
    <row r="129">
      <c r="A129" t="inlineStr">
        <is>
          <t>COPRBK|2025-08</t>
        </is>
      </c>
      <c r="B129" t="inlineStr">
        <is>
          <t>COPRBK</t>
        </is>
      </c>
      <c r="C129" t="inlineStr">
        <is>
          <t>2025-08</t>
        </is>
      </c>
      <c r="D129" t="inlineStr">
        <is>
          <t>1.232930275</t>
        </is>
      </c>
      <c r="E129" t="inlineStr">
        <is>
          <t>Crude Oil Production: Bakken</t>
        </is>
      </c>
      <c r="F129" t="inlineStr">
        <is>
          <t>million barrels per day</t>
        </is>
      </c>
    </row>
    <row r="130">
      <c r="A130" t="inlineStr">
        <is>
          <t>COPRBK|2025-09</t>
        </is>
      </c>
      <c r="B130" t="inlineStr">
        <is>
          <t>COPRBK</t>
        </is>
      </c>
      <c r="C130" t="inlineStr">
        <is>
          <t>2025-09</t>
        </is>
      </c>
      <c r="D130" t="inlineStr">
        <is>
          <t>1.232634692</t>
        </is>
      </c>
      <c r="E130" t="inlineStr">
        <is>
          <t>Crude Oil Production: Bakken</t>
        </is>
      </c>
      <c r="F130" t="inlineStr">
        <is>
          <t>million barrels per day</t>
        </is>
      </c>
    </row>
    <row r="131">
      <c r="A131" t="inlineStr">
        <is>
          <t>COPRBK|2025-10</t>
        </is>
      </c>
      <c r="B131" t="inlineStr">
        <is>
          <t>COPRBK</t>
        </is>
      </c>
      <c r="C131" t="inlineStr">
        <is>
          <t>2025-10</t>
        </is>
      </c>
      <c r="D131" t="inlineStr">
        <is>
          <t>1.241933893</t>
        </is>
      </c>
      <c r="E131" t="inlineStr">
        <is>
          <t>Crude Oil Production: Bakken</t>
        </is>
      </c>
      <c r="F131" t="inlineStr">
        <is>
          <t>million barrels per day</t>
        </is>
      </c>
    </row>
    <row r="132">
      <c r="A132" t="inlineStr">
        <is>
          <t>COPRBK|2025-11</t>
        </is>
      </c>
      <c r="B132" t="inlineStr">
        <is>
          <t>COPRBK</t>
        </is>
      </c>
      <c r="C132" t="inlineStr">
        <is>
          <t>2025-11</t>
        </is>
      </c>
      <c r="D132" t="inlineStr">
        <is>
          <t>1.259142128</t>
        </is>
      </c>
      <c r="E132" t="inlineStr">
        <is>
          <t>Crude Oil Production: Bakken</t>
        </is>
      </c>
      <c r="F132" t="inlineStr">
        <is>
          <t>million barrels per day</t>
        </is>
      </c>
    </row>
    <row r="133">
      <c r="A133" t="inlineStr">
        <is>
          <t>COPRBK|2025-12</t>
        </is>
      </c>
      <c r="B133" t="inlineStr">
        <is>
          <t>COPRBK</t>
        </is>
      </c>
      <c r="C133" t="inlineStr">
        <is>
          <t>2025-12</t>
        </is>
      </c>
      <c r="D133" t="inlineStr">
        <is>
          <t>1.188242134</t>
        </is>
      </c>
      <c r="E133" t="inlineStr">
        <is>
          <t>Crude Oil Production: Bakken</t>
        </is>
      </c>
      <c r="F133" t="inlineStr">
        <is>
          <t>million barrels per day</t>
        </is>
      </c>
    </row>
    <row r="134">
      <c r="A134" t="inlineStr">
        <is>
          <t>COPRBK|2026-01</t>
        </is>
      </c>
      <c r="B134" t="inlineStr">
        <is>
          <t>COPRBK</t>
        </is>
      </c>
      <c r="C134" t="inlineStr">
        <is>
          <t>2026-01</t>
        </is>
      </c>
      <c r="D134" t="inlineStr">
        <is>
          <t>1.183804514</t>
        </is>
      </c>
      <c r="E134" t="inlineStr">
        <is>
          <t>Crude Oil Production: Bakken</t>
        </is>
      </c>
      <c r="F134" t="inlineStr">
        <is>
          <t>million barrels per day</t>
        </is>
      </c>
    </row>
    <row r="135">
      <c r="A135" t="inlineStr">
        <is>
          <t>COPRBK|2026-02</t>
        </is>
      </c>
      <c r="B135" t="inlineStr">
        <is>
          <t>COPRBK</t>
        </is>
      </c>
      <c r="C135" t="inlineStr">
        <is>
          <t>2026-02</t>
        </is>
      </c>
      <c r="D135" t="inlineStr">
        <is>
          <t>1.182419769</t>
        </is>
      </c>
      <c r="E135" t="inlineStr">
        <is>
          <t>Crude Oil Production: Bakken</t>
        </is>
      </c>
      <c r="F135" t="inlineStr">
        <is>
          <t>million barrels per day</t>
        </is>
      </c>
    </row>
    <row r="136">
      <c r="A136" t="inlineStr">
        <is>
          <t>COPRBK|2026-03</t>
        </is>
      </c>
      <c r="B136" t="inlineStr">
        <is>
          <t>COPRBK</t>
        </is>
      </c>
      <c r="C136" t="inlineStr">
        <is>
          <t>2026-03</t>
        </is>
      </c>
      <c r="D136" t="inlineStr">
        <is>
          <t>1.184460933</t>
        </is>
      </c>
      <c r="E136" t="inlineStr">
        <is>
          <t>Crude Oil Production: Bakken</t>
        </is>
      </c>
      <c r="F136" t="inlineStr">
        <is>
          <t>million barrels per day</t>
        </is>
      </c>
    </row>
    <row r="137">
      <c r="A137" t="inlineStr">
        <is>
          <t>COPRBK|2026-04</t>
        </is>
      </c>
      <c r="B137" t="inlineStr">
        <is>
          <t>COPRBK</t>
        </is>
      </c>
      <c r="C137" t="inlineStr">
        <is>
          <t>2026-04</t>
        </is>
      </c>
      <c r="D137" t="inlineStr">
        <is>
          <t>1.195575082</t>
        </is>
      </c>
      <c r="E137" t="inlineStr">
        <is>
          <t>Crude Oil Production: Bakken</t>
        </is>
      </c>
      <c r="F137" t="inlineStr">
        <is>
          <t>million barrels per day</t>
        </is>
      </c>
    </row>
    <row r="138">
      <c r="A138" t="inlineStr">
        <is>
          <t>COPRBK|2026-05</t>
        </is>
      </c>
      <c r="B138" t="inlineStr">
        <is>
          <t>COPRBK</t>
        </is>
      </c>
      <c r="C138" t="inlineStr">
        <is>
          <t>2026-05</t>
        </is>
      </c>
      <c r="D138" t="inlineStr">
        <is>
          <t>1.176568921</t>
        </is>
      </c>
      <c r="E138" t="inlineStr">
        <is>
          <t>Crude Oil Production: Bakken</t>
        </is>
      </c>
      <c r="F138" t="inlineStr">
        <is>
          <t>million barrels per day</t>
        </is>
      </c>
    </row>
    <row r="139">
      <c r="A139" t="inlineStr">
        <is>
          <t>COPRBK|2026-06</t>
        </is>
      </c>
      <c r="B139" t="inlineStr">
        <is>
          <t>COPRBK</t>
        </is>
      </c>
      <c r="C139" t="inlineStr">
        <is>
          <t>2026-06</t>
        </is>
      </c>
      <c r="D139" t="inlineStr">
        <is>
          <t>1.207861855</t>
        </is>
      </c>
      <c r="E139" t="inlineStr">
        <is>
          <t>Crude Oil Production: Bakken</t>
        </is>
      </c>
      <c r="F139" t="inlineStr">
        <is>
          <t>million barrels per day</t>
        </is>
      </c>
    </row>
    <row r="140">
      <c r="A140" t="inlineStr">
        <is>
          <t>COPRBK|2026-07</t>
        </is>
      </c>
      <c r="B140" t="inlineStr">
        <is>
          <t>COPRBK</t>
        </is>
      </c>
      <c r="C140" t="inlineStr">
        <is>
          <t>2026-07</t>
        </is>
      </c>
      <c r="D140" t="inlineStr">
        <is>
          <t>1.196378645</t>
        </is>
      </c>
      <c r="E140" t="inlineStr">
        <is>
          <t>Crude Oil Production: Bakken</t>
        </is>
      </c>
      <c r="F140" t="inlineStr">
        <is>
          <t>million barrels per day</t>
        </is>
      </c>
    </row>
    <row r="141">
      <c r="A141" t="inlineStr">
        <is>
          <t>COPRBK|2026-08</t>
        </is>
      </c>
      <c r="B141" t="inlineStr">
        <is>
          <t>COPRBK</t>
        </is>
      </c>
      <c r="C141" t="inlineStr">
        <is>
          <t>2026-08</t>
        </is>
      </c>
      <c r="D141" t="inlineStr">
        <is>
          <t>1.202213453</t>
        </is>
      </c>
      <c r="E141" t="inlineStr">
        <is>
          <t>Crude Oil Production: Bakken</t>
        </is>
      </c>
      <c r="F141" t="inlineStr">
        <is>
          <t>million barrels per day</t>
        </is>
      </c>
    </row>
    <row r="142">
      <c r="A142" t="inlineStr">
        <is>
          <t>COPRBK|2026-09</t>
        </is>
      </c>
      <c r="B142" t="inlineStr">
        <is>
          <t>COPRBK</t>
        </is>
      </c>
      <c r="C142" t="inlineStr">
        <is>
          <t>2026-09</t>
        </is>
      </c>
      <c r="D142" t="inlineStr">
        <is>
          <t>1.206417703</t>
        </is>
      </c>
      <c r="E142" t="inlineStr">
        <is>
          <t>Crude Oil Production: Bakken</t>
        </is>
      </c>
      <c r="F142" t="inlineStr">
        <is>
          <t>million barrels per day</t>
        </is>
      </c>
    </row>
    <row r="143">
      <c r="A143" t="inlineStr">
        <is>
          <t>COPRBK|2026-10</t>
        </is>
      </c>
      <c r="B143" t="inlineStr">
        <is>
          <t>COPRBK</t>
        </is>
      </c>
      <c r="C143" t="inlineStr">
        <is>
          <t>2026-10</t>
        </is>
      </c>
      <c r="D143" t="inlineStr">
        <is>
          <t>1.209469472</t>
        </is>
      </c>
      <c r="E143" t="inlineStr">
        <is>
          <t>Crude Oil Production: Bakken</t>
        </is>
      </c>
      <c r="F143" t="inlineStr">
        <is>
          <t>million barrels per day</t>
        </is>
      </c>
    </row>
    <row r="144">
      <c r="A144" t="inlineStr">
        <is>
          <t>COPRBK|2026-11</t>
        </is>
      </c>
      <c r="B144" t="inlineStr">
        <is>
          <t>COPRBK</t>
        </is>
      </c>
      <c r="C144" t="inlineStr">
        <is>
          <t>2026-11</t>
        </is>
      </c>
      <c r="D144" t="inlineStr">
        <is>
          <t>1.200284646</t>
        </is>
      </c>
      <c r="E144" t="inlineStr">
        <is>
          <t>Crude Oil Production: Bakken</t>
        </is>
      </c>
      <c r="F144" t="inlineStr">
        <is>
          <t>million barrels per day</t>
        </is>
      </c>
    </row>
    <row r="145">
      <c r="A145" t="inlineStr">
        <is>
          <t>COPRBK|2026-12</t>
        </is>
      </c>
      <c r="B145" t="inlineStr">
        <is>
          <t>COPRBK</t>
        </is>
      </c>
      <c r="C145" t="inlineStr">
        <is>
          <t>2026-12</t>
        </is>
      </c>
      <c r="D145" t="inlineStr">
        <is>
          <t>1.19441061</t>
        </is>
      </c>
      <c r="E145" t="inlineStr">
        <is>
          <t>Crude Oil Production: Bakken</t>
        </is>
      </c>
      <c r="F145" t="inlineStr">
        <is>
          <t>million barrels per day</t>
        </is>
      </c>
    </row>
    <row r="146">
      <c r="A146" t="inlineStr">
        <is>
          <t>COPRBK|2027-01</t>
        </is>
      </c>
      <c r="B146" t="inlineStr">
        <is>
          <t>COPRBK</t>
        </is>
      </c>
      <c r="C146" t="inlineStr">
        <is>
          <t>2027-01</t>
        </is>
      </c>
      <c r="D146" t="inlineStr">
        <is>
          <t>1.181769365</t>
        </is>
      </c>
      <c r="E146" t="inlineStr">
        <is>
          <t>Crude Oil Production: Bakken</t>
        </is>
      </c>
      <c r="F146" t="inlineStr">
        <is>
          <t>million barrels per day</t>
        </is>
      </c>
    </row>
    <row r="147">
      <c r="A147" t="inlineStr">
        <is>
          <t>COPRBK|2027-02</t>
        </is>
      </c>
      <c r="B147" t="inlineStr">
        <is>
          <t>COPRBK</t>
        </is>
      </c>
      <c r="C147" t="inlineStr">
        <is>
          <t>2027-02</t>
        </is>
      </c>
      <c r="D147" t="inlineStr">
        <is>
          <t>1.188769365</t>
        </is>
      </c>
      <c r="E147" t="inlineStr">
        <is>
          <t>Crude Oil Production: Bakken</t>
        </is>
      </c>
      <c r="F147" t="inlineStr">
        <is>
          <t>million barrels per day</t>
        </is>
      </c>
    </row>
    <row r="148">
      <c r="A148" t="inlineStr">
        <is>
          <t>COPRBK|2027-03</t>
        </is>
      </c>
      <c r="B148" t="inlineStr">
        <is>
          <t>COPRBK</t>
        </is>
      </c>
      <c r="C148" t="inlineStr">
        <is>
          <t>2027-03</t>
        </is>
      </c>
      <c r="D148" t="inlineStr">
        <is>
          <t>1.195808564</t>
        </is>
      </c>
      <c r="E148" t="inlineStr">
        <is>
          <t>Crude Oil Production: Bakken</t>
        </is>
      </c>
      <c r="F148" t="inlineStr">
        <is>
          <t>million barrels per day</t>
        </is>
      </c>
    </row>
    <row r="149">
      <c r="A149" t="inlineStr">
        <is>
          <t>COPRBK|2027-04</t>
        </is>
      </c>
      <c r="B149" t="inlineStr">
        <is>
          <t>COPRBK</t>
        </is>
      </c>
      <c r="C149" t="inlineStr">
        <is>
          <t>2027-04</t>
        </is>
      </c>
      <c r="D149" t="inlineStr">
        <is>
          <t>1.199358441</t>
        </is>
      </c>
      <c r="E149" t="inlineStr">
        <is>
          <t>Crude Oil Production: Bakken</t>
        </is>
      </c>
      <c r="F149" t="inlineStr">
        <is>
          <t>million barrels per day</t>
        </is>
      </c>
    </row>
    <row r="150">
      <c r="A150" t="inlineStr">
        <is>
          <t>COPRBK|2027-05</t>
        </is>
      </c>
      <c r="B150" t="inlineStr">
        <is>
          <t>COPRBK</t>
        </is>
      </c>
      <c r="C150" t="inlineStr">
        <is>
          <t>2027-05</t>
        </is>
      </c>
      <c r="D150" t="inlineStr">
        <is>
          <t>1.202729804</t>
        </is>
      </c>
      <c r="E150" t="inlineStr">
        <is>
          <t>Crude Oil Production: Bakken</t>
        </is>
      </c>
      <c r="F150" t="inlineStr">
        <is>
          <t>million barrels per day</t>
        </is>
      </c>
    </row>
    <row r="151">
      <c r="A151" t="inlineStr">
        <is>
          <t>COPRBK|2027-06</t>
        </is>
      </c>
      <c r="B151" t="inlineStr">
        <is>
          <t>COPRBK</t>
        </is>
      </c>
      <c r="C151" t="inlineStr">
        <is>
          <t>2027-06</t>
        </is>
      </c>
      <c r="D151" t="inlineStr">
        <is>
          <t>1.206126332</t>
        </is>
      </c>
      <c r="E151" t="inlineStr">
        <is>
          <t>Crude Oil Production: Bakken</t>
        </is>
      </c>
      <c r="F151" t="inlineStr">
        <is>
          <t>million barrels per day</t>
        </is>
      </c>
    </row>
    <row r="152">
      <c r="A152" t="inlineStr">
        <is>
          <t>COPRBK|2027-07</t>
        </is>
      </c>
      <c r="B152" t="inlineStr">
        <is>
          <t>COPRBK</t>
        </is>
      </c>
      <c r="C152" t="inlineStr">
        <is>
          <t>2027-07</t>
        </is>
      </c>
      <c r="D152" t="inlineStr">
        <is>
          <t>1.21016884</t>
        </is>
      </c>
      <c r="E152" t="inlineStr">
        <is>
          <t>Crude Oil Production: Bakken</t>
        </is>
      </c>
      <c r="F152" t="inlineStr">
        <is>
          <t>million barrels per day</t>
        </is>
      </c>
    </row>
    <row r="153">
      <c r="A153" t="inlineStr">
        <is>
          <t>COPRBK|2027-08</t>
        </is>
      </c>
      <c r="B153" t="inlineStr">
        <is>
          <t>COPRBK</t>
        </is>
      </c>
      <c r="C153" t="inlineStr">
        <is>
          <t>2027-08</t>
        </is>
      </c>
      <c r="D153" t="inlineStr">
        <is>
          <t>1.214745678</t>
        </is>
      </c>
      <c r="E153" t="inlineStr">
        <is>
          <t>Crude Oil Production: Bakken</t>
        </is>
      </c>
      <c r="F153" t="inlineStr">
        <is>
          <t>million barrels per day</t>
        </is>
      </c>
    </row>
    <row r="154">
      <c r="A154" t="inlineStr">
        <is>
          <t>COPRBK|2027-09</t>
        </is>
      </c>
      <c r="B154" t="inlineStr">
        <is>
          <t>COPRBK</t>
        </is>
      </c>
      <c r="C154" t="inlineStr">
        <is>
          <t>2027-09</t>
        </is>
      </c>
      <c r="D154" t="inlineStr">
        <is>
          <t>1.218783997</t>
        </is>
      </c>
      <c r="E154" t="inlineStr">
        <is>
          <t>Crude Oil Production: Bakken</t>
        </is>
      </c>
      <c r="F154" t="inlineStr">
        <is>
          <t>million barrels per day</t>
        </is>
      </c>
    </row>
    <row r="155">
      <c r="A155" t="inlineStr">
        <is>
          <t>COPRBK|2027-10</t>
        </is>
      </c>
      <c r="B155" t="inlineStr">
        <is>
          <t>COPRBK</t>
        </is>
      </c>
      <c r="C155" t="inlineStr">
        <is>
          <t>2027-10</t>
        </is>
      </c>
      <c r="D155" t="inlineStr">
        <is>
          <t>1.221758194</t>
        </is>
      </c>
      <c r="E155" t="inlineStr">
        <is>
          <t>Crude Oil Production: Bakken</t>
        </is>
      </c>
      <c r="F155" t="inlineStr">
        <is>
          <t>million barrels per day</t>
        </is>
      </c>
    </row>
    <row r="156">
      <c r="A156" t="inlineStr">
        <is>
          <t>COPRBK|2027-11</t>
        </is>
      </c>
      <c r="B156" t="inlineStr">
        <is>
          <t>COPRBK</t>
        </is>
      </c>
      <c r="C156" t="inlineStr">
        <is>
          <t>2027-11</t>
        </is>
      </c>
      <c r="D156" t="inlineStr">
        <is>
          <t>1.224637876</t>
        </is>
      </c>
      <c r="E156" t="inlineStr">
        <is>
          <t>Crude Oil Production: Bakken</t>
        </is>
      </c>
      <c r="F156" t="inlineStr">
        <is>
          <t>million barrels per day</t>
        </is>
      </c>
    </row>
    <row r="157">
      <c r="A157" t="inlineStr">
        <is>
          <t>COPRBK|2027-12</t>
        </is>
      </c>
      <c r="B157" t="inlineStr">
        <is>
          <t>COPRBK</t>
        </is>
      </c>
      <c r="C157" t="inlineStr">
        <is>
          <t>2027-12</t>
        </is>
      </c>
      <c r="D157" t="inlineStr">
        <is>
          <t>1.22690578</t>
        </is>
      </c>
      <c r="E157" t="inlineStr">
        <is>
          <t>Crude Oil Production: Bakken</t>
        </is>
      </c>
      <c r="F157" t="inlineStr">
        <is>
          <t>million barrels per day</t>
        </is>
      </c>
    </row>
    <row r="158">
      <c r="A158" t="inlineStr">
        <is>
          <t>COPREF|2025-01</t>
        </is>
      </c>
      <c r="B158" t="inlineStr">
        <is>
          <t>COPREF</t>
        </is>
      </c>
      <c r="C158" t="inlineStr">
        <is>
          <t>2025-01</t>
        </is>
      </c>
      <c r="D158" t="inlineStr">
        <is>
          <t>1.107449676</t>
        </is>
      </c>
      <c r="E158" t="inlineStr">
        <is>
          <t>Crude Oil Production: Eagle Ford</t>
        </is>
      </c>
      <c r="F158" t="inlineStr">
        <is>
          <t>million barrels per day</t>
        </is>
      </c>
    </row>
    <row r="159">
      <c r="A159" t="inlineStr">
        <is>
          <t>COPREF|2025-02</t>
        </is>
      </c>
      <c r="B159" t="inlineStr">
        <is>
          <t>COPREF</t>
        </is>
      </c>
      <c r="C159" t="inlineStr">
        <is>
          <t>2025-02</t>
        </is>
      </c>
      <c r="D159" t="inlineStr">
        <is>
          <t>1.169087803</t>
        </is>
      </c>
      <c r="E159" t="inlineStr">
        <is>
          <t>Crude Oil Production: Eagle Ford</t>
        </is>
      </c>
      <c r="F159" t="inlineStr">
        <is>
          <t>million barrels per day</t>
        </is>
      </c>
    </row>
    <row r="160">
      <c r="A160" t="inlineStr">
        <is>
          <t>COPREF|2025-03</t>
        </is>
      </c>
      <c r="B160" t="inlineStr">
        <is>
          <t>COPREF</t>
        </is>
      </c>
      <c r="C160" t="inlineStr">
        <is>
          <t>2025-03</t>
        </is>
      </c>
      <c r="D160" t="inlineStr">
        <is>
          <t>1.181333344</t>
        </is>
      </c>
      <c r="E160" t="inlineStr">
        <is>
          <t>Crude Oil Production: Eagle Ford</t>
        </is>
      </c>
      <c r="F160" t="inlineStr">
        <is>
          <t>million barrels per day</t>
        </is>
      </c>
    </row>
    <row r="161">
      <c r="A161" t="inlineStr">
        <is>
          <t>COPREF|2025-04</t>
        </is>
      </c>
      <c r="B161" t="inlineStr">
        <is>
          <t>COPREF</t>
        </is>
      </c>
      <c r="C161" t="inlineStr">
        <is>
          <t>2025-04</t>
        </is>
      </c>
      <c r="D161" t="inlineStr">
        <is>
          <t>1.197795</t>
        </is>
      </c>
      <c r="E161" t="inlineStr">
        <is>
          <t>Crude Oil Production: Eagle Ford</t>
        </is>
      </c>
      <c r="F161" t="inlineStr">
        <is>
          <t>million barrels per day</t>
        </is>
      </c>
    </row>
    <row r="162">
      <c r="A162" t="inlineStr">
        <is>
          <t>COPREF|2025-05</t>
        </is>
      </c>
      <c r="B162" t="inlineStr">
        <is>
          <t>COPREF</t>
        </is>
      </c>
      <c r="C162" t="inlineStr">
        <is>
          <t>2025-05</t>
        </is>
      </c>
      <c r="D162" t="inlineStr">
        <is>
          <t>1.193542074</t>
        </is>
      </c>
      <c r="E162" t="inlineStr">
        <is>
          <t>Crude Oil Production: Eagle Ford</t>
        </is>
      </c>
      <c r="F162" t="inlineStr">
        <is>
          <t>million barrels per day</t>
        </is>
      </c>
    </row>
    <row r="163">
      <c r="A163" t="inlineStr">
        <is>
          <t>COPREF|2025-06</t>
        </is>
      </c>
      <c r="B163" t="inlineStr">
        <is>
          <t>COPREF</t>
        </is>
      </c>
      <c r="C163" t="inlineStr">
        <is>
          <t>2025-06</t>
        </is>
      </c>
      <c r="D163" t="inlineStr">
        <is>
          <t>1.191418703</t>
        </is>
      </c>
      <c r="E163" t="inlineStr">
        <is>
          <t>Crude Oil Production: Eagle Ford</t>
        </is>
      </c>
      <c r="F163" t="inlineStr">
        <is>
          <t>million barrels per day</t>
        </is>
      </c>
    </row>
    <row r="164">
      <c r="A164" t="inlineStr">
        <is>
          <t>COPREF|2025-07</t>
        </is>
      </c>
      <c r="B164" t="inlineStr">
        <is>
          <t>COPREF</t>
        </is>
      </c>
      <c r="C164" t="inlineStr">
        <is>
          <t>2025-07</t>
        </is>
      </c>
      <c r="D164" t="inlineStr">
        <is>
          <t>1.205998983</t>
        </is>
      </c>
      <c r="E164" t="inlineStr">
        <is>
          <t>Crude Oil Production: Eagle Ford</t>
        </is>
      </c>
      <c r="F164" t="inlineStr">
        <is>
          <t>million barrels per day</t>
        </is>
      </c>
    </row>
    <row r="165">
      <c r="A165" t="inlineStr">
        <is>
          <t>COPREF|2025-08</t>
        </is>
      </c>
      <c r="B165" t="inlineStr">
        <is>
          <t>COPREF</t>
        </is>
      </c>
      <c r="C165" t="inlineStr">
        <is>
          <t>2025-08</t>
        </is>
      </c>
      <c r="D165" t="inlineStr">
        <is>
          <t>1.187634285</t>
        </is>
      </c>
      <c r="E165" t="inlineStr">
        <is>
          <t>Crude Oil Production: Eagle Ford</t>
        </is>
      </c>
      <c r="F165" t="inlineStr">
        <is>
          <t>million barrels per day</t>
        </is>
      </c>
    </row>
    <row r="166">
      <c r="A166" t="inlineStr">
        <is>
          <t>COPREF|2025-09</t>
        </is>
      </c>
      <c r="B166" t="inlineStr">
        <is>
          <t>COPREF</t>
        </is>
      </c>
      <c r="C166" t="inlineStr">
        <is>
          <t>2025-09</t>
        </is>
      </c>
      <c r="D166" t="inlineStr">
        <is>
          <t>1.147020332</t>
        </is>
      </c>
      <c r="E166" t="inlineStr">
        <is>
          <t>Crude Oil Production: Eagle Ford</t>
        </is>
      </c>
      <c r="F166" t="inlineStr">
        <is>
          <t>million barrels per day</t>
        </is>
      </c>
    </row>
    <row r="167">
      <c r="A167" t="inlineStr">
        <is>
          <t>COPREF|2025-10</t>
        </is>
      </c>
      <c r="B167" t="inlineStr">
        <is>
          <t>COPREF</t>
        </is>
      </c>
      <c r="C167" t="inlineStr">
        <is>
          <t>2025-10</t>
        </is>
      </c>
      <c r="D167" t="inlineStr">
        <is>
          <t>1.106165401</t>
        </is>
      </c>
      <c r="E167" t="inlineStr">
        <is>
          <t>Crude Oil Production: Eagle Ford</t>
        </is>
      </c>
      <c r="F167" t="inlineStr">
        <is>
          <t>million barrels per day</t>
        </is>
      </c>
    </row>
    <row r="168">
      <c r="A168" t="inlineStr">
        <is>
          <t>COPREF|2025-11</t>
        </is>
      </c>
      <c r="B168" t="inlineStr">
        <is>
          <t>COPREF</t>
        </is>
      </c>
      <c r="C168" t="inlineStr">
        <is>
          <t>2025-11</t>
        </is>
      </c>
      <c r="D168" t="inlineStr">
        <is>
          <t>1.137</t>
        </is>
      </c>
      <c r="E168" t="inlineStr">
        <is>
          <t>Crude Oil Production: Eagle Ford</t>
        </is>
      </c>
      <c r="F168" t="inlineStr">
        <is>
          <t>million barrels per day</t>
        </is>
      </c>
    </row>
    <row r="169">
      <c r="A169" t="inlineStr">
        <is>
          <t>COPREF|2025-12</t>
        </is>
      </c>
      <c r="B169" t="inlineStr">
        <is>
          <t>COPREF</t>
        </is>
      </c>
      <c r="C169" t="inlineStr">
        <is>
          <t>2025-12</t>
        </is>
      </c>
      <c r="D169" t="inlineStr">
        <is>
          <t>1.133</t>
        </is>
      </c>
      <c r="E169" t="inlineStr">
        <is>
          <t>Crude Oil Production: Eagle Ford</t>
        </is>
      </c>
      <c r="F169" t="inlineStr">
        <is>
          <t>million barrels per day</t>
        </is>
      </c>
    </row>
    <row r="170">
      <c r="A170" t="inlineStr">
        <is>
          <t>COPREF|2026-01</t>
        </is>
      </c>
      <c r="B170" t="inlineStr">
        <is>
          <t>COPREF</t>
        </is>
      </c>
      <c r="C170" t="inlineStr">
        <is>
          <t>2026-01</t>
        </is>
      </c>
      <c r="D170" t="inlineStr">
        <is>
          <t>1.127</t>
        </is>
      </c>
      <c r="E170" t="inlineStr">
        <is>
          <t>Crude Oil Production: Eagle Ford</t>
        </is>
      </c>
      <c r="F170" t="inlineStr">
        <is>
          <t>million barrels per day</t>
        </is>
      </c>
    </row>
    <row r="171">
      <c r="A171" t="inlineStr">
        <is>
          <t>COPREF|2026-02</t>
        </is>
      </c>
      <c r="B171" t="inlineStr">
        <is>
          <t>COPREF</t>
        </is>
      </c>
      <c r="C171" t="inlineStr">
        <is>
          <t>2026-02</t>
        </is>
      </c>
      <c r="D171" t="inlineStr">
        <is>
          <t>1.138</t>
        </is>
      </c>
      <c r="E171" t="inlineStr">
        <is>
          <t>Crude Oil Production: Eagle Ford</t>
        </is>
      </c>
      <c r="F171" t="inlineStr">
        <is>
          <t>million barrels per day</t>
        </is>
      </c>
    </row>
    <row r="172">
      <c r="A172" t="inlineStr">
        <is>
          <t>COPREF|2026-03</t>
        </is>
      </c>
      <c r="B172" t="inlineStr">
        <is>
          <t>COPREF</t>
        </is>
      </c>
      <c r="C172" t="inlineStr">
        <is>
          <t>2026-03</t>
        </is>
      </c>
      <c r="D172" t="inlineStr">
        <is>
          <t>1.143829693</t>
        </is>
      </c>
      <c r="E172" t="inlineStr">
        <is>
          <t>Crude Oil Production: Eagle Ford</t>
        </is>
      </c>
      <c r="F172" t="inlineStr">
        <is>
          <t>million barrels per day</t>
        </is>
      </c>
    </row>
    <row r="173">
      <c r="A173" t="inlineStr">
        <is>
          <t>COPREF|2026-04</t>
        </is>
      </c>
      <c r="B173" t="inlineStr">
        <is>
          <t>COPREF</t>
        </is>
      </c>
      <c r="C173" t="inlineStr">
        <is>
          <t>2026-04</t>
        </is>
      </c>
      <c r="D173" t="inlineStr">
        <is>
          <t>1.15585008</t>
        </is>
      </c>
      <c r="E173" t="inlineStr">
        <is>
          <t>Crude Oil Production: Eagle Ford</t>
        </is>
      </c>
      <c r="F173" t="inlineStr">
        <is>
          <t>million barrels per day</t>
        </is>
      </c>
    </row>
    <row r="174">
      <c r="A174" t="inlineStr">
        <is>
          <t>COPREF|2026-05</t>
        </is>
      </c>
      <c r="B174" t="inlineStr">
        <is>
          <t>COPREF</t>
        </is>
      </c>
      <c r="C174" t="inlineStr">
        <is>
          <t>2026-05</t>
        </is>
      </c>
      <c r="D174" t="inlineStr">
        <is>
          <t>1.14635167</t>
        </is>
      </c>
      <c r="E174" t="inlineStr">
        <is>
          <t>Crude Oil Production: Eagle Ford</t>
        </is>
      </c>
      <c r="F174" t="inlineStr">
        <is>
          <t>million barrels per day</t>
        </is>
      </c>
    </row>
    <row r="175">
      <c r="A175" t="inlineStr">
        <is>
          <t>COPREF|2026-06</t>
        </is>
      </c>
      <c r="B175" t="inlineStr">
        <is>
          <t>COPREF</t>
        </is>
      </c>
      <c r="C175" t="inlineStr">
        <is>
          <t>2026-06</t>
        </is>
      </c>
      <c r="D175" t="inlineStr">
        <is>
          <t>1.131632615</t>
        </is>
      </c>
      <c r="E175" t="inlineStr">
        <is>
          <t>Crude Oil Production: Eagle Ford</t>
        </is>
      </c>
      <c r="F175" t="inlineStr">
        <is>
          <t>million barrels per day</t>
        </is>
      </c>
    </row>
    <row r="176">
      <c r="A176" t="inlineStr">
        <is>
          <t>COPREF|2026-07</t>
        </is>
      </c>
      <c r="B176" t="inlineStr">
        <is>
          <t>COPREF</t>
        </is>
      </c>
      <c r="C176" t="inlineStr">
        <is>
          <t>2026-07</t>
        </is>
      </c>
      <c r="D176" t="inlineStr">
        <is>
          <t>1.144854077</t>
        </is>
      </c>
      <c r="E176" t="inlineStr">
        <is>
          <t>Crude Oil Production: Eagle Ford</t>
        </is>
      </c>
      <c r="F176" t="inlineStr">
        <is>
          <t>million barrels per day</t>
        </is>
      </c>
    </row>
    <row r="177">
      <c r="A177" t="inlineStr">
        <is>
          <t>COPREF|2026-08</t>
        </is>
      </c>
      <c r="B177" t="inlineStr">
        <is>
          <t>COPREF</t>
        </is>
      </c>
      <c r="C177" t="inlineStr">
        <is>
          <t>2026-08</t>
        </is>
      </c>
      <c r="D177" t="inlineStr">
        <is>
          <t>1.147220762</t>
        </is>
      </c>
      <c r="E177" t="inlineStr">
        <is>
          <t>Crude Oil Production: Eagle Ford</t>
        </is>
      </c>
      <c r="F177" t="inlineStr">
        <is>
          <t>million barrels per day</t>
        </is>
      </c>
    </row>
    <row r="178">
      <c r="A178" t="inlineStr">
        <is>
          <t>COPREF|2026-09</t>
        </is>
      </c>
      <c r="B178" t="inlineStr">
        <is>
          <t>COPREF</t>
        </is>
      </c>
      <c r="C178" t="inlineStr">
        <is>
          <t>2026-09</t>
        </is>
      </c>
      <c r="D178" t="inlineStr">
        <is>
          <t>1.152855494</t>
        </is>
      </c>
      <c r="E178" t="inlineStr">
        <is>
          <t>Crude Oil Production: Eagle Ford</t>
        </is>
      </c>
      <c r="F178" t="inlineStr">
        <is>
          <t>million barrels per day</t>
        </is>
      </c>
    </row>
    <row r="179">
      <c r="A179" t="inlineStr">
        <is>
          <t>COPREF|2026-10</t>
        </is>
      </c>
      <c r="B179" t="inlineStr">
        <is>
          <t>COPREF</t>
        </is>
      </c>
      <c r="C179" t="inlineStr">
        <is>
          <t>2026-10</t>
        </is>
      </c>
      <c r="D179" t="inlineStr">
        <is>
          <t>1.158720159</t>
        </is>
      </c>
      <c r="E179" t="inlineStr">
        <is>
          <t>Crude Oil Production: Eagle Ford</t>
        </is>
      </c>
      <c r="F179" t="inlineStr">
        <is>
          <t>million barrels per day</t>
        </is>
      </c>
    </row>
    <row r="180">
      <c r="A180" t="inlineStr">
        <is>
          <t>COPREF|2026-11</t>
        </is>
      </c>
      <c r="B180" t="inlineStr">
        <is>
          <t>COPREF</t>
        </is>
      </c>
      <c r="C180" t="inlineStr">
        <is>
          <t>2026-11</t>
        </is>
      </c>
      <c r="D180" t="inlineStr">
        <is>
          <t>1.166765248</t>
        </is>
      </c>
      <c r="E180" t="inlineStr">
        <is>
          <t>Crude Oil Production: Eagle Ford</t>
        </is>
      </c>
      <c r="F180" t="inlineStr">
        <is>
          <t>million barrels per day</t>
        </is>
      </c>
    </row>
    <row r="181">
      <c r="A181" t="inlineStr">
        <is>
          <t>COPREF|2026-12</t>
        </is>
      </c>
      <c r="B181" t="inlineStr">
        <is>
          <t>COPREF</t>
        </is>
      </c>
      <c r="C181" t="inlineStr">
        <is>
          <t>2026-12</t>
        </is>
      </c>
      <c r="D181" t="inlineStr">
        <is>
          <t>1.176581454</t>
        </is>
      </c>
      <c r="E181" t="inlineStr">
        <is>
          <t>Crude Oil Production: Eagle Ford</t>
        </is>
      </c>
      <c r="F181" t="inlineStr">
        <is>
          <t>million barrels per day</t>
        </is>
      </c>
    </row>
    <row r="182">
      <c r="A182" t="inlineStr">
        <is>
          <t>COPREF|2027-01</t>
        </is>
      </c>
      <c r="B182" t="inlineStr">
        <is>
          <t>COPREF</t>
        </is>
      </c>
      <c r="C182" t="inlineStr">
        <is>
          <t>2027-01</t>
        </is>
      </c>
      <c r="D182" t="inlineStr">
        <is>
          <t>1.181965328</t>
        </is>
      </c>
      <c r="E182" t="inlineStr">
        <is>
          <t>Crude Oil Production: Eagle Ford</t>
        </is>
      </c>
      <c r="F182" t="inlineStr">
        <is>
          <t>million barrels per day</t>
        </is>
      </c>
    </row>
    <row r="183">
      <c r="A183" t="inlineStr">
        <is>
          <t>COPREF|2027-02</t>
        </is>
      </c>
      <c r="B183" t="inlineStr">
        <is>
          <t>COPREF</t>
        </is>
      </c>
      <c r="C183" t="inlineStr">
        <is>
          <t>2027-02</t>
        </is>
      </c>
      <c r="D183" t="inlineStr">
        <is>
          <t>1.189965328</t>
        </is>
      </c>
      <c r="E183" t="inlineStr">
        <is>
          <t>Crude Oil Production: Eagle Ford</t>
        </is>
      </c>
      <c r="F183" t="inlineStr">
        <is>
          <t>million barrels per day</t>
        </is>
      </c>
    </row>
    <row r="184">
      <c r="A184" t="inlineStr">
        <is>
          <t>COPREF|2027-03</t>
        </is>
      </c>
      <c r="B184" t="inlineStr">
        <is>
          <t>COPREF</t>
        </is>
      </c>
      <c r="C184" t="inlineStr">
        <is>
          <t>2027-03</t>
        </is>
      </c>
      <c r="D184" t="inlineStr">
        <is>
          <t>1.195138433</t>
        </is>
      </c>
      <c r="E184" t="inlineStr">
        <is>
          <t>Crude Oil Production: Eagle Ford</t>
        </is>
      </c>
      <c r="F184" t="inlineStr">
        <is>
          <t>million barrels per day</t>
        </is>
      </c>
    </row>
    <row r="185">
      <c r="A185" t="inlineStr">
        <is>
          <t>COPREF|2027-04</t>
        </is>
      </c>
      <c r="B185" t="inlineStr">
        <is>
          <t>COPREF</t>
        </is>
      </c>
      <c r="C185" t="inlineStr">
        <is>
          <t>2027-04</t>
        </is>
      </c>
      <c r="D185" t="inlineStr">
        <is>
          <t>1.201117877</t>
        </is>
      </c>
      <c r="E185" t="inlineStr">
        <is>
          <t>Crude Oil Production: Eagle Ford</t>
        </is>
      </c>
      <c r="F185" t="inlineStr">
        <is>
          <t>million barrels per day</t>
        </is>
      </c>
    </row>
    <row r="186">
      <c r="A186" t="inlineStr">
        <is>
          <t>COPREF|2027-05</t>
        </is>
      </c>
      <c r="B186" t="inlineStr">
        <is>
          <t>COPREF</t>
        </is>
      </c>
      <c r="C186" t="inlineStr">
        <is>
          <t>2027-05</t>
        </is>
      </c>
      <c r="D186" t="inlineStr">
        <is>
          <t>1.206600158</t>
        </is>
      </c>
      <c r="E186" t="inlineStr">
        <is>
          <t>Crude Oil Production: Eagle Ford</t>
        </is>
      </c>
      <c r="F186" t="inlineStr">
        <is>
          <t>million barrels per day</t>
        </is>
      </c>
    </row>
    <row r="187">
      <c r="A187" t="inlineStr">
        <is>
          <t>COPREF|2027-06</t>
        </is>
      </c>
      <c r="B187" t="inlineStr">
        <is>
          <t>COPREF</t>
        </is>
      </c>
      <c r="C187" t="inlineStr">
        <is>
          <t>2027-06</t>
        </is>
      </c>
      <c r="D187" t="inlineStr">
        <is>
          <t>1.21165409</t>
        </is>
      </c>
      <c r="E187" t="inlineStr">
        <is>
          <t>Crude Oil Production: Eagle Ford</t>
        </is>
      </c>
      <c r="F187" t="inlineStr">
        <is>
          <t>million barrels per day</t>
        </is>
      </c>
    </row>
    <row r="188">
      <c r="A188" t="inlineStr">
        <is>
          <t>COPREF|2027-07</t>
        </is>
      </c>
      <c r="B188" t="inlineStr">
        <is>
          <t>COPREF</t>
        </is>
      </c>
      <c r="C188" t="inlineStr">
        <is>
          <t>2027-07</t>
        </is>
      </c>
      <c r="D188" t="inlineStr">
        <is>
          <t>1.215958912</t>
        </is>
      </c>
      <c r="E188" t="inlineStr">
        <is>
          <t>Crude Oil Production: Eagle Ford</t>
        </is>
      </c>
      <c r="F188" t="inlineStr">
        <is>
          <t>million barrels per day</t>
        </is>
      </c>
    </row>
    <row r="189">
      <c r="A189" t="inlineStr">
        <is>
          <t>COPREF|2027-08</t>
        </is>
      </c>
      <c r="B189" t="inlineStr">
        <is>
          <t>COPREF</t>
        </is>
      </c>
      <c r="C189" t="inlineStr">
        <is>
          <t>2027-08</t>
        </is>
      </c>
      <c r="D189" t="inlineStr">
        <is>
          <t>1.219194374</t>
        </is>
      </c>
      <c r="E189" t="inlineStr">
        <is>
          <t>Crude Oil Production: Eagle Ford</t>
        </is>
      </c>
      <c r="F189" t="inlineStr">
        <is>
          <t>million barrels per day</t>
        </is>
      </c>
    </row>
    <row r="190">
      <c r="A190" t="inlineStr">
        <is>
          <t>COPREF|2027-09</t>
        </is>
      </c>
      <c r="B190" t="inlineStr">
        <is>
          <t>COPREF</t>
        </is>
      </c>
      <c r="C190" t="inlineStr">
        <is>
          <t>2027-09</t>
        </is>
      </c>
      <c r="D190" t="inlineStr">
        <is>
          <t>1.221864555</t>
        </is>
      </c>
      <c r="E190" t="inlineStr">
        <is>
          <t>Crude Oil Production: Eagle Ford</t>
        </is>
      </c>
      <c r="F190" t="inlineStr">
        <is>
          <t>million barrels per day</t>
        </is>
      </c>
    </row>
    <row r="191">
      <c r="A191" t="inlineStr">
        <is>
          <t>COPREF|2027-10</t>
        </is>
      </c>
      <c r="B191" t="inlineStr">
        <is>
          <t>COPREF</t>
        </is>
      </c>
      <c r="C191" t="inlineStr">
        <is>
          <t>2027-10</t>
        </is>
      </c>
      <c r="D191" t="inlineStr">
        <is>
          <t>1.224107372</t>
        </is>
      </c>
      <c r="E191" t="inlineStr">
        <is>
          <t>Crude Oil Production: Eagle Ford</t>
        </is>
      </c>
      <c r="F191" t="inlineStr">
        <is>
          <t>million barrels per day</t>
        </is>
      </c>
    </row>
    <row r="192">
      <c r="A192" t="inlineStr">
        <is>
          <t>COPREF|2027-11</t>
        </is>
      </c>
      <c r="B192" t="inlineStr">
        <is>
          <t>COPREF</t>
        </is>
      </c>
      <c r="C192" t="inlineStr">
        <is>
          <t>2027-11</t>
        </is>
      </c>
      <c r="D192" t="inlineStr">
        <is>
          <t>1.225236354</t>
        </is>
      </c>
      <c r="E192" t="inlineStr">
        <is>
          <t>Crude Oil Production: Eagle Ford</t>
        </is>
      </c>
      <c r="F192" t="inlineStr">
        <is>
          <t>million barrels per day</t>
        </is>
      </c>
    </row>
    <row r="193">
      <c r="A193" t="inlineStr">
        <is>
          <t>COPREF|2027-12</t>
        </is>
      </c>
      <c r="B193" t="inlineStr">
        <is>
          <t>COPREF</t>
        </is>
      </c>
      <c r="C193" t="inlineStr">
        <is>
          <t>2027-12</t>
        </is>
      </c>
      <c r="D193" t="inlineStr">
        <is>
          <t>1.225003002</t>
        </is>
      </c>
      <c r="E193" t="inlineStr">
        <is>
          <t>Crude Oil Production: Eagle Ford</t>
        </is>
      </c>
      <c r="F193" t="inlineStr">
        <is>
          <t>million barrels per day</t>
        </is>
      </c>
    </row>
    <row r="194">
      <c r="A194" t="inlineStr">
        <is>
          <t>COPRPM|2025-01</t>
        </is>
      </c>
      <c r="B194" t="inlineStr">
        <is>
          <t>COPRPM</t>
        </is>
      </c>
      <c r="C194" t="inlineStr">
        <is>
          <t>2025-01</t>
        </is>
      </c>
      <c r="D194" t="inlineStr">
        <is>
          <t>6.267037895</t>
        </is>
      </c>
      <c r="E194" t="inlineStr">
        <is>
          <t>Crude Oil Production: Permian</t>
        </is>
      </c>
      <c r="F194" t="inlineStr">
        <is>
          <t>million barrels per day</t>
        </is>
      </c>
    </row>
    <row r="195">
      <c r="A195" t="inlineStr">
        <is>
          <t>COPRPM|2025-02</t>
        </is>
      </c>
      <c r="B195" t="inlineStr">
        <is>
          <t>COPRPM</t>
        </is>
      </c>
      <c r="C195" t="inlineStr">
        <is>
          <t>2025-02</t>
        </is>
      </c>
      <c r="D195" t="inlineStr">
        <is>
          <t>6.356523699</t>
        </is>
      </c>
      <c r="E195" t="inlineStr">
        <is>
          <t>Crude Oil Production: Permian</t>
        </is>
      </c>
      <c r="F195" t="inlineStr">
        <is>
          <t>million barrels per day</t>
        </is>
      </c>
    </row>
    <row r="196">
      <c r="A196" t="inlineStr">
        <is>
          <t>COPRPM|2025-03</t>
        </is>
      </c>
      <c r="B196" t="inlineStr">
        <is>
          <t>COPRPM</t>
        </is>
      </c>
      <c r="C196" t="inlineStr">
        <is>
          <t>2025-03</t>
        </is>
      </c>
      <c r="D196" t="inlineStr">
        <is>
          <t>6.495038972</t>
        </is>
      </c>
      <c r="E196" t="inlineStr">
        <is>
          <t>Crude Oil Production: Permian</t>
        </is>
      </c>
      <c r="F196" t="inlineStr">
        <is>
          <t>million barrels per day</t>
        </is>
      </c>
    </row>
    <row r="197">
      <c r="A197" t="inlineStr">
        <is>
          <t>COPRPM|2025-04</t>
        </is>
      </c>
      <c r="B197" t="inlineStr">
        <is>
          <t>COPRPM</t>
        </is>
      </c>
      <c r="C197" t="inlineStr">
        <is>
          <t>2025-04</t>
        </is>
      </c>
      <c r="D197" t="inlineStr">
        <is>
          <t>6.513277699</t>
        </is>
      </c>
      <c r="E197" t="inlineStr">
        <is>
          <t>Crude Oil Production: Permian</t>
        </is>
      </c>
      <c r="F197" t="inlineStr">
        <is>
          <t>million barrels per day</t>
        </is>
      </c>
    </row>
    <row r="198">
      <c r="A198" t="inlineStr">
        <is>
          <t>COPRPM|2025-05</t>
        </is>
      </c>
      <c r="B198" t="inlineStr">
        <is>
          <t>COPRPM</t>
        </is>
      </c>
      <c r="C198" t="inlineStr">
        <is>
          <t>2025-05</t>
        </is>
      </c>
      <c r="D198" t="inlineStr">
        <is>
          <t>6.507772496</t>
        </is>
      </c>
      <c r="E198" t="inlineStr">
        <is>
          <t>Crude Oil Production: Permian</t>
        </is>
      </c>
      <c r="F198" t="inlineStr">
        <is>
          <t>million barrels per day</t>
        </is>
      </c>
    </row>
    <row r="199">
      <c r="A199" t="inlineStr">
        <is>
          <t>COPRPM|2025-06</t>
        </is>
      </c>
      <c r="B199" t="inlineStr">
        <is>
          <t>COPRPM</t>
        </is>
      </c>
      <c r="C199" t="inlineStr">
        <is>
          <t>2025-06</t>
        </is>
      </c>
      <c r="D199" t="inlineStr">
        <is>
          <t>6.515732331</t>
        </is>
      </c>
      <c r="E199" t="inlineStr">
        <is>
          <t>Crude Oil Production: Permian</t>
        </is>
      </c>
      <c r="F199" t="inlineStr">
        <is>
          <t>million barrels per day</t>
        </is>
      </c>
    </row>
    <row r="200">
      <c r="A200" t="inlineStr">
        <is>
          <t>COPRPM|2025-07</t>
        </is>
      </c>
      <c r="B200" t="inlineStr">
        <is>
          <t>COPRPM</t>
        </is>
      </c>
      <c r="C200" t="inlineStr">
        <is>
          <t>2025-07</t>
        </is>
      </c>
      <c r="D200" t="inlineStr">
        <is>
          <t>6.642495456</t>
        </is>
      </c>
      <c r="E200" t="inlineStr">
        <is>
          <t>Crude Oil Production: Permian</t>
        </is>
      </c>
      <c r="F200" t="inlineStr">
        <is>
          <t>million barrels per day</t>
        </is>
      </c>
    </row>
    <row r="201">
      <c r="A201" t="inlineStr">
        <is>
          <t>COPRPM|2025-08</t>
        </is>
      </c>
      <c r="B201" t="inlineStr">
        <is>
          <t>COPRPM</t>
        </is>
      </c>
      <c r="C201" t="inlineStr">
        <is>
          <t>2025-08</t>
        </is>
      </c>
      <c r="D201" t="inlineStr">
        <is>
          <t>6.66541779</t>
        </is>
      </c>
      <c r="E201" t="inlineStr">
        <is>
          <t>Crude Oil Production: Permian</t>
        </is>
      </c>
      <c r="F201" t="inlineStr">
        <is>
          <t>million barrels per day</t>
        </is>
      </c>
    </row>
    <row r="202">
      <c r="A202" t="inlineStr">
        <is>
          <t>COPRPM|2025-09</t>
        </is>
      </c>
      <c r="B202" t="inlineStr">
        <is>
          <t>COPRPM</t>
        </is>
      </c>
      <c r="C202" t="inlineStr">
        <is>
          <t>2025-09</t>
        </is>
      </c>
      <c r="D202" t="inlineStr">
        <is>
          <t>6.714492408</t>
        </is>
      </c>
      <c r="E202" t="inlineStr">
        <is>
          <t>Crude Oil Production: Permian</t>
        </is>
      </c>
      <c r="F202" t="inlineStr">
        <is>
          <t>million barrels per day</t>
        </is>
      </c>
    </row>
    <row r="203">
      <c r="A203" t="inlineStr">
        <is>
          <t>COPRPM|2025-10</t>
        </is>
      </c>
      <c r="B203" t="inlineStr">
        <is>
          <t>COPRPM</t>
        </is>
      </c>
      <c r="C203" t="inlineStr">
        <is>
          <t>2025-10</t>
        </is>
      </c>
      <c r="D203" t="inlineStr">
        <is>
          <t>6.750376811</t>
        </is>
      </c>
      <c r="E203" t="inlineStr">
        <is>
          <t>Crude Oil Production: Permian</t>
        </is>
      </c>
      <c r="F203" t="inlineStr">
        <is>
          <t>million barrels per day</t>
        </is>
      </c>
    </row>
    <row r="204">
      <c r="A204" t="inlineStr">
        <is>
          <t>COPRPM|2025-11</t>
        </is>
      </c>
      <c r="B204" t="inlineStr">
        <is>
          <t>COPRPM</t>
        </is>
      </c>
      <c r="C204" t="inlineStr">
        <is>
          <t>2025-11</t>
        </is>
      </c>
      <c r="D204" t="inlineStr">
        <is>
          <t>6.760062212</t>
        </is>
      </c>
      <c r="E204" t="inlineStr">
        <is>
          <t>Crude Oil Production: Permian</t>
        </is>
      </c>
      <c r="F204" t="inlineStr">
        <is>
          <t>million barrels per day</t>
        </is>
      </c>
    </row>
    <row r="205">
      <c r="A205" t="inlineStr">
        <is>
          <t>COPRPM|2025-12</t>
        </is>
      </c>
      <c r="B205" t="inlineStr">
        <is>
          <t>COPRPM</t>
        </is>
      </c>
      <c r="C205" t="inlineStr">
        <is>
          <t>2025-12</t>
        </is>
      </c>
      <c r="D205" t="inlineStr">
        <is>
          <t>6.67140531</t>
        </is>
      </c>
      <c r="E205" t="inlineStr">
        <is>
          <t>Crude Oil Production: Permian</t>
        </is>
      </c>
      <c r="F205" t="inlineStr">
        <is>
          <t>million barrels per day</t>
        </is>
      </c>
    </row>
    <row r="206">
      <c r="A206" t="inlineStr">
        <is>
          <t>COPRPM|2026-01</t>
        </is>
      </c>
      <c r="B206" t="inlineStr">
        <is>
          <t>COPRPM</t>
        </is>
      </c>
      <c r="C206" t="inlineStr">
        <is>
          <t>2026-01</t>
        </is>
      </c>
      <c r="D206" t="inlineStr">
        <is>
          <t>6.362111001</t>
        </is>
      </c>
      <c r="E206" t="inlineStr">
        <is>
          <t>Crude Oil Production: Permian</t>
        </is>
      </c>
      <c r="F206" t="inlineStr">
        <is>
          <t>million barrels per day</t>
        </is>
      </c>
    </row>
    <row r="207">
      <c r="A207" t="inlineStr">
        <is>
          <t>COPRPM|2026-02</t>
        </is>
      </c>
      <c r="B207" t="inlineStr">
        <is>
          <t>COPRPM</t>
        </is>
      </c>
      <c r="C207" t="inlineStr">
        <is>
          <t>2026-02</t>
        </is>
      </c>
      <c r="D207" t="inlineStr">
        <is>
          <t>6.74858646</t>
        </is>
      </c>
      <c r="E207" t="inlineStr">
        <is>
          <t>Crude Oil Production: Permian</t>
        </is>
      </c>
      <c r="F207" t="inlineStr">
        <is>
          <t>million barrels per day</t>
        </is>
      </c>
    </row>
    <row r="208">
      <c r="A208" t="inlineStr">
        <is>
          <t>COPRPM|2026-03</t>
        </is>
      </c>
      <c r="B208" t="inlineStr">
        <is>
          <t>COPRPM</t>
        </is>
      </c>
      <c r="C208" t="inlineStr">
        <is>
          <t>2026-03</t>
        </is>
      </c>
      <c r="D208" t="inlineStr">
        <is>
          <t>6.718287604</t>
        </is>
      </c>
      <c r="E208" t="inlineStr">
        <is>
          <t>Crude Oil Production: Permian</t>
        </is>
      </c>
      <c r="F208" t="inlineStr">
        <is>
          <t>million barrels per day</t>
        </is>
      </c>
    </row>
    <row r="209">
      <c r="A209" t="inlineStr">
        <is>
          <t>COPRPM|2026-04</t>
        </is>
      </c>
      <c r="B209" t="inlineStr">
        <is>
          <t>COPRPM</t>
        </is>
      </c>
      <c r="C209" t="inlineStr">
        <is>
          <t>2026-04</t>
        </is>
      </c>
      <c r="D209" t="inlineStr">
        <is>
          <t>6.819432393</t>
        </is>
      </c>
      <c r="E209" t="inlineStr">
        <is>
          <t>Crude Oil Production: Permian</t>
        </is>
      </c>
      <c r="F209" t="inlineStr">
        <is>
          <t>million barrels per day</t>
        </is>
      </c>
    </row>
    <row r="210">
      <c r="A210" t="inlineStr">
        <is>
          <t>COPRPM|2026-05</t>
        </is>
      </c>
      <c r="B210" t="inlineStr">
        <is>
          <t>COPRPM</t>
        </is>
      </c>
      <c r="C210" t="inlineStr">
        <is>
          <t>2026-05</t>
        </is>
      </c>
      <c r="D210" t="inlineStr">
        <is>
          <t>6.823423755</t>
        </is>
      </c>
      <c r="E210" t="inlineStr">
        <is>
          <t>Crude Oil Production: Permian</t>
        </is>
      </c>
      <c r="F210" t="inlineStr">
        <is>
          <t>million barrels per day</t>
        </is>
      </c>
    </row>
    <row r="211">
      <c r="A211" t="inlineStr">
        <is>
          <t>COPRPM|2026-06</t>
        </is>
      </c>
      <c r="B211" t="inlineStr">
        <is>
          <t>COPRPM</t>
        </is>
      </c>
      <c r="C211" t="inlineStr">
        <is>
          <t>2026-06</t>
        </is>
      </c>
      <c r="D211" t="inlineStr">
        <is>
          <t>6.735286088</t>
        </is>
      </c>
      <c r="E211" t="inlineStr">
        <is>
          <t>Crude Oil Production: Permian</t>
        </is>
      </c>
      <c r="F211" t="inlineStr">
        <is>
          <t>million barrels per day</t>
        </is>
      </c>
    </row>
    <row r="212">
      <c r="A212" t="inlineStr">
        <is>
          <t>COPRPM|2026-07</t>
        </is>
      </c>
      <c r="B212" t="inlineStr">
        <is>
          <t>COPRPM</t>
        </is>
      </c>
      <c r="C212" t="inlineStr">
        <is>
          <t>2026-07</t>
        </is>
      </c>
      <c r="D212" t="inlineStr">
        <is>
          <t>6.75337689</t>
        </is>
      </c>
      <c r="E212" t="inlineStr">
        <is>
          <t>Crude Oil Production: Permian</t>
        </is>
      </c>
      <c r="F212" t="inlineStr">
        <is>
          <t>million barrels per day</t>
        </is>
      </c>
    </row>
    <row r="213">
      <c r="A213" t="inlineStr">
        <is>
          <t>COPRPM|2026-08</t>
        </is>
      </c>
      <c r="B213" t="inlineStr">
        <is>
          <t>COPRPM</t>
        </is>
      </c>
      <c r="C213" t="inlineStr">
        <is>
          <t>2026-08</t>
        </is>
      </c>
      <c r="D213" t="inlineStr">
        <is>
          <t>6.79001279</t>
        </is>
      </c>
      <c r="E213" t="inlineStr">
        <is>
          <t>Crude Oil Production: Permian</t>
        </is>
      </c>
      <c r="F213" t="inlineStr">
        <is>
          <t>million barrels per day</t>
        </is>
      </c>
    </row>
    <row r="214">
      <c r="A214" t="inlineStr">
        <is>
          <t>COPRPM|2026-09</t>
        </is>
      </c>
      <c r="B214" t="inlineStr">
        <is>
          <t>COPRPM</t>
        </is>
      </c>
      <c r="C214" t="inlineStr">
        <is>
          <t>2026-09</t>
        </is>
      </c>
      <c r="D214" t="inlineStr">
        <is>
          <t>6.834065554</t>
        </is>
      </c>
      <c r="E214" t="inlineStr">
        <is>
          <t>Crude Oil Production: Permian</t>
        </is>
      </c>
      <c r="F214" t="inlineStr">
        <is>
          <t>million barrels per day</t>
        </is>
      </c>
    </row>
    <row r="215">
      <c r="A215" t="inlineStr">
        <is>
          <t>COPRPM|2026-10</t>
        </is>
      </c>
      <c r="B215" t="inlineStr">
        <is>
          <t>COPRPM</t>
        </is>
      </c>
      <c r="C215" t="inlineStr">
        <is>
          <t>2026-10</t>
        </is>
      </c>
      <c r="D215" t="inlineStr">
        <is>
          <t>6.84341534</t>
        </is>
      </c>
      <c r="E215" t="inlineStr">
        <is>
          <t>Crude Oil Production: Permian</t>
        </is>
      </c>
      <c r="F215" t="inlineStr">
        <is>
          <t>million barrels per day</t>
        </is>
      </c>
    </row>
    <row r="216">
      <c r="A216" t="inlineStr">
        <is>
          <t>COPRPM|2026-11</t>
        </is>
      </c>
      <c r="B216" t="inlineStr">
        <is>
          <t>COPRPM</t>
        </is>
      </c>
      <c r="C216" t="inlineStr">
        <is>
          <t>2026-11</t>
        </is>
      </c>
      <c r="D216" t="inlineStr">
        <is>
          <t>6.868104866</t>
        </is>
      </c>
      <c r="E216" t="inlineStr">
        <is>
          <t>Crude Oil Production: Permian</t>
        </is>
      </c>
      <c r="F216" t="inlineStr">
        <is>
          <t>million barrels per day</t>
        </is>
      </c>
    </row>
    <row r="217">
      <c r="A217" t="inlineStr">
        <is>
          <t>COPRPM|2026-12</t>
        </is>
      </c>
      <c r="B217" t="inlineStr">
        <is>
          <t>COPRPM</t>
        </is>
      </c>
      <c r="C217" t="inlineStr">
        <is>
          <t>2026-12</t>
        </is>
      </c>
      <c r="D217" t="inlineStr">
        <is>
          <t>6.887998863</t>
        </is>
      </c>
      <c r="E217" t="inlineStr">
        <is>
          <t>Crude Oil Production: Permian</t>
        </is>
      </c>
      <c r="F217" t="inlineStr">
        <is>
          <t>million barrels per day</t>
        </is>
      </c>
    </row>
    <row r="218">
      <c r="A218" t="inlineStr">
        <is>
          <t>COPRPM|2027-01</t>
        </is>
      </c>
      <c r="B218" t="inlineStr">
        <is>
          <t>COPRPM</t>
        </is>
      </c>
      <c r="C218" t="inlineStr">
        <is>
          <t>2027-01</t>
        </is>
      </c>
      <c r="D218" t="inlineStr">
        <is>
          <t>6.869544268</t>
        </is>
      </c>
      <c r="E218" t="inlineStr">
        <is>
          <t>Crude Oil Production: Permian</t>
        </is>
      </c>
      <c r="F218" t="inlineStr">
        <is>
          <t>million barrels per day</t>
        </is>
      </c>
    </row>
    <row r="219">
      <c r="A219" t="inlineStr">
        <is>
          <t>COPRPM|2027-02</t>
        </is>
      </c>
      <c r="B219" t="inlineStr">
        <is>
          <t>COPRPM</t>
        </is>
      </c>
      <c r="C219" t="inlineStr">
        <is>
          <t>2027-02</t>
        </is>
      </c>
      <c r="D219" t="inlineStr">
        <is>
          <t>6.95544268</t>
        </is>
      </c>
      <c r="E219" t="inlineStr">
        <is>
          <t>Crude Oil Production: Permian</t>
        </is>
      </c>
      <c r="F219" t="inlineStr">
        <is>
          <t>million barrels per day</t>
        </is>
      </c>
    </row>
    <row r="220">
      <c r="A220" t="inlineStr">
        <is>
          <t>COPRPM|2027-03</t>
        </is>
      </c>
      <c r="B220" t="inlineStr">
        <is>
          <t>COPRPM</t>
        </is>
      </c>
      <c r="C220" t="inlineStr">
        <is>
          <t>2027-03</t>
        </is>
      </c>
      <c r="D220" t="inlineStr">
        <is>
          <t>7.00091871</t>
        </is>
      </c>
      <c r="E220" t="inlineStr">
        <is>
          <t>Crude Oil Production: Permian</t>
        </is>
      </c>
      <c r="F220" t="inlineStr">
        <is>
          <t>million barrels per day</t>
        </is>
      </c>
    </row>
    <row r="221">
      <c r="A221" t="inlineStr">
        <is>
          <t>COPRPM|2027-04</t>
        </is>
      </c>
      <c r="B221" t="inlineStr">
        <is>
          <t>COPRPM</t>
        </is>
      </c>
      <c r="C221" t="inlineStr">
        <is>
          <t>2027-04</t>
        </is>
      </c>
      <c r="D221" t="inlineStr">
        <is>
          <t>7.03583526</t>
        </is>
      </c>
      <c r="E221" t="inlineStr">
        <is>
          <t>Crude Oil Production: Permian</t>
        </is>
      </c>
      <c r="F221" t="inlineStr">
        <is>
          <t>million barrels per day</t>
        </is>
      </c>
    </row>
    <row r="222">
      <c r="A222" t="inlineStr">
        <is>
          <t>COPRPM|2027-05</t>
        </is>
      </c>
      <c r="B222" t="inlineStr">
        <is>
          <t>COPRPM</t>
        </is>
      </c>
      <c r="C222" t="inlineStr">
        <is>
          <t>2027-05</t>
        </is>
      </c>
      <c r="D222" t="inlineStr">
        <is>
          <t>7.070569161</t>
        </is>
      </c>
      <c r="E222" t="inlineStr">
        <is>
          <t>Crude Oil Production: Permian</t>
        </is>
      </c>
      <c r="F222" t="inlineStr">
        <is>
          <t>million barrels per day</t>
        </is>
      </c>
    </row>
    <row r="223">
      <c r="A223" t="inlineStr">
        <is>
          <t>COPRPM|2027-06</t>
        </is>
      </c>
      <c r="B223" t="inlineStr">
        <is>
          <t>COPRPM</t>
        </is>
      </c>
      <c r="C223" t="inlineStr">
        <is>
          <t>2027-06</t>
        </is>
      </c>
      <c r="D223" t="inlineStr">
        <is>
          <t>7.103520228</t>
        </is>
      </c>
      <c r="E223" t="inlineStr">
        <is>
          <t>Crude Oil Production: Permian</t>
        </is>
      </c>
      <c r="F223" t="inlineStr">
        <is>
          <t>million barrels per day</t>
        </is>
      </c>
    </row>
    <row r="224">
      <c r="A224" t="inlineStr">
        <is>
          <t>COPRPM|2027-07</t>
        </is>
      </c>
      <c r="B224" t="inlineStr">
        <is>
          <t>COPRPM</t>
        </is>
      </c>
      <c r="C224" t="inlineStr">
        <is>
          <t>2027-07</t>
        </is>
      </c>
      <c r="D224" t="inlineStr">
        <is>
          <t>7.134023137</t>
        </is>
      </c>
      <c r="E224" t="inlineStr">
        <is>
          <t>Crude Oil Production: Permian</t>
        </is>
      </c>
      <c r="F224" t="inlineStr">
        <is>
          <t>million barrels per day</t>
        </is>
      </c>
    </row>
    <row r="225">
      <c r="A225" t="inlineStr">
        <is>
          <t>COPRPM|2027-08</t>
        </is>
      </c>
      <c r="B225" t="inlineStr">
        <is>
          <t>COPRPM</t>
        </is>
      </c>
      <c r="C225" t="inlineStr">
        <is>
          <t>2027-08</t>
        </is>
      </c>
      <c r="D225" t="inlineStr">
        <is>
          <t>7.161545921</t>
        </is>
      </c>
      <c r="E225" t="inlineStr">
        <is>
          <t>Crude Oil Production: Permian</t>
        </is>
      </c>
      <c r="F225" t="inlineStr">
        <is>
          <t>million barrels per day</t>
        </is>
      </c>
    </row>
    <row r="226">
      <c r="A226" t="inlineStr">
        <is>
          <t>COPRPM|2027-09</t>
        </is>
      </c>
      <c r="B226" t="inlineStr">
        <is>
          <t>COPRPM</t>
        </is>
      </c>
      <c r="C226" t="inlineStr">
        <is>
          <t>2027-09</t>
        </is>
      </c>
      <c r="D226" t="inlineStr">
        <is>
          <t>7.186272942</t>
        </is>
      </c>
      <c r="E226" t="inlineStr">
        <is>
          <t>Crude Oil Production: Permian</t>
        </is>
      </c>
      <c r="F226" t="inlineStr">
        <is>
          <t>million barrels per day</t>
        </is>
      </c>
    </row>
    <row r="227">
      <c r="A227" t="inlineStr">
        <is>
          <t>COPRPM|2027-10</t>
        </is>
      </c>
      <c r="B227" t="inlineStr">
        <is>
          <t>COPRPM</t>
        </is>
      </c>
      <c r="C227" t="inlineStr">
        <is>
          <t>2027-10</t>
        </is>
      </c>
      <c r="D227" t="inlineStr">
        <is>
          <t>7.207899359</t>
        </is>
      </c>
      <c r="E227" t="inlineStr">
        <is>
          <t>Crude Oil Production: Permian</t>
        </is>
      </c>
      <c r="F227" t="inlineStr">
        <is>
          <t>million barrels per day</t>
        </is>
      </c>
    </row>
    <row r="228">
      <c r="A228" t="inlineStr">
        <is>
          <t>COPRPM|2027-11</t>
        </is>
      </c>
      <c r="B228" t="inlineStr">
        <is>
          <t>COPRPM</t>
        </is>
      </c>
      <c r="C228" t="inlineStr">
        <is>
          <t>2027-11</t>
        </is>
      </c>
      <c r="D228" t="inlineStr">
        <is>
          <t>7.224091995</t>
        </is>
      </c>
      <c r="E228" t="inlineStr">
        <is>
          <t>Crude Oil Production: Permian</t>
        </is>
      </c>
      <c r="F228" t="inlineStr">
        <is>
          <t>million barrels per day</t>
        </is>
      </c>
    </row>
    <row r="229">
      <c r="A229" t="inlineStr">
        <is>
          <t>COPRPM|2027-12</t>
        </is>
      </c>
      <c r="B229" t="inlineStr">
        <is>
          <t>COPRPM</t>
        </is>
      </c>
      <c r="C229" t="inlineStr">
        <is>
          <t>2027-12</t>
        </is>
      </c>
      <c r="D229" t="inlineStr">
        <is>
          <t>7.235838597</t>
        </is>
      </c>
      <c r="E229" t="inlineStr">
        <is>
          <t>Crude Oil Production: Permian</t>
        </is>
      </c>
      <c r="F229" t="inlineStr">
        <is>
          <t>million barrels per day</t>
        </is>
      </c>
    </row>
    <row r="230">
      <c r="A230" t="inlineStr">
        <is>
          <t>COPRR48|2025-01</t>
        </is>
      </c>
      <c r="B230" t="inlineStr">
        <is>
          <t>COPRR48</t>
        </is>
      </c>
      <c r="C230" t="inlineStr">
        <is>
          <t>2025-01</t>
        </is>
      </c>
      <c r="D230" t="inlineStr">
        <is>
          <t>2.100925588</t>
        </is>
      </c>
      <c r="E230" t="inlineStr">
        <is>
          <t>Crude Oil Production: Rest of Lower 48 States</t>
        </is>
      </c>
      <c r="F230" t="inlineStr">
        <is>
          <t>million barrels per day</t>
        </is>
      </c>
    </row>
    <row r="231">
      <c r="A231" t="inlineStr">
        <is>
          <t>COPRR48|2025-02</t>
        </is>
      </c>
      <c r="B231" t="inlineStr">
        <is>
          <t>COPRR48</t>
        </is>
      </c>
      <c r="C231" t="inlineStr">
        <is>
          <t>2025-02</t>
        </is>
      </c>
      <c r="D231" t="inlineStr">
        <is>
          <t>2.104028222</t>
        </is>
      </c>
      <c r="E231" t="inlineStr">
        <is>
          <t>Crude Oil Production: Rest of Lower 48 States</t>
        </is>
      </c>
      <c r="F231" t="inlineStr">
        <is>
          <t>million barrels per day</t>
        </is>
      </c>
    </row>
    <row r="232">
      <c r="A232" t="inlineStr">
        <is>
          <t>COPRR48|2025-03</t>
        </is>
      </c>
      <c r="B232" t="inlineStr">
        <is>
          <t>COPRR48</t>
        </is>
      </c>
      <c r="C232" t="inlineStr">
        <is>
          <t>2025-03</t>
        </is>
      </c>
      <c r="D232" t="inlineStr">
        <is>
          <t>2.146079646</t>
        </is>
      </c>
      <c r="E232" t="inlineStr">
        <is>
          <t>Crude Oil Production: Rest of Lower 48 States</t>
        </is>
      </c>
      <c r="F232" t="inlineStr">
        <is>
          <t>million barrels per day</t>
        </is>
      </c>
    </row>
    <row r="233">
      <c r="A233" t="inlineStr">
        <is>
          <t>COPRR48|2025-04</t>
        </is>
      </c>
      <c r="B233" t="inlineStr">
        <is>
          <t>COPRR48</t>
        </is>
      </c>
      <c r="C233" t="inlineStr">
        <is>
          <t>2025-04</t>
        </is>
      </c>
      <c r="D233" t="inlineStr">
        <is>
          <t>2.134423295</t>
        </is>
      </c>
      <c r="E233" t="inlineStr">
        <is>
          <t>Crude Oil Production: Rest of Lower 48 States</t>
        </is>
      </c>
      <c r="F233" t="inlineStr">
        <is>
          <t>million barrels per day</t>
        </is>
      </c>
    </row>
    <row r="234">
      <c r="A234" t="inlineStr">
        <is>
          <t>COPRR48|2025-05</t>
        </is>
      </c>
      <c r="B234" t="inlineStr">
        <is>
          <t>COPRR48</t>
        </is>
      </c>
      <c r="C234" t="inlineStr">
        <is>
          <t>2025-05</t>
        </is>
      </c>
      <c r="D234" t="inlineStr">
        <is>
          <t>2.14459247</t>
        </is>
      </c>
      <c r="E234" t="inlineStr">
        <is>
          <t>Crude Oil Production: Rest of Lower 48 States</t>
        </is>
      </c>
      <c r="F234" t="inlineStr">
        <is>
          <t>million barrels per day</t>
        </is>
      </c>
    </row>
    <row r="235">
      <c r="A235" t="inlineStr">
        <is>
          <t>COPRR48|2025-06</t>
        </is>
      </c>
      <c r="B235" t="inlineStr">
        <is>
          <t>COPRR48</t>
        </is>
      </c>
      <c r="C235" t="inlineStr">
        <is>
          <t>2025-06</t>
        </is>
      </c>
      <c r="D235" t="inlineStr">
        <is>
          <t>2.133601282</t>
        </is>
      </c>
      <c r="E235" t="inlineStr">
        <is>
          <t>Crude Oil Production: Rest of Lower 48 States</t>
        </is>
      </c>
      <c r="F235" t="inlineStr">
        <is>
          <t>million barrels per day</t>
        </is>
      </c>
    </row>
    <row r="236">
      <c r="A236" t="inlineStr">
        <is>
          <t>COPRR48|2025-07</t>
        </is>
      </c>
      <c r="B236" t="inlineStr">
        <is>
          <t>COPRR48</t>
        </is>
      </c>
      <c r="C236" t="inlineStr">
        <is>
          <t>2025-07</t>
        </is>
      </c>
      <c r="D236" t="inlineStr">
        <is>
          <t>2.115039397</t>
        </is>
      </c>
      <c r="E236" t="inlineStr">
        <is>
          <t>Crude Oil Production: Rest of Lower 48 States</t>
        </is>
      </c>
      <c r="F236" t="inlineStr">
        <is>
          <t>million barrels per day</t>
        </is>
      </c>
    </row>
    <row r="237">
      <c r="A237" t="inlineStr">
        <is>
          <t>COPRR48|2025-08</t>
        </is>
      </c>
      <c r="B237" t="inlineStr">
        <is>
          <t>COPRR48</t>
        </is>
      </c>
      <c r="C237" t="inlineStr">
        <is>
          <t>2025-08</t>
        </is>
      </c>
      <c r="D237" t="inlineStr">
        <is>
          <t>2.102938156</t>
        </is>
      </c>
      <c r="E237" t="inlineStr">
        <is>
          <t>Crude Oil Production: Rest of Lower 48 States</t>
        </is>
      </c>
      <c r="F237" t="inlineStr">
        <is>
          <t>million barrels per day</t>
        </is>
      </c>
    </row>
    <row r="238">
      <c r="A238" t="inlineStr">
        <is>
          <t>COPRR48|2025-09</t>
        </is>
      </c>
      <c r="B238" t="inlineStr">
        <is>
          <t>COPRR48</t>
        </is>
      </c>
      <c r="C238" t="inlineStr">
        <is>
          <t>2025-09</t>
        </is>
      </c>
      <c r="D238" t="inlineStr">
        <is>
          <t>2.111183215</t>
        </is>
      </c>
      <c r="E238" t="inlineStr">
        <is>
          <t>Crude Oil Production: Rest of Lower 48 States</t>
        </is>
      </c>
      <c r="F238" t="inlineStr">
        <is>
          <t>million barrels per day</t>
        </is>
      </c>
    </row>
    <row r="239">
      <c r="A239" t="inlineStr">
        <is>
          <t>COPRR48|2025-10</t>
        </is>
      </c>
      <c r="B239" t="inlineStr">
        <is>
          <t>COPRR48</t>
        </is>
      </c>
      <c r="C239" t="inlineStr">
        <is>
          <t>2025-10</t>
        </is>
      </c>
      <c r="D239" t="inlineStr">
        <is>
          <t>2.106149357</t>
        </is>
      </c>
      <c r="E239" t="inlineStr">
        <is>
          <t>Crude Oil Production: Rest of Lower 48 States</t>
        </is>
      </c>
      <c r="F239" t="inlineStr">
        <is>
          <t>million barrels per day</t>
        </is>
      </c>
    </row>
    <row r="240">
      <c r="A240" t="inlineStr">
        <is>
          <t>COPRR48|2025-11</t>
        </is>
      </c>
      <c r="B240" t="inlineStr">
        <is>
          <t>COPRR48</t>
        </is>
      </c>
      <c r="C240" t="inlineStr">
        <is>
          <t>2025-11</t>
        </is>
      </c>
      <c r="D240" t="inlineStr">
        <is>
          <t>2.059945</t>
        </is>
      </c>
      <c r="E240" t="inlineStr">
        <is>
          <t>Crude Oil Production: Rest of Lower 48 States</t>
        </is>
      </c>
      <c r="F240" t="inlineStr">
        <is>
          <t>million barrels per day</t>
        </is>
      </c>
    </row>
    <row r="241">
      <c r="A241" t="inlineStr">
        <is>
          <t>COPRR48|2025-12</t>
        </is>
      </c>
      <c r="B241" t="inlineStr">
        <is>
          <t>COPRR48</t>
        </is>
      </c>
      <c r="C241" t="inlineStr">
        <is>
          <t>2025-12</t>
        </is>
      </c>
      <c r="D241" t="inlineStr">
        <is>
          <t>2.069296177</t>
        </is>
      </c>
      <c r="E241" t="inlineStr">
        <is>
          <t>Crude Oil Production: Rest of Lower 48 States</t>
        </is>
      </c>
      <c r="F241" t="inlineStr">
        <is>
          <t>million barrels per day</t>
        </is>
      </c>
    </row>
    <row r="242">
      <c r="A242" t="inlineStr">
        <is>
          <t>COPRR48|2026-01</t>
        </is>
      </c>
      <c r="B242" t="inlineStr">
        <is>
          <t>COPRR48</t>
        </is>
      </c>
      <c r="C242" t="inlineStr">
        <is>
          <t>2026-01</t>
        </is>
      </c>
      <c r="D242" t="inlineStr">
        <is>
          <t>1.93498244</t>
        </is>
      </c>
      <c r="E242" t="inlineStr">
        <is>
          <t>Crude Oil Production: Rest of Lower 48 States</t>
        </is>
      </c>
      <c r="F242" t="inlineStr">
        <is>
          <t>million barrels per day</t>
        </is>
      </c>
    </row>
    <row r="243">
      <c r="A243" t="inlineStr">
        <is>
          <t>COPRR48|2026-02</t>
        </is>
      </c>
      <c r="B243" t="inlineStr">
        <is>
          <t>COPRR48</t>
        </is>
      </c>
      <c r="C243" t="inlineStr">
        <is>
          <t>2026-02</t>
        </is>
      </c>
      <c r="D243" t="inlineStr">
        <is>
          <t>2.015148931</t>
        </is>
      </c>
      <c r="E243" t="inlineStr">
        <is>
          <t>Crude Oil Production: Rest of Lower 48 States</t>
        </is>
      </c>
      <c r="F243" t="inlineStr">
        <is>
          <t>million barrels per day</t>
        </is>
      </c>
    </row>
    <row r="244">
      <c r="A244" t="inlineStr">
        <is>
          <t>COPRR48|2026-03</t>
        </is>
      </c>
      <c r="B244" t="inlineStr">
        <is>
          <t>COPRR48</t>
        </is>
      </c>
      <c r="C244" t="inlineStr">
        <is>
          <t>2026-03</t>
        </is>
      </c>
      <c r="D244" t="inlineStr">
        <is>
          <t>2.044020023</t>
        </is>
      </c>
      <c r="E244" t="inlineStr">
        <is>
          <t>Crude Oil Production: Rest of Lower 48 States</t>
        </is>
      </c>
      <c r="F244" t="inlineStr">
        <is>
          <t>million barrels per day</t>
        </is>
      </c>
    </row>
    <row r="245">
      <c r="A245" t="inlineStr">
        <is>
          <t>COPRR48|2026-04</t>
        </is>
      </c>
      <c r="B245" t="inlineStr">
        <is>
          <t>COPRR48</t>
        </is>
      </c>
      <c r="C245" t="inlineStr">
        <is>
          <t>2026-04</t>
        </is>
      </c>
      <c r="D245" t="inlineStr">
        <is>
          <t>2.038198542</t>
        </is>
      </c>
      <c r="E245" t="inlineStr">
        <is>
          <t>Crude Oil Production: Rest of Lower 48 States</t>
        </is>
      </c>
      <c r="F245" t="inlineStr">
        <is>
          <t>million barrels per day</t>
        </is>
      </c>
    </row>
    <row r="246">
      <c r="A246" t="inlineStr">
        <is>
          <t>COPRR48|2026-05</t>
        </is>
      </c>
      <c r="B246" t="inlineStr">
        <is>
          <t>COPRR48</t>
        </is>
      </c>
      <c r="C246" t="inlineStr">
        <is>
          <t>2026-05</t>
        </is>
      </c>
      <c r="D246" t="inlineStr">
        <is>
          <t>2.053961293</t>
        </is>
      </c>
      <c r="E246" t="inlineStr">
        <is>
          <t>Crude Oil Production: Rest of Lower 48 States</t>
        </is>
      </c>
      <c r="F246" t="inlineStr">
        <is>
          <t>million barrels per day</t>
        </is>
      </c>
    </row>
    <row r="247">
      <c r="A247" t="inlineStr">
        <is>
          <t>COPRR48|2026-06</t>
        </is>
      </c>
      <c r="B247" t="inlineStr">
        <is>
          <t>COPRR48</t>
        </is>
      </c>
      <c r="C247" t="inlineStr">
        <is>
          <t>2026-06</t>
        </is>
      </c>
      <c r="D247" t="inlineStr">
        <is>
          <t>2.064534225</t>
        </is>
      </c>
      <c r="E247" t="inlineStr">
        <is>
          <t>Crude Oil Production: Rest of Lower 48 States</t>
        </is>
      </c>
      <c r="F247" t="inlineStr">
        <is>
          <t>million barrels per day</t>
        </is>
      </c>
    </row>
    <row r="248">
      <c r="A248" t="inlineStr">
        <is>
          <t>COPRR48|2026-07</t>
        </is>
      </c>
      <c r="B248" t="inlineStr">
        <is>
          <t>COPRR48</t>
        </is>
      </c>
      <c r="C248" t="inlineStr">
        <is>
          <t>2026-07</t>
        </is>
      </c>
      <c r="D248" t="inlineStr">
        <is>
          <t>2.051606963</t>
        </is>
      </c>
      <c r="E248" t="inlineStr">
        <is>
          <t>Crude Oil Production: Rest of Lower 48 States</t>
        </is>
      </c>
      <c r="F248" t="inlineStr">
        <is>
          <t>million barrels per day</t>
        </is>
      </c>
    </row>
    <row r="249">
      <c r="A249" t="inlineStr">
        <is>
          <t>COPRR48|2026-08</t>
        </is>
      </c>
      <c r="B249" t="inlineStr">
        <is>
          <t>COPRR48</t>
        </is>
      </c>
      <c r="C249" t="inlineStr">
        <is>
          <t>2026-08</t>
        </is>
      </c>
      <c r="D249" t="inlineStr">
        <is>
          <t>2.051983053</t>
        </is>
      </c>
      <c r="E249" t="inlineStr">
        <is>
          <t>Crude Oil Production: Rest of Lower 48 States</t>
        </is>
      </c>
      <c r="F249" t="inlineStr">
        <is>
          <t>million barrels per day</t>
        </is>
      </c>
    </row>
    <row r="250">
      <c r="A250" t="inlineStr">
        <is>
          <t>COPRR48|2026-09</t>
        </is>
      </c>
      <c r="B250" t="inlineStr">
        <is>
          <t>COPRR48</t>
        </is>
      </c>
      <c r="C250" t="inlineStr">
        <is>
          <t>2026-09</t>
        </is>
      </c>
      <c r="D250" t="inlineStr">
        <is>
          <t>2.053792004</t>
        </is>
      </c>
      <c r="E250" t="inlineStr">
        <is>
          <t>Crude Oil Production: Rest of Lower 48 States</t>
        </is>
      </c>
      <c r="F250" t="inlineStr">
        <is>
          <t>million barrels per day</t>
        </is>
      </c>
    </row>
    <row r="251">
      <c r="A251" t="inlineStr">
        <is>
          <t>COPRR48|2026-10</t>
        </is>
      </c>
      <c r="B251" t="inlineStr">
        <is>
          <t>COPRR48</t>
        </is>
      </c>
      <c r="C251" t="inlineStr">
        <is>
          <t>2026-10</t>
        </is>
      </c>
      <c r="D251" t="inlineStr">
        <is>
          <t>2.049007319</t>
        </is>
      </c>
      <c r="E251" t="inlineStr">
        <is>
          <t>Crude Oil Production: Rest of Lower 48 States</t>
        </is>
      </c>
      <c r="F251" t="inlineStr">
        <is>
          <t>million barrels per day</t>
        </is>
      </c>
    </row>
    <row r="252">
      <c r="A252" t="inlineStr">
        <is>
          <t>COPRR48|2026-11</t>
        </is>
      </c>
      <c r="B252" t="inlineStr">
        <is>
          <t>COPRR48</t>
        </is>
      </c>
      <c r="C252" t="inlineStr">
        <is>
          <t>2026-11</t>
        </is>
      </c>
      <c r="D252" t="inlineStr">
        <is>
          <t>2.049220391</t>
        </is>
      </c>
      <c r="E252" t="inlineStr">
        <is>
          <t>Crude Oil Production: Rest of Lower 48 States</t>
        </is>
      </c>
      <c r="F252" t="inlineStr">
        <is>
          <t>million barrels per day</t>
        </is>
      </c>
    </row>
    <row r="253">
      <c r="A253" t="inlineStr">
        <is>
          <t>COPRR48|2026-12</t>
        </is>
      </c>
      <c r="B253" t="inlineStr">
        <is>
          <t>COPRR48</t>
        </is>
      </c>
      <c r="C253" t="inlineStr">
        <is>
          <t>2026-12</t>
        </is>
      </c>
      <c r="D253" t="inlineStr">
        <is>
          <t>2.060530929</t>
        </is>
      </c>
      <c r="E253" t="inlineStr">
        <is>
          <t>Crude Oil Production: Rest of Lower 48 States</t>
        </is>
      </c>
      <c r="F253" t="inlineStr">
        <is>
          <t>million barrels per day</t>
        </is>
      </c>
    </row>
    <row r="254">
      <c r="A254" t="inlineStr">
        <is>
          <t>COPRR48|2027-01</t>
        </is>
      </c>
      <c r="B254" t="inlineStr">
        <is>
          <t>COPRR48</t>
        </is>
      </c>
      <c r="C254" t="inlineStr">
        <is>
          <t>2027-01</t>
        </is>
      </c>
      <c r="D254" t="inlineStr">
        <is>
          <t>2.057326755</t>
        </is>
      </c>
      <c r="E254" t="inlineStr">
        <is>
          <t>Crude Oil Production: Rest of Lower 48 States</t>
        </is>
      </c>
      <c r="F254" t="inlineStr">
        <is>
          <t>million barrels per day</t>
        </is>
      </c>
    </row>
    <row r="255">
      <c r="A255" t="inlineStr">
        <is>
          <t>COPRR48|2027-02</t>
        </is>
      </c>
      <c r="B255" t="inlineStr">
        <is>
          <t>COPRR48</t>
        </is>
      </c>
      <c r="C255" t="inlineStr">
        <is>
          <t>2027-02</t>
        </is>
      </c>
      <c r="D255" t="inlineStr">
        <is>
          <t>2.06993581</t>
        </is>
      </c>
      <c r="E255" t="inlineStr">
        <is>
          <t>Crude Oil Production: Rest of Lower 48 States</t>
        </is>
      </c>
      <c r="F255" t="inlineStr">
        <is>
          <t>million barrels per day</t>
        </is>
      </c>
    </row>
    <row r="256">
      <c r="A256" t="inlineStr">
        <is>
          <t>COPRR48|2027-03</t>
        </is>
      </c>
      <c r="B256" t="inlineStr">
        <is>
          <t>COPRR48</t>
        </is>
      </c>
      <c r="C256" t="inlineStr">
        <is>
          <t>2027-03</t>
        </is>
      </c>
      <c r="D256" t="inlineStr">
        <is>
          <t>2.082114472</t>
        </is>
      </c>
      <c r="E256" t="inlineStr">
        <is>
          <t>Crude Oil Production: Rest of Lower 48 States</t>
        </is>
      </c>
      <c r="F256" t="inlineStr">
        <is>
          <t>million barrels per day</t>
        </is>
      </c>
    </row>
    <row r="257">
      <c r="A257" t="inlineStr">
        <is>
          <t>COPRR48|2027-04</t>
        </is>
      </c>
      <c r="B257" t="inlineStr">
        <is>
          <t>COPRR48</t>
        </is>
      </c>
      <c r="C257" t="inlineStr">
        <is>
          <t>2027-04</t>
        </is>
      </c>
      <c r="D257" t="inlineStr">
        <is>
          <t>2.094164006</t>
        </is>
      </c>
      <c r="E257" t="inlineStr">
        <is>
          <t>Crude Oil Production: Rest of Lower 48 States</t>
        </is>
      </c>
      <c r="F257" t="inlineStr">
        <is>
          <t>million barrels per day</t>
        </is>
      </c>
    </row>
    <row r="258">
      <c r="A258" t="inlineStr">
        <is>
          <t>COPRR48|2027-05</t>
        </is>
      </c>
      <c r="B258" t="inlineStr">
        <is>
          <t>COPRR48</t>
        </is>
      </c>
      <c r="C258" t="inlineStr">
        <is>
          <t>2027-05</t>
        </is>
      </c>
      <c r="D258" t="inlineStr">
        <is>
          <t>2.10596423</t>
        </is>
      </c>
      <c r="E258" t="inlineStr">
        <is>
          <t>Crude Oil Production: Rest of Lower 48 States</t>
        </is>
      </c>
      <c r="F258" t="inlineStr">
        <is>
          <t>million barrels per day</t>
        </is>
      </c>
    </row>
    <row r="259">
      <c r="A259" t="inlineStr">
        <is>
          <t>COPRR48|2027-06</t>
        </is>
      </c>
      <c r="B259" t="inlineStr">
        <is>
          <t>COPRR48</t>
        </is>
      </c>
      <c r="C259" t="inlineStr">
        <is>
          <t>2027-06</t>
        </is>
      </c>
      <c r="D259" t="inlineStr">
        <is>
          <t>2.116659087</t>
        </is>
      </c>
      <c r="E259" t="inlineStr">
        <is>
          <t>Crude Oil Production: Rest of Lower 48 States</t>
        </is>
      </c>
      <c r="F259" t="inlineStr">
        <is>
          <t>million barrels per day</t>
        </is>
      </c>
    </row>
    <row r="260">
      <c r="A260" t="inlineStr">
        <is>
          <t>COPRR48|2027-07</t>
        </is>
      </c>
      <c r="B260" t="inlineStr">
        <is>
          <t>COPRR48</t>
        </is>
      </c>
      <c r="C260" t="inlineStr">
        <is>
          <t>2027-07</t>
        </is>
      </c>
      <c r="D260" t="inlineStr">
        <is>
          <t>2.126379596</t>
        </is>
      </c>
      <c r="E260" t="inlineStr">
        <is>
          <t>Crude Oil Production: Rest of Lower 48 States</t>
        </is>
      </c>
      <c r="F260" t="inlineStr">
        <is>
          <t>million barrels per day</t>
        </is>
      </c>
    </row>
    <row r="261">
      <c r="A261" t="inlineStr">
        <is>
          <t>COPRR48|2027-08</t>
        </is>
      </c>
      <c r="B261" t="inlineStr">
        <is>
          <t>COPRR48</t>
        </is>
      </c>
      <c r="C261" t="inlineStr">
        <is>
          <t>2027-08</t>
        </is>
      </c>
      <c r="D261" t="inlineStr">
        <is>
          <t>2.135590934</t>
        </is>
      </c>
      <c r="E261" t="inlineStr">
        <is>
          <t>Crude Oil Production: Rest of Lower 48 States</t>
        </is>
      </c>
      <c r="F261" t="inlineStr">
        <is>
          <t>million barrels per day</t>
        </is>
      </c>
    </row>
    <row r="262">
      <c r="A262" t="inlineStr">
        <is>
          <t>COPRR48|2027-09</t>
        </is>
      </c>
      <c r="B262" t="inlineStr">
        <is>
          <t>COPRR48</t>
        </is>
      </c>
      <c r="C262" t="inlineStr">
        <is>
          <t>2027-09</t>
        </is>
      </c>
      <c r="D262" t="inlineStr">
        <is>
          <t>2.144140539</t>
        </is>
      </c>
      <c r="E262" t="inlineStr">
        <is>
          <t>Crude Oil Production: Rest of Lower 48 States</t>
        </is>
      </c>
      <c r="F262" t="inlineStr">
        <is>
          <t>million barrels per day</t>
        </is>
      </c>
    </row>
    <row r="263">
      <c r="A263" t="inlineStr">
        <is>
          <t>COPRR48|2027-10</t>
        </is>
      </c>
      <c r="B263" t="inlineStr">
        <is>
          <t>COPRR48</t>
        </is>
      </c>
      <c r="C263" t="inlineStr">
        <is>
          <t>2027-10</t>
        </is>
      </c>
      <c r="D263" t="inlineStr">
        <is>
          <t>2.150780121</t>
        </is>
      </c>
      <c r="E263" t="inlineStr">
        <is>
          <t>Crude Oil Production: Rest of Lower 48 States</t>
        </is>
      </c>
      <c r="F263" t="inlineStr">
        <is>
          <t>million barrels per day</t>
        </is>
      </c>
    </row>
    <row r="264">
      <c r="A264" t="inlineStr">
        <is>
          <t>COPRR48|2027-11</t>
        </is>
      </c>
      <c r="B264" t="inlineStr">
        <is>
          <t>COPRR48</t>
        </is>
      </c>
      <c r="C264" t="inlineStr">
        <is>
          <t>2027-11</t>
        </is>
      </c>
      <c r="D264" t="inlineStr">
        <is>
          <t>2.155350812</t>
        </is>
      </c>
      <c r="E264" t="inlineStr">
        <is>
          <t>Crude Oil Production: Rest of Lower 48 States</t>
        </is>
      </c>
      <c r="F264" t="inlineStr">
        <is>
          <t>million barrels per day</t>
        </is>
      </c>
    </row>
    <row r="265">
      <c r="A265" t="inlineStr">
        <is>
          <t>COPRR48|2027-12</t>
        </is>
      </c>
      <c r="B265" t="inlineStr">
        <is>
          <t>COPRR48</t>
        </is>
      </c>
      <c r="C265" t="inlineStr">
        <is>
          <t>2027-12</t>
        </is>
      </c>
      <c r="D265" t="inlineStr">
        <is>
          <t>2.15894052</t>
        </is>
      </c>
      <c r="E265" t="inlineStr">
        <is>
          <t>Crude Oil Production: Rest of Lower 48 States</t>
        </is>
      </c>
      <c r="F265" t="inlineStr">
        <is>
          <t>million barrels per day</t>
        </is>
      </c>
    </row>
    <row r="266">
      <c r="A266" t="inlineStr">
        <is>
          <t>NWCBK|2025-01</t>
        </is>
      </c>
      <c r="B266" t="inlineStr">
        <is>
          <t>NWCBK</t>
        </is>
      </c>
      <c r="C266" t="inlineStr">
        <is>
          <t>2025-01</t>
        </is>
      </c>
      <c r="D266" t="inlineStr">
        <is>
          <t>40</t>
        </is>
      </c>
      <c r="E266" t="inlineStr">
        <is>
          <t>Bakken New Wells Completed</t>
        </is>
      </c>
    </row>
    <row r="267">
      <c r="A267" t="inlineStr">
        <is>
          <t>NWCBK|2025-02</t>
        </is>
      </c>
      <c r="B267" t="inlineStr">
        <is>
          <t>NWCBK</t>
        </is>
      </c>
      <c r="C267" t="inlineStr">
        <is>
          <t>2025-02</t>
        </is>
      </c>
      <c r="D267" t="inlineStr">
        <is>
          <t>37</t>
        </is>
      </c>
      <c r="E267" t="inlineStr">
        <is>
          <t>Bakken New Wells Completed</t>
        </is>
      </c>
    </row>
    <row r="268">
      <c r="A268" t="inlineStr">
        <is>
          <t>NWCBK|2025-03</t>
        </is>
      </c>
      <c r="B268" t="inlineStr">
        <is>
          <t>NWCBK</t>
        </is>
      </c>
      <c r="C268" t="inlineStr">
        <is>
          <t>2025-03</t>
        </is>
      </c>
      <c r="D268" t="inlineStr">
        <is>
          <t>69</t>
        </is>
      </c>
      <c r="E268" t="inlineStr">
        <is>
          <t>Bakken New Wells Completed</t>
        </is>
      </c>
    </row>
    <row r="269">
      <c r="A269" t="inlineStr">
        <is>
          <t>NWCBK|2025-04</t>
        </is>
      </c>
      <c r="B269" t="inlineStr">
        <is>
          <t>NWCBK</t>
        </is>
      </c>
      <c r="C269" t="inlineStr">
        <is>
          <t>2025-04</t>
        </is>
      </c>
      <c r="D269" t="inlineStr">
        <is>
          <t>83</t>
        </is>
      </c>
      <c r="E269" t="inlineStr">
        <is>
          <t>Bakken New Wells Completed</t>
        </is>
      </c>
    </row>
    <row r="270">
      <c r="A270" t="inlineStr">
        <is>
          <t>NWCBK|2025-05</t>
        </is>
      </c>
      <c r="B270" t="inlineStr">
        <is>
          <t>NWCBK</t>
        </is>
      </c>
      <c r="C270" t="inlineStr">
        <is>
          <t>2025-05</t>
        </is>
      </c>
      <c r="D270" t="inlineStr">
        <is>
          <t>73</t>
        </is>
      </c>
      <c r="E270" t="inlineStr">
        <is>
          <t>Bakken New Wells Completed</t>
        </is>
      </c>
    </row>
    <row r="271">
      <c r="A271" t="inlineStr">
        <is>
          <t>NWCBK|2025-06</t>
        </is>
      </c>
      <c r="B271" t="inlineStr">
        <is>
          <t>NWCBK</t>
        </is>
      </c>
      <c r="C271" t="inlineStr">
        <is>
          <t>2025-06</t>
        </is>
      </c>
      <c r="D271" t="inlineStr">
        <is>
          <t>84</t>
        </is>
      </c>
      <c r="E271" t="inlineStr">
        <is>
          <t>Bakken New Wells Completed</t>
        </is>
      </c>
    </row>
    <row r="272">
      <c r="A272" t="inlineStr">
        <is>
          <t>NWCBK|2025-07</t>
        </is>
      </c>
      <c r="B272" t="inlineStr">
        <is>
          <t>NWCBK</t>
        </is>
      </c>
      <c r="C272" t="inlineStr">
        <is>
          <t>2025-07</t>
        </is>
      </c>
      <c r="D272" t="inlineStr">
        <is>
          <t>72</t>
        </is>
      </c>
      <c r="E272" t="inlineStr">
        <is>
          <t>Bakken New Wells Completed</t>
        </is>
      </c>
    </row>
    <row r="273">
      <c r="A273" t="inlineStr">
        <is>
          <t>NWCBK|2025-08</t>
        </is>
      </c>
      <c r="B273" t="inlineStr">
        <is>
          <t>NWCBK</t>
        </is>
      </c>
      <c r="C273" t="inlineStr">
        <is>
          <t>2025-08</t>
        </is>
      </c>
      <c r="D273" t="inlineStr">
        <is>
          <t>67</t>
        </is>
      </c>
      <c r="E273" t="inlineStr">
        <is>
          <t>Bakken New Wells Completed</t>
        </is>
      </c>
    </row>
    <row r="274">
      <c r="A274" t="inlineStr">
        <is>
          <t>NWCBK|2025-09</t>
        </is>
      </c>
      <c r="B274" t="inlineStr">
        <is>
          <t>NWCBK</t>
        </is>
      </c>
      <c r="C274" t="inlineStr">
        <is>
          <t>2025-09</t>
        </is>
      </c>
      <c r="D274" t="inlineStr">
        <is>
          <t>80</t>
        </is>
      </c>
      <c r="E274" t="inlineStr">
        <is>
          <t>Bakken New Wells Completed</t>
        </is>
      </c>
    </row>
    <row r="275">
      <c r="A275" t="inlineStr">
        <is>
          <t>NWCBK|2025-10</t>
        </is>
      </c>
      <c r="B275" t="inlineStr">
        <is>
          <t>NWCBK</t>
        </is>
      </c>
      <c r="C275" t="inlineStr">
        <is>
          <t>2025-10</t>
        </is>
      </c>
      <c r="D275" t="inlineStr">
        <is>
          <t>75</t>
        </is>
      </c>
      <c r="E275" t="inlineStr">
        <is>
          <t>Bakken New Wells Completed</t>
        </is>
      </c>
    </row>
    <row r="276">
      <c r="A276" t="inlineStr">
        <is>
          <t>NWCBK|2025-11</t>
        </is>
      </c>
      <c r="B276" t="inlineStr">
        <is>
          <t>NWCBK</t>
        </is>
      </c>
      <c r="C276" t="inlineStr">
        <is>
          <t>2025-11</t>
        </is>
      </c>
      <c r="D276" t="inlineStr">
        <is>
          <t>63</t>
        </is>
      </c>
      <c r="E276" t="inlineStr">
        <is>
          <t>Bakken New Wells Completed</t>
        </is>
      </c>
    </row>
    <row r="277">
      <c r="A277" t="inlineStr">
        <is>
          <t>NWCBK|2025-12</t>
        </is>
      </c>
      <c r="B277" t="inlineStr">
        <is>
          <t>NWCBK</t>
        </is>
      </c>
      <c r="C277" t="inlineStr">
        <is>
          <t>2025-12</t>
        </is>
      </c>
      <c r="D277" t="inlineStr">
        <is>
          <t>62</t>
        </is>
      </c>
      <c r="E277" t="inlineStr">
        <is>
          <t>Bakken New Wells Completed</t>
        </is>
      </c>
    </row>
    <row r="278">
      <c r="A278" t="inlineStr">
        <is>
          <t>NWCBK|2026-01</t>
        </is>
      </c>
      <c r="B278" t="inlineStr">
        <is>
          <t>NWCBK</t>
        </is>
      </c>
      <c r="C278" t="inlineStr">
        <is>
          <t>2026-01</t>
        </is>
      </c>
      <c r="D278" t="inlineStr">
        <is>
          <t>55</t>
        </is>
      </c>
      <c r="E278" t="inlineStr">
        <is>
          <t>Bakken New Wells Completed</t>
        </is>
      </c>
    </row>
    <row r="279">
      <c r="A279" t="inlineStr">
        <is>
          <t>NWCBK|2026-02</t>
        </is>
      </c>
      <c r="B279" t="inlineStr">
        <is>
          <t>NWCBK</t>
        </is>
      </c>
      <c r="C279" t="inlineStr">
        <is>
          <t>2026-02</t>
        </is>
      </c>
      <c r="D279" t="inlineStr">
        <is>
          <t>58</t>
        </is>
      </c>
      <c r="E279" t="inlineStr">
        <is>
          <t>Bakken New Wells Completed</t>
        </is>
      </c>
    </row>
    <row r="280">
      <c r="A280" t="inlineStr">
        <is>
          <t>NWCBK|2026-03</t>
        </is>
      </c>
      <c r="B280" t="inlineStr">
        <is>
          <t>NWCBK</t>
        </is>
      </c>
      <c r="C280" t="inlineStr">
        <is>
          <t>2026-03</t>
        </is>
      </c>
      <c r="D280" t="inlineStr">
        <is>
          <t>75</t>
        </is>
      </c>
      <c r="E280" t="inlineStr">
        <is>
          <t>Bakken New Wells Completed</t>
        </is>
      </c>
    </row>
    <row r="281">
      <c r="A281" t="inlineStr">
        <is>
          <t>NWCBK|2026-04</t>
        </is>
      </c>
      <c r="B281" t="inlineStr">
        <is>
          <t>NWCBK</t>
        </is>
      </c>
      <c r="C281" t="inlineStr">
        <is>
          <t>2026-04</t>
        </is>
      </c>
      <c r="D281" t="inlineStr">
        <is>
          <t>80</t>
        </is>
      </c>
      <c r="E281" t="inlineStr">
        <is>
          <t>Bakken New Wells Completed</t>
        </is>
      </c>
    </row>
    <row r="282">
      <c r="A282" t="inlineStr">
        <is>
          <t>NWCBK|2026-05</t>
        </is>
      </c>
      <c r="B282" t="inlineStr">
        <is>
          <t>NWCBK</t>
        </is>
      </c>
      <c r="C282" t="inlineStr">
        <is>
          <t>2026-05</t>
        </is>
      </c>
      <c r="D282" t="inlineStr">
        <is>
          <t>70</t>
        </is>
      </c>
      <c r="E282" t="inlineStr">
        <is>
          <t>Bakken New Wells Completed</t>
        </is>
      </c>
    </row>
    <row r="283">
      <c r="A283" t="inlineStr">
        <is>
          <t>NWCBK|2026-06</t>
        </is>
      </c>
      <c r="B283" t="inlineStr">
        <is>
          <t>NWCBK</t>
        </is>
      </c>
      <c r="C283" t="inlineStr">
        <is>
          <t>2026-06</t>
        </is>
      </c>
      <c r="D283" t="inlineStr">
        <is>
          <t>75</t>
        </is>
      </c>
      <c r="E283" t="inlineStr">
        <is>
          <t>Bakken New Wells Completed</t>
        </is>
      </c>
    </row>
    <row r="284">
      <c r="A284" t="inlineStr">
        <is>
          <t>NWCBK|2026-07</t>
        </is>
      </c>
      <c r="B284" t="inlineStr">
        <is>
          <t>NWCBK</t>
        </is>
      </c>
      <c r="C284" t="inlineStr">
        <is>
          <t>2026-07</t>
        </is>
      </c>
      <c r="D284" t="inlineStr">
        <is>
          <t>69</t>
        </is>
      </c>
      <c r="E284" t="inlineStr">
        <is>
          <t>Bakken New Wells Completed</t>
        </is>
      </c>
    </row>
    <row r="285">
      <c r="A285" t="inlineStr">
        <is>
          <t>NWCBK|2026-08</t>
        </is>
      </c>
      <c r="B285" t="inlineStr">
        <is>
          <t>NWCBK</t>
        </is>
      </c>
      <c r="C285" t="inlineStr">
        <is>
          <t>2026-08</t>
        </is>
      </c>
      <c r="D285" t="inlineStr">
        <is>
          <t>69</t>
        </is>
      </c>
      <c r="E285" t="inlineStr">
        <is>
          <t>Bakken New Wells Completed</t>
        </is>
      </c>
    </row>
    <row r="286">
      <c r="A286" t="inlineStr">
        <is>
          <t>NWCEF|2025-01</t>
        </is>
      </c>
      <c r="B286" t="inlineStr">
        <is>
          <t>NWCEF</t>
        </is>
      </c>
      <c r="C286" t="inlineStr">
        <is>
          <t>2025-01</t>
        </is>
      </c>
      <c r="D286" t="inlineStr">
        <is>
          <t>129</t>
        </is>
      </c>
      <c r="E286" t="inlineStr">
        <is>
          <t>Eagle Ford New Wells Completed</t>
        </is>
      </c>
    </row>
    <row r="287">
      <c r="A287" t="inlineStr">
        <is>
          <t>NWCEF|2025-02</t>
        </is>
      </c>
      <c r="B287" t="inlineStr">
        <is>
          <t>NWCEF</t>
        </is>
      </c>
      <c r="C287" t="inlineStr">
        <is>
          <t>2025-02</t>
        </is>
      </c>
      <c r="D287" t="inlineStr">
        <is>
          <t>101</t>
        </is>
      </c>
      <c r="E287" t="inlineStr">
        <is>
          <t>Eagle Ford New Wells Completed</t>
        </is>
      </c>
    </row>
    <row r="288">
      <c r="A288" t="inlineStr">
        <is>
          <t>NWCEF|2025-03</t>
        </is>
      </c>
      <c r="B288" t="inlineStr">
        <is>
          <t>NWCEF</t>
        </is>
      </c>
      <c r="C288" t="inlineStr">
        <is>
          <t>2025-03</t>
        </is>
      </c>
      <c r="D288" t="inlineStr">
        <is>
          <t>139</t>
        </is>
      </c>
      <c r="E288" t="inlineStr">
        <is>
          <t>Eagle Ford New Wells Completed</t>
        </is>
      </c>
    </row>
    <row r="289">
      <c r="A289" t="inlineStr">
        <is>
          <t>NWCEF|2025-04</t>
        </is>
      </c>
      <c r="B289" t="inlineStr">
        <is>
          <t>NWCEF</t>
        </is>
      </c>
      <c r="C289" t="inlineStr">
        <is>
          <t>2025-04</t>
        </is>
      </c>
      <c r="D289" t="inlineStr">
        <is>
          <t>126</t>
        </is>
      </c>
      <c r="E289" t="inlineStr">
        <is>
          <t>Eagle Ford New Wells Completed</t>
        </is>
      </c>
    </row>
    <row r="290">
      <c r="A290" t="inlineStr">
        <is>
          <t>NWCEF|2025-05</t>
        </is>
      </c>
      <c r="B290" t="inlineStr">
        <is>
          <t>NWCEF</t>
        </is>
      </c>
      <c r="C290" t="inlineStr">
        <is>
          <t>2025-05</t>
        </is>
      </c>
      <c r="D290" t="inlineStr">
        <is>
          <t>123</t>
        </is>
      </c>
      <c r="E290" t="inlineStr">
        <is>
          <t>Eagle Ford New Wells Completed</t>
        </is>
      </c>
    </row>
    <row r="291">
      <c r="A291" t="inlineStr">
        <is>
          <t>NWCEF|2025-06</t>
        </is>
      </c>
      <c r="B291" t="inlineStr">
        <is>
          <t>NWCEF</t>
        </is>
      </c>
      <c r="C291" t="inlineStr">
        <is>
          <t>2025-06</t>
        </is>
      </c>
      <c r="D291" t="inlineStr">
        <is>
          <t>112</t>
        </is>
      </c>
      <c r="E291" t="inlineStr">
        <is>
          <t>Eagle Ford New Wells Completed</t>
        </is>
      </c>
    </row>
    <row r="292">
      <c r="A292" t="inlineStr">
        <is>
          <t>NWCEF|2025-07</t>
        </is>
      </c>
      <c r="B292" t="inlineStr">
        <is>
          <t>NWCEF</t>
        </is>
      </c>
      <c r="C292" t="inlineStr">
        <is>
          <t>2025-07</t>
        </is>
      </c>
      <c r="D292" t="inlineStr">
        <is>
          <t>100</t>
        </is>
      </c>
      <c r="E292" t="inlineStr">
        <is>
          <t>Eagle Ford New Wells Completed</t>
        </is>
      </c>
    </row>
    <row r="293">
      <c r="A293" t="inlineStr">
        <is>
          <t>NWCEF|2025-08</t>
        </is>
      </c>
      <c r="B293" t="inlineStr">
        <is>
          <t>NWCEF</t>
        </is>
      </c>
      <c r="C293" t="inlineStr">
        <is>
          <t>2025-08</t>
        </is>
      </c>
      <c r="D293" t="inlineStr">
        <is>
          <t>69</t>
        </is>
      </c>
      <c r="E293" t="inlineStr">
        <is>
          <t>Eagle Ford New Wells Completed</t>
        </is>
      </c>
    </row>
    <row r="294">
      <c r="A294" t="inlineStr">
        <is>
          <t>NWCEF|2025-09</t>
        </is>
      </c>
      <c r="B294" t="inlineStr">
        <is>
          <t>NWCEF</t>
        </is>
      </c>
      <c r="C294" t="inlineStr">
        <is>
          <t>2025-09</t>
        </is>
      </c>
      <c r="D294" t="inlineStr">
        <is>
          <t>105</t>
        </is>
      </c>
      <c r="E294" t="inlineStr">
        <is>
          <t>Eagle Ford New Wells Completed</t>
        </is>
      </c>
    </row>
    <row r="295">
      <c r="A295" t="inlineStr">
        <is>
          <t>NWCEF|2025-10</t>
        </is>
      </c>
      <c r="B295" t="inlineStr">
        <is>
          <t>NWCEF</t>
        </is>
      </c>
      <c r="C295" t="inlineStr">
        <is>
          <t>2025-10</t>
        </is>
      </c>
      <c r="D295" t="inlineStr">
        <is>
          <t>100</t>
        </is>
      </c>
      <c r="E295" t="inlineStr">
        <is>
          <t>Eagle Ford New Wells Completed</t>
        </is>
      </c>
    </row>
    <row r="296">
      <c r="A296" t="inlineStr">
        <is>
          <t>NWCEF|2025-11</t>
        </is>
      </c>
      <c r="B296" t="inlineStr">
        <is>
          <t>NWCEF</t>
        </is>
      </c>
      <c r="C296" t="inlineStr">
        <is>
          <t>2025-11</t>
        </is>
      </c>
      <c r="D296" t="inlineStr">
        <is>
          <t>86</t>
        </is>
      </c>
      <c r="E296" t="inlineStr">
        <is>
          <t>Eagle Ford New Wells Completed</t>
        </is>
      </c>
    </row>
    <row r="297">
      <c r="A297" t="inlineStr">
        <is>
          <t>NWCEF|2025-12</t>
        </is>
      </c>
      <c r="B297" t="inlineStr">
        <is>
          <t>NWCEF</t>
        </is>
      </c>
      <c r="C297" t="inlineStr">
        <is>
          <t>2025-12</t>
        </is>
      </c>
      <c r="D297" t="inlineStr">
        <is>
          <t>95</t>
        </is>
      </c>
      <c r="E297" t="inlineStr">
        <is>
          <t>Eagle Ford New Wells Completed</t>
        </is>
      </c>
    </row>
    <row r="298">
      <c r="A298" t="inlineStr">
        <is>
          <t>NWCEF|2026-01</t>
        </is>
      </c>
      <c r="B298" t="inlineStr">
        <is>
          <t>NWCEF</t>
        </is>
      </c>
      <c r="C298" t="inlineStr">
        <is>
          <t>2026-01</t>
        </is>
      </c>
      <c r="D298" t="inlineStr">
        <is>
          <t>100</t>
        </is>
      </c>
      <c r="E298" t="inlineStr">
        <is>
          <t>Eagle Ford New Wells Completed</t>
        </is>
      </c>
    </row>
    <row r="299">
      <c r="A299" t="inlineStr">
        <is>
          <t>NWCEF|2026-02</t>
        </is>
      </c>
      <c r="B299" t="inlineStr">
        <is>
          <t>NWCEF</t>
        </is>
      </c>
      <c r="C299" t="inlineStr">
        <is>
          <t>2026-02</t>
        </is>
      </c>
      <c r="D299" t="inlineStr">
        <is>
          <t>105</t>
        </is>
      </c>
      <c r="E299" t="inlineStr">
        <is>
          <t>Eagle Ford New Wells Completed</t>
        </is>
      </c>
    </row>
    <row r="300">
      <c r="A300" t="inlineStr">
        <is>
          <t>NWCEF|2026-03</t>
        </is>
      </c>
      <c r="B300" t="inlineStr">
        <is>
          <t>NWCEF</t>
        </is>
      </c>
      <c r="C300" t="inlineStr">
        <is>
          <t>2026-03</t>
        </is>
      </c>
      <c r="D300" t="inlineStr">
        <is>
          <t>105</t>
        </is>
      </c>
      <c r="E300" t="inlineStr">
        <is>
          <t>Eagle Ford New Wells Completed</t>
        </is>
      </c>
    </row>
    <row r="301">
      <c r="A301" t="inlineStr">
        <is>
          <t>NWCEF|2026-04</t>
        </is>
      </c>
      <c r="B301" t="inlineStr">
        <is>
          <t>NWCEF</t>
        </is>
      </c>
      <c r="C301" t="inlineStr">
        <is>
          <t>2026-04</t>
        </is>
      </c>
      <c r="D301" t="inlineStr">
        <is>
          <t>98</t>
        </is>
      </c>
      <c r="E301" t="inlineStr">
        <is>
          <t>Eagle Ford New Wells Completed</t>
        </is>
      </c>
    </row>
    <row r="302">
      <c r="A302" t="inlineStr">
        <is>
          <t>NWCEF|2026-05</t>
        </is>
      </c>
      <c r="B302" t="inlineStr">
        <is>
          <t>NWCEF</t>
        </is>
      </c>
      <c r="C302" t="inlineStr">
        <is>
          <t>2026-05</t>
        </is>
      </c>
      <c r="D302" t="inlineStr">
        <is>
          <t>117</t>
        </is>
      </c>
      <c r="E302" t="inlineStr">
        <is>
          <t>Eagle Ford New Wells Completed</t>
        </is>
      </c>
    </row>
    <row r="303">
      <c r="A303" t="inlineStr">
        <is>
          <t>NWCEF|2026-06</t>
        </is>
      </c>
      <c r="B303" t="inlineStr">
        <is>
          <t>NWCEF</t>
        </is>
      </c>
      <c r="C303" t="inlineStr">
        <is>
          <t>2026-06</t>
        </is>
      </c>
      <c r="D303" t="inlineStr">
        <is>
          <t>111</t>
        </is>
      </c>
      <c r="E303" t="inlineStr">
        <is>
          <t>Eagle Ford New Wells Completed</t>
        </is>
      </c>
    </row>
    <row r="304">
      <c r="A304" t="inlineStr">
        <is>
          <t>NWCEF|2026-07</t>
        </is>
      </c>
      <c r="B304" t="inlineStr">
        <is>
          <t>NWCEF</t>
        </is>
      </c>
      <c r="C304" t="inlineStr">
        <is>
          <t>2026-07</t>
        </is>
      </c>
      <c r="D304" t="inlineStr">
        <is>
          <t>117</t>
        </is>
      </c>
      <c r="E304" t="inlineStr">
        <is>
          <t>Eagle Ford New Wells Completed</t>
        </is>
      </c>
    </row>
    <row r="305">
      <c r="A305" t="inlineStr">
        <is>
          <t>NWCEF|2026-08</t>
        </is>
      </c>
      <c r="B305" t="inlineStr">
        <is>
          <t>NWCEF</t>
        </is>
      </c>
      <c r="C305" t="inlineStr">
        <is>
          <t>2026-08</t>
        </is>
      </c>
      <c r="D305" t="inlineStr">
        <is>
          <t>118</t>
        </is>
      </c>
      <c r="E305" t="inlineStr">
        <is>
          <t>Eagle Ford New Wells Completed</t>
        </is>
      </c>
    </row>
    <row r="306">
      <c r="A306" t="inlineStr">
        <is>
          <t>NWCPM|2025-01</t>
        </is>
      </c>
      <c r="B306" t="inlineStr">
        <is>
          <t>NWCPM</t>
        </is>
      </c>
      <c r="C306" t="inlineStr">
        <is>
          <t>2025-01</t>
        </is>
      </c>
      <c r="D306" t="inlineStr">
        <is>
          <t>527</t>
        </is>
      </c>
      <c r="E306" t="inlineStr">
        <is>
          <t>Permian New Wells Completed</t>
        </is>
      </c>
    </row>
    <row r="307">
      <c r="A307" t="inlineStr">
        <is>
          <t>NWCPM|2025-02</t>
        </is>
      </c>
      <c r="B307" t="inlineStr">
        <is>
          <t>NWCPM</t>
        </is>
      </c>
      <c r="C307" t="inlineStr">
        <is>
          <t>2025-02</t>
        </is>
      </c>
      <c r="D307" t="inlineStr">
        <is>
          <t>524</t>
        </is>
      </c>
      <c r="E307" t="inlineStr">
        <is>
          <t>Permian New Wells Completed</t>
        </is>
      </c>
    </row>
    <row r="308">
      <c r="A308" t="inlineStr">
        <is>
          <t>NWCPM|2025-03</t>
        </is>
      </c>
      <c r="B308" t="inlineStr">
        <is>
          <t>NWCPM</t>
        </is>
      </c>
      <c r="C308" t="inlineStr">
        <is>
          <t>2025-03</t>
        </is>
      </c>
      <c r="D308" t="inlineStr">
        <is>
          <t>506</t>
        </is>
      </c>
      <c r="E308" t="inlineStr">
        <is>
          <t>Permian New Wells Completed</t>
        </is>
      </c>
    </row>
    <row r="309">
      <c r="A309" t="inlineStr">
        <is>
          <t>NWCPM|2025-04</t>
        </is>
      </c>
      <c r="B309" t="inlineStr">
        <is>
          <t>NWCPM</t>
        </is>
      </c>
      <c r="C309" t="inlineStr">
        <is>
          <t>2025-04</t>
        </is>
      </c>
      <c r="D309" t="inlineStr">
        <is>
          <t>579</t>
        </is>
      </c>
      <c r="E309" t="inlineStr">
        <is>
          <t>Permian New Wells Completed</t>
        </is>
      </c>
    </row>
    <row r="310">
      <c r="A310" t="inlineStr">
        <is>
          <t>NWCPM|2025-05</t>
        </is>
      </c>
      <c r="B310" t="inlineStr">
        <is>
          <t>NWCPM</t>
        </is>
      </c>
      <c r="C310" t="inlineStr">
        <is>
          <t>2025-05</t>
        </is>
      </c>
      <c r="D310" t="inlineStr">
        <is>
          <t>492</t>
        </is>
      </c>
      <c r="E310" t="inlineStr">
        <is>
          <t>Permian New Wells Completed</t>
        </is>
      </c>
    </row>
    <row r="311">
      <c r="A311" t="inlineStr">
        <is>
          <t>NWCPM|2025-06</t>
        </is>
      </c>
      <c r="B311" t="inlineStr">
        <is>
          <t>NWCPM</t>
        </is>
      </c>
      <c r="C311" t="inlineStr">
        <is>
          <t>2025-06</t>
        </is>
      </c>
      <c r="D311" t="inlineStr">
        <is>
          <t>457</t>
        </is>
      </c>
      <c r="E311" t="inlineStr">
        <is>
          <t>Permian New Wells Completed</t>
        </is>
      </c>
    </row>
    <row r="312">
      <c r="A312" t="inlineStr">
        <is>
          <t>NWCPM|2025-07</t>
        </is>
      </c>
      <c r="B312" t="inlineStr">
        <is>
          <t>NWCPM</t>
        </is>
      </c>
      <c r="C312" t="inlineStr">
        <is>
          <t>2025-07</t>
        </is>
      </c>
      <c r="D312" t="inlineStr">
        <is>
          <t>421</t>
        </is>
      </c>
      <c r="E312" t="inlineStr">
        <is>
          <t>Permian New Wells Completed</t>
        </is>
      </c>
    </row>
    <row r="313">
      <c r="A313" t="inlineStr">
        <is>
          <t>NWCPM|2025-08</t>
        </is>
      </c>
      <c r="B313" t="inlineStr">
        <is>
          <t>NWCPM</t>
        </is>
      </c>
      <c r="C313" t="inlineStr">
        <is>
          <t>2025-08</t>
        </is>
      </c>
      <c r="D313" t="inlineStr">
        <is>
          <t>542</t>
        </is>
      </c>
      <c r="E313" t="inlineStr">
        <is>
          <t>Permian New Wells Completed</t>
        </is>
      </c>
    </row>
    <row r="314">
      <c r="A314" t="inlineStr">
        <is>
          <t>NWCPM|2025-09</t>
        </is>
      </c>
      <c r="B314" t="inlineStr">
        <is>
          <t>NWCPM</t>
        </is>
      </c>
      <c r="C314" t="inlineStr">
        <is>
          <t>2025-09</t>
        </is>
      </c>
      <c r="D314" t="inlineStr">
        <is>
          <t>487</t>
        </is>
      </c>
      <c r="E314" t="inlineStr">
        <is>
          <t>Permian New Wells Completed</t>
        </is>
      </c>
    </row>
    <row r="315">
      <c r="A315" t="inlineStr">
        <is>
          <t>NWCPM|2025-10</t>
        </is>
      </c>
      <c r="B315" t="inlineStr">
        <is>
          <t>NWCPM</t>
        </is>
      </c>
      <c r="C315" t="inlineStr">
        <is>
          <t>2025-10</t>
        </is>
      </c>
      <c r="D315" t="inlineStr">
        <is>
          <t>470</t>
        </is>
      </c>
      <c r="E315" t="inlineStr">
        <is>
          <t>Permian New Wells Completed</t>
        </is>
      </c>
    </row>
    <row r="316">
      <c r="A316" t="inlineStr">
        <is>
          <t>NWCPM|2025-11</t>
        </is>
      </c>
      <c r="B316" t="inlineStr">
        <is>
          <t>NWCPM</t>
        </is>
      </c>
      <c r="C316" t="inlineStr">
        <is>
          <t>2025-11</t>
        </is>
      </c>
      <c r="D316" t="inlineStr">
        <is>
          <t>525</t>
        </is>
      </c>
      <c r="E316" t="inlineStr">
        <is>
          <t>Permian New Wells Completed</t>
        </is>
      </c>
    </row>
    <row r="317">
      <c r="A317" t="inlineStr">
        <is>
          <t>NWCPM|2025-12</t>
        </is>
      </c>
      <c r="B317" t="inlineStr">
        <is>
          <t>NWCPM</t>
        </is>
      </c>
      <c r="C317" t="inlineStr">
        <is>
          <t>2025-12</t>
        </is>
      </c>
      <c r="D317" t="inlineStr">
        <is>
          <t>467</t>
        </is>
      </c>
      <c r="E317" t="inlineStr">
        <is>
          <t>Permian New Wells Completed</t>
        </is>
      </c>
    </row>
    <row r="318">
      <c r="A318" t="inlineStr">
        <is>
          <t>NWCPM|2026-01</t>
        </is>
      </c>
      <c r="B318" t="inlineStr">
        <is>
          <t>NWCPM</t>
        </is>
      </c>
      <c r="C318" t="inlineStr">
        <is>
          <t>2026-01</t>
        </is>
      </c>
      <c r="D318" t="inlineStr">
        <is>
          <t>432</t>
        </is>
      </c>
      <c r="E318" t="inlineStr">
        <is>
          <t>Permian New Wells Completed</t>
        </is>
      </c>
    </row>
    <row r="319">
      <c r="A319" t="inlineStr">
        <is>
          <t>NWCPM|2026-02</t>
        </is>
      </c>
      <c r="B319" t="inlineStr">
        <is>
          <t>NWCPM</t>
        </is>
      </c>
      <c r="C319" t="inlineStr">
        <is>
          <t>2026-02</t>
        </is>
      </c>
      <c r="D319" t="inlineStr">
        <is>
          <t>451</t>
        </is>
      </c>
      <c r="E319" t="inlineStr">
        <is>
          <t>Permian New Wells Completed</t>
        </is>
      </c>
    </row>
    <row r="320">
      <c r="A320" t="inlineStr">
        <is>
          <t>NWCPM|2026-03</t>
        </is>
      </c>
      <c r="B320" t="inlineStr">
        <is>
          <t>NWCPM</t>
        </is>
      </c>
      <c r="C320" t="inlineStr">
        <is>
          <t>2026-03</t>
        </is>
      </c>
      <c r="D320" t="inlineStr">
        <is>
          <t>452</t>
        </is>
      </c>
      <c r="E320" t="inlineStr">
        <is>
          <t>Permian New Wells Completed</t>
        </is>
      </c>
    </row>
    <row r="321">
      <c r="A321" t="inlineStr">
        <is>
          <t>NWCPM|2026-04</t>
        </is>
      </c>
      <c r="B321" t="inlineStr">
        <is>
          <t>NWCPM</t>
        </is>
      </c>
      <c r="C321" t="inlineStr">
        <is>
          <t>2026-04</t>
        </is>
      </c>
      <c r="D321" t="inlineStr">
        <is>
          <t>475</t>
        </is>
      </c>
      <c r="E321" t="inlineStr">
        <is>
          <t>Permian New Wells Completed</t>
        </is>
      </c>
    </row>
    <row r="322">
      <c r="A322" t="inlineStr">
        <is>
          <t>NWCPM|2026-05</t>
        </is>
      </c>
      <c r="B322" t="inlineStr">
        <is>
          <t>NWCPM</t>
        </is>
      </c>
      <c r="C322" t="inlineStr">
        <is>
          <t>2026-05</t>
        </is>
      </c>
      <c r="D322" t="inlineStr">
        <is>
          <t>462</t>
        </is>
      </c>
      <c r="E322" t="inlineStr">
        <is>
          <t>Permian New Wells Completed</t>
        </is>
      </c>
    </row>
    <row r="323">
      <c r="A323" t="inlineStr">
        <is>
          <t>NWCPM|2026-06</t>
        </is>
      </c>
      <c r="B323" t="inlineStr">
        <is>
          <t>NWCPM</t>
        </is>
      </c>
      <c r="C323" t="inlineStr">
        <is>
          <t>2026-06</t>
        </is>
      </c>
      <c r="D323" t="inlineStr">
        <is>
          <t>475</t>
        </is>
      </c>
      <c r="E323" t="inlineStr">
        <is>
          <t>Permian New Wells Completed</t>
        </is>
      </c>
    </row>
    <row r="324">
      <c r="A324" t="inlineStr">
        <is>
          <t>NWCPM|2026-07</t>
        </is>
      </c>
      <c r="B324" t="inlineStr">
        <is>
          <t>NWCPM</t>
        </is>
      </c>
      <c r="C324" t="inlineStr">
        <is>
          <t>2026-07</t>
        </is>
      </c>
      <c r="D324" t="inlineStr">
        <is>
          <t>484</t>
        </is>
      </c>
      <c r="E324" t="inlineStr">
        <is>
          <t>Permian New Wells Completed</t>
        </is>
      </c>
    </row>
    <row r="325">
      <c r="A325" t="inlineStr">
        <is>
          <t>NWCPM|2026-08</t>
        </is>
      </c>
      <c r="B325" t="inlineStr">
        <is>
          <t>NWCPM</t>
        </is>
      </c>
      <c r="C325" t="inlineStr">
        <is>
          <t>2026-08</t>
        </is>
      </c>
      <c r="D325" t="inlineStr">
        <is>
          <t>488</t>
        </is>
      </c>
      <c r="E325" t="inlineStr">
        <is>
          <t>Permian New Wells Completed</t>
        </is>
      </c>
    </row>
    <row r="326">
      <c r="A326" t="inlineStr">
        <is>
          <t>RIGSBK|2025-01</t>
        </is>
      </c>
      <c r="B326" t="inlineStr">
        <is>
          <t>RIGSBK</t>
        </is>
      </c>
      <c r="C326" t="inlineStr">
        <is>
          <t>2025-01</t>
        </is>
      </c>
      <c r="D326" t="inlineStr">
        <is>
          <t>34.8</t>
        </is>
      </c>
      <c r="E326" t="inlineStr">
        <is>
          <t>Bakken Active Rigs</t>
        </is>
      </c>
    </row>
    <row r="327">
      <c r="A327" t="inlineStr">
        <is>
          <t>RIGSBK|2025-02</t>
        </is>
      </c>
      <c r="B327" t="inlineStr">
        <is>
          <t>RIGSBK</t>
        </is>
      </c>
      <c r="C327" t="inlineStr">
        <is>
          <t>2025-02</t>
        </is>
      </c>
      <c r="D327" t="inlineStr">
        <is>
          <t>33.25</t>
        </is>
      </c>
      <c r="E327" t="inlineStr">
        <is>
          <t>Bakken Active Rigs</t>
        </is>
      </c>
    </row>
    <row r="328">
      <c r="A328" t="inlineStr">
        <is>
          <t>RIGSBK|2025-03</t>
        </is>
      </c>
      <c r="B328" t="inlineStr">
        <is>
          <t>RIGSBK</t>
        </is>
      </c>
      <c r="C328" t="inlineStr">
        <is>
          <t>2025-03</t>
        </is>
      </c>
      <c r="D328" t="inlineStr">
        <is>
          <t>33.25</t>
        </is>
      </c>
      <c r="E328" t="inlineStr">
        <is>
          <t>Bakken Active Rigs</t>
        </is>
      </c>
    </row>
    <row r="329">
      <c r="A329" t="inlineStr">
        <is>
          <t>RIGSBK|2025-04</t>
        </is>
      </c>
      <c r="B329" t="inlineStr">
        <is>
          <t>RIGSBK</t>
        </is>
      </c>
      <c r="C329" t="inlineStr">
        <is>
          <t>2025-04</t>
        </is>
      </c>
      <c r="D329" t="inlineStr">
        <is>
          <t>33</t>
        </is>
      </c>
      <c r="E329" t="inlineStr">
        <is>
          <t>Bakken Active Rigs</t>
        </is>
      </c>
    </row>
    <row r="330">
      <c r="A330" t="inlineStr">
        <is>
          <t>RIGSBK|2025-05</t>
        </is>
      </c>
      <c r="B330" t="inlineStr">
        <is>
          <t>RIGSBK</t>
        </is>
      </c>
      <c r="C330" t="inlineStr">
        <is>
          <t>2025-05</t>
        </is>
      </c>
      <c r="D330" t="inlineStr">
        <is>
          <t>32.2</t>
        </is>
      </c>
      <c r="E330" t="inlineStr">
        <is>
          <t>Bakken Active Rigs</t>
        </is>
      </c>
    </row>
    <row r="331">
      <c r="A331" t="inlineStr">
        <is>
          <t>RIGSBK|2025-06</t>
        </is>
      </c>
      <c r="B331" t="inlineStr">
        <is>
          <t>RIGSBK</t>
        </is>
      </c>
      <c r="C331" t="inlineStr">
        <is>
          <t>2025-06</t>
        </is>
      </c>
      <c r="D331" t="inlineStr">
        <is>
          <t>31</t>
        </is>
      </c>
      <c r="E331" t="inlineStr">
        <is>
          <t>Bakken Active Rigs</t>
        </is>
      </c>
    </row>
    <row r="332">
      <c r="A332" t="inlineStr">
        <is>
          <t>RIGSBK|2025-07</t>
        </is>
      </c>
      <c r="B332" t="inlineStr">
        <is>
          <t>RIGSBK</t>
        </is>
      </c>
      <c r="C332" t="inlineStr">
        <is>
          <t>2025-07</t>
        </is>
      </c>
      <c r="D332" t="inlineStr">
        <is>
          <t>31</t>
        </is>
      </c>
      <c r="E332" t="inlineStr">
        <is>
          <t>Bakken Active Rigs</t>
        </is>
      </c>
    </row>
    <row r="333">
      <c r="A333" t="inlineStr">
        <is>
          <t>RIGSBK|2025-08</t>
        </is>
      </c>
      <c r="B333" t="inlineStr">
        <is>
          <t>RIGSBK</t>
        </is>
      </c>
      <c r="C333" t="inlineStr">
        <is>
          <t>2025-08</t>
        </is>
      </c>
      <c r="D333" t="inlineStr">
        <is>
          <t>30.4</t>
        </is>
      </c>
      <c r="E333" t="inlineStr">
        <is>
          <t>Bakken Active Rigs</t>
        </is>
      </c>
    </row>
    <row r="334">
      <c r="A334" t="inlineStr">
        <is>
          <t>RIGSBK|2025-09</t>
        </is>
      </c>
      <c r="B334" t="inlineStr">
        <is>
          <t>RIGSBK</t>
        </is>
      </c>
      <c r="C334" t="inlineStr">
        <is>
          <t>2025-09</t>
        </is>
      </c>
      <c r="D334" t="inlineStr">
        <is>
          <t>29</t>
        </is>
      </c>
      <c r="E334" t="inlineStr">
        <is>
          <t>Bakken Active Rigs</t>
        </is>
      </c>
    </row>
    <row r="335">
      <c r="A335" t="inlineStr">
        <is>
          <t>RIGSBK|2025-10</t>
        </is>
      </c>
      <c r="B335" t="inlineStr">
        <is>
          <t>RIGSBK</t>
        </is>
      </c>
      <c r="C335" t="inlineStr">
        <is>
          <t>2025-10</t>
        </is>
      </c>
      <c r="D335" t="inlineStr">
        <is>
          <t>29.8</t>
        </is>
      </c>
      <c r="E335" t="inlineStr">
        <is>
          <t>Bakken Active Rigs</t>
        </is>
      </c>
    </row>
    <row r="336">
      <c r="A336" t="inlineStr">
        <is>
          <t>RIGSBK|2025-11</t>
        </is>
      </c>
      <c r="B336" t="inlineStr">
        <is>
          <t>RIGSBK</t>
        </is>
      </c>
      <c r="C336" t="inlineStr">
        <is>
          <t>2025-11</t>
        </is>
      </c>
      <c r="D336" t="inlineStr">
        <is>
          <t>29.25</t>
        </is>
      </c>
      <c r="E336" t="inlineStr">
        <is>
          <t>Bakken Active Rigs</t>
        </is>
      </c>
    </row>
    <row r="337">
      <c r="A337" t="inlineStr">
        <is>
          <t>RIGSBK|2025-12</t>
        </is>
      </c>
      <c r="B337" t="inlineStr">
        <is>
          <t>RIGSBK</t>
        </is>
      </c>
      <c r="C337" t="inlineStr">
        <is>
          <t>2025-12</t>
        </is>
      </c>
      <c r="D337" t="inlineStr">
        <is>
          <t>29</t>
        </is>
      </c>
      <c r="E337" t="inlineStr">
        <is>
          <t>Bakken Active Rigs</t>
        </is>
      </c>
    </row>
    <row r="338">
      <c r="A338" t="inlineStr">
        <is>
          <t>RIGSBK|2026-01</t>
        </is>
      </c>
      <c r="B338" t="inlineStr">
        <is>
          <t>RIGSBK</t>
        </is>
      </c>
      <c r="C338" t="inlineStr">
        <is>
          <t>2026-01</t>
        </is>
      </c>
      <c r="D338" t="inlineStr">
        <is>
          <t>28.4</t>
        </is>
      </c>
      <c r="E338" t="inlineStr">
        <is>
          <t>Bakken Active Rigs</t>
        </is>
      </c>
    </row>
    <row r="339">
      <c r="A339" t="inlineStr">
        <is>
          <t>RIGSBK|2026-02</t>
        </is>
      </c>
      <c r="B339" t="inlineStr">
        <is>
          <t>RIGSBK</t>
        </is>
      </c>
      <c r="C339" t="inlineStr">
        <is>
          <t>2026-02</t>
        </is>
      </c>
      <c r="D339" t="inlineStr">
        <is>
          <t>28.25</t>
        </is>
      </c>
      <c r="E339" t="inlineStr">
        <is>
          <t>Bakken Active Rigs</t>
        </is>
      </c>
    </row>
    <row r="340">
      <c r="A340" t="inlineStr">
        <is>
          <t>RIGSBK|2026-03</t>
        </is>
      </c>
      <c r="B340" t="inlineStr">
        <is>
          <t>RIGSBK</t>
        </is>
      </c>
      <c r="C340" t="inlineStr">
        <is>
          <t>2026-03</t>
        </is>
      </c>
      <c r="D340" t="inlineStr">
        <is>
          <t>28</t>
        </is>
      </c>
      <c r="E340" t="inlineStr">
        <is>
          <t>Bakken Active Rigs</t>
        </is>
      </c>
    </row>
    <row r="341">
      <c r="A341" t="inlineStr">
        <is>
          <t>RIGSBK|2026-04</t>
        </is>
      </c>
      <c r="B341" t="inlineStr">
        <is>
          <t>RIGSBK</t>
        </is>
      </c>
      <c r="C341" t="inlineStr">
        <is>
          <t>2026-04</t>
        </is>
      </c>
      <c r="D341" t="inlineStr">
        <is>
          <t>28.25</t>
        </is>
      </c>
      <c r="E341" t="inlineStr">
        <is>
          <t>Bakken Active Rigs</t>
        </is>
      </c>
    </row>
    <row r="342">
      <c r="A342" t="inlineStr">
        <is>
          <t>RIGSBK|2026-05</t>
        </is>
      </c>
      <c r="B342" t="inlineStr">
        <is>
          <t>RIGSBK</t>
        </is>
      </c>
      <c r="C342" t="inlineStr">
        <is>
          <t>2026-05</t>
        </is>
      </c>
      <c r="D342" t="inlineStr">
        <is>
          <t>28</t>
        </is>
      </c>
      <c r="E342" t="inlineStr">
        <is>
          <t>Bakken Active Rigs</t>
        </is>
      </c>
    </row>
    <row r="343">
      <c r="A343" t="inlineStr">
        <is>
          <t>RIGSBK|2026-06</t>
        </is>
      </c>
      <c r="B343" t="inlineStr">
        <is>
          <t>RIGSBK</t>
        </is>
      </c>
      <c r="C343" t="inlineStr">
        <is>
          <t>2026-06</t>
        </is>
      </c>
      <c r="D343" t="inlineStr">
        <is>
          <t>28</t>
        </is>
      </c>
      <c r="E343" t="inlineStr">
        <is>
          <t>Bakken Active Rigs</t>
        </is>
      </c>
    </row>
    <row r="344">
      <c r="A344" t="inlineStr">
        <is>
          <t>RIGSBK|2026-07</t>
        </is>
      </c>
      <c r="B344" t="inlineStr">
        <is>
          <t>RIGSBK</t>
        </is>
      </c>
      <c r="C344" t="inlineStr">
        <is>
          <t>2026-07</t>
        </is>
      </c>
      <c r="D344" t="inlineStr">
        <is>
          <t>27</t>
        </is>
      </c>
      <c r="E344" t="inlineStr">
        <is>
          <t>Bakken Active Rigs</t>
        </is>
      </c>
    </row>
    <row r="345">
      <c r="A345" t="inlineStr">
        <is>
          <t>RIGSBK|2026-08</t>
        </is>
      </c>
      <c r="B345" t="inlineStr">
        <is>
          <t>RIGSBK</t>
        </is>
      </c>
      <c r="C345" t="inlineStr">
        <is>
          <t>2026-08</t>
        </is>
      </c>
      <c r="D345" t="inlineStr">
        <is>
          <t>27</t>
        </is>
      </c>
      <c r="E345" t="inlineStr">
        <is>
          <t>Bakken Active Rigs</t>
        </is>
      </c>
    </row>
    <row r="346">
      <c r="A346" t="inlineStr">
        <is>
          <t>RIGSEF|2025-01</t>
        </is>
      </c>
      <c r="B346" t="inlineStr">
        <is>
          <t>RIGSEF</t>
        </is>
      </c>
      <c r="C346" t="inlineStr">
        <is>
          <t>2025-01</t>
        </is>
      </c>
      <c r="D346" t="inlineStr">
        <is>
          <t>49.4</t>
        </is>
      </c>
      <c r="E346" t="inlineStr">
        <is>
          <t>Eagle Ford Active Rigs</t>
        </is>
      </c>
    </row>
    <row r="347">
      <c r="A347" t="inlineStr">
        <is>
          <t>RIGSEF|2025-02</t>
        </is>
      </c>
      <c r="B347" t="inlineStr">
        <is>
          <t>RIGSEF</t>
        </is>
      </c>
      <c r="C347" t="inlineStr">
        <is>
          <t>2025-02</t>
        </is>
      </c>
      <c r="D347" t="inlineStr">
        <is>
          <t>52.5</t>
        </is>
      </c>
      <c r="E347" t="inlineStr">
        <is>
          <t>Eagle Ford Active Rigs</t>
        </is>
      </c>
    </row>
    <row r="348">
      <c r="A348" t="inlineStr">
        <is>
          <t>RIGSEF|2025-03</t>
        </is>
      </c>
      <c r="B348" t="inlineStr">
        <is>
          <t>RIGSEF</t>
        </is>
      </c>
      <c r="C348" t="inlineStr">
        <is>
          <t>2025-03</t>
        </is>
      </c>
      <c r="D348" t="inlineStr">
        <is>
          <t>53</t>
        </is>
      </c>
      <c r="E348" t="inlineStr">
        <is>
          <t>Eagle Ford Active Rigs</t>
        </is>
      </c>
    </row>
    <row r="349">
      <c r="A349" t="inlineStr">
        <is>
          <t>RIGSEF|2025-04</t>
        </is>
      </c>
      <c r="B349" t="inlineStr">
        <is>
          <t>RIGSEF</t>
        </is>
      </c>
      <c r="C349" t="inlineStr">
        <is>
          <t>2025-04</t>
        </is>
      </c>
      <c r="D349" t="inlineStr">
        <is>
          <t>52.75</t>
        </is>
      </c>
      <c r="E349" t="inlineStr">
        <is>
          <t>Eagle Ford Active Rigs</t>
        </is>
      </c>
    </row>
    <row r="350">
      <c r="A350" t="inlineStr">
        <is>
          <t>RIGSEF|2025-05</t>
        </is>
      </c>
      <c r="B350" t="inlineStr">
        <is>
          <t>RIGSEF</t>
        </is>
      </c>
      <c r="C350" t="inlineStr">
        <is>
          <t>2025-05</t>
        </is>
      </c>
      <c r="D350" t="inlineStr">
        <is>
          <t>51.4</t>
        </is>
      </c>
      <c r="E350" t="inlineStr">
        <is>
          <t>Eagle Ford Active Rigs</t>
        </is>
      </c>
    </row>
    <row r="351">
      <c r="A351" t="inlineStr">
        <is>
          <t>RIGSEF|2025-06</t>
        </is>
      </c>
      <c r="B351" t="inlineStr">
        <is>
          <t>RIGSEF</t>
        </is>
      </c>
      <c r="C351" t="inlineStr">
        <is>
          <t>2025-06</t>
        </is>
      </c>
      <c r="D351" t="inlineStr">
        <is>
          <t>49</t>
        </is>
      </c>
      <c r="E351" t="inlineStr">
        <is>
          <t>Eagle Ford Active Rigs</t>
        </is>
      </c>
    </row>
    <row r="352">
      <c r="A352" t="inlineStr">
        <is>
          <t>RIGSEF|2025-07</t>
        </is>
      </c>
      <c r="B352" t="inlineStr">
        <is>
          <t>RIGSEF</t>
        </is>
      </c>
      <c r="C352" t="inlineStr">
        <is>
          <t>2025-07</t>
        </is>
      </c>
      <c r="D352" t="inlineStr">
        <is>
          <t>49.5</t>
        </is>
      </c>
      <c r="E352" t="inlineStr">
        <is>
          <t>Eagle Ford Active Rigs</t>
        </is>
      </c>
    </row>
    <row r="353">
      <c r="A353" t="inlineStr">
        <is>
          <t>RIGSEF|2025-08</t>
        </is>
      </c>
      <c r="B353" t="inlineStr">
        <is>
          <t>RIGSEF</t>
        </is>
      </c>
      <c r="C353" t="inlineStr">
        <is>
          <t>2025-08</t>
        </is>
      </c>
      <c r="D353" t="inlineStr">
        <is>
          <t>48.8</t>
        </is>
      </c>
      <c r="E353" t="inlineStr">
        <is>
          <t>Eagle Ford Active Rigs</t>
        </is>
      </c>
    </row>
    <row r="354">
      <c r="A354" t="inlineStr">
        <is>
          <t>RIGSEF|2025-09</t>
        </is>
      </c>
      <c r="B354" t="inlineStr">
        <is>
          <t>RIGSEF</t>
        </is>
      </c>
      <c r="C354" t="inlineStr">
        <is>
          <t>2025-09</t>
        </is>
      </c>
      <c r="D354" t="inlineStr">
        <is>
          <t>51.5</t>
        </is>
      </c>
      <c r="E354" t="inlineStr">
        <is>
          <t>Eagle Ford Active Rigs</t>
        </is>
      </c>
    </row>
    <row r="355">
      <c r="A355" t="inlineStr">
        <is>
          <t>RIGSEF|2025-10</t>
        </is>
      </c>
      <c r="B355" t="inlineStr">
        <is>
          <t>RIGSEF</t>
        </is>
      </c>
      <c r="C355" t="inlineStr">
        <is>
          <t>2025-10</t>
        </is>
      </c>
      <c r="D355" t="inlineStr">
        <is>
          <t>54.4</t>
        </is>
      </c>
      <c r="E355" t="inlineStr">
        <is>
          <t>Eagle Ford Active Rigs</t>
        </is>
      </c>
    </row>
    <row r="356">
      <c r="A356" t="inlineStr">
        <is>
          <t>RIGSEF|2025-11</t>
        </is>
      </c>
      <c r="B356" t="inlineStr">
        <is>
          <t>RIGSEF</t>
        </is>
      </c>
      <c r="C356" t="inlineStr">
        <is>
          <t>2025-11</t>
        </is>
      </c>
      <c r="D356" t="inlineStr">
        <is>
          <t>51</t>
        </is>
      </c>
      <c r="E356" t="inlineStr">
        <is>
          <t>Eagle Ford Active Rigs</t>
        </is>
      </c>
    </row>
    <row r="357">
      <c r="A357" t="inlineStr">
        <is>
          <t>RIGSEF|2025-12</t>
        </is>
      </c>
      <c r="B357" t="inlineStr">
        <is>
          <t>RIGSEF</t>
        </is>
      </c>
      <c r="C357" t="inlineStr">
        <is>
          <t>2025-12</t>
        </is>
      </c>
      <c r="D357" t="inlineStr">
        <is>
          <t>49</t>
        </is>
      </c>
      <c r="E357" t="inlineStr">
        <is>
          <t>Eagle Ford Active Rigs</t>
        </is>
      </c>
    </row>
    <row r="358">
      <c r="A358" t="inlineStr">
        <is>
          <t>RIGSEF|2026-01</t>
        </is>
      </c>
      <c r="B358" t="inlineStr">
        <is>
          <t>RIGSEF</t>
        </is>
      </c>
      <c r="C358" t="inlineStr">
        <is>
          <t>2026-01</t>
        </is>
      </c>
      <c r="D358" t="inlineStr">
        <is>
          <t>47.4</t>
        </is>
      </c>
      <c r="E358" t="inlineStr">
        <is>
          <t>Eagle Ford Active Rigs</t>
        </is>
      </c>
    </row>
    <row r="359">
      <c r="A359" t="inlineStr">
        <is>
          <t>RIGSEF|2026-02</t>
        </is>
      </c>
      <c r="B359" t="inlineStr">
        <is>
          <t>RIGSEF</t>
        </is>
      </c>
      <c r="C359" t="inlineStr">
        <is>
          <t>2026-02</t>
        </is>
      </c>
      <c r="D359" t="inlineStr">
        <is>
          <t>48</t>
        </is>
      </c>
      <c r="E359" t="inlineStr">
        <is>
          <t>Eagle Ford Active Rigs</t>
        </is>
      </c>
    </row>
    <row r="360">
      <c r="A360" t="inlineStr">
        <is>
          <t>RIGSEF|2026-03</t>
        </is>
      </c>
      <c r="B360" t="inlineStr">
        <is>
          <t>RIGSEF</t>
        </is>
      </c>
      <c r="C360" t="inlineStr">
        <is>
          <t>2026-03</t>
        </is>
      </c>
      <c r="D360" t="inlineStr">
        <is>
          <t>49.75</t>
        </is>
      </c>
      <c r="E360" t="inlineStr">
        <is>
          <t>Eagle Ford Active Rigs</t>
        </is>
      </c>
    </row>
    <row r="361">
      <c r="A361" t="inlineStr">
        <is>
          <t>RIGSEF|2026-04</t>
        </is>
      </c>
      <c r="B361" t="inlineStr">
        <is>
          <t>RIGSEF</t>
        </is>
      </c>
      <c r="C361" t="inlineStr">
        <is>
          <t>2026-04</t>
        </is>
      </c>
      <c r="D361" t="inlineStr">
        <is>
          <t>49.5</t>
        </is>
      </c>
      <c r="E361" t="inlineStr">
        <is>
          <t>Eagle Ford Active Rigs</t>
        </is>
      </c>
    </row>
    <row r="362">
      <c r="A362" t="inlineStr">
        <is>
          <t>RIGSEF|2026-05</t>
        </is>
      </c>
      <c r="B362" t="inlineStr">
        <is>
          <t>RIGSEF</t>
        </is>
      </c>
      <c r="C362" t="inlineStr">
        <is>
          <t>2026-05</t>
        </is>
      </c>
      <c r="D362" t="inlineStr">
        <is>
          <t>51</t>
        </is>
      </c>
      <c r="E362" t="inlineStr">
        <is>
          <t>Eagle Ford Active Rigs</t>
        </is>
      </c>
    </row>
    <row r="363">
      <c r="A363" t="inlineStr">
        <is>
          <t>RIGSEF|2026-06</t>
        </is>
      </c>
      <c r="B363" t="inlineStr">
        <is>
          <t>RIGSEF</t>
        </is>
      </c>
      <c r="C363" t="inlineStr">
        <is>
          <t>2026-06</t>
        </is>
      </c>
      <c r="D363" t="inlineStr">
        <is>
          <t>53.75</t>
        </is>
      </c>
      <c r="E363" t="inlineStr">
        <is>
          <t>Eagle Ford Active Rigs</t>
        </is>
      </c>
    </row>
    <row r="364">
      <c r="A364" t="inlineStr">
        <is>
          <t>RIGSEF|2026-07</t>
        </is>
      </c>
      <c r="B364" t="inlineStr">
        <is>
          <t>RIGSEF</t>
        </is>
      </c>
      <c r="C364" t="inlineStr">
        <is>
          <t>2026-07</t>
        </is>
      </c>
      <c r="D364" t="inlineStr">
        <is>
          <t>56.2</t>
        </is>
      </c>
      <c r="E364" t="inlineStr">
        <is>
          <t>Eagle Ford Active Rigs</t>
        </is>
      </c>
    </row>
    <row r="365">
      <c r="A365" t="inlineStr">
        <is>
          <t>RIGSEF|2026-08</t>
        </is>
      </c>
      <c r="B365" t="inlineStr">
        <is>
          <t>RIGSEF</t>
        </is>
      </c>
      <c r="C365" t="inlineStr">
        <is>
          <t>2026-08</t>
        </is>
      </c>
      <c r="D365" t="inlineStr">
        <is>
          <t>56.5</t>
        </is>
      </c>
      <c r="E365" t="inlineStr">
        <is>
          <t>Eagle Ford Active Rigs</t>
        </is>
      </c>
    </row>
    <row r="366">
      <c r="A366" t="inlineStr">
        <is>
          <t>RIGSPM|2025-01</t>
        </is>
      </c>
      <c r="B366" t="inlineStr">
        <is>
          <t>RIGSPM</t>
        </is>
      </c>
      <c r="C366" t="inlineStr">
        <is>
          <t>2025-01</t>
        </is>
      </c>
      <c r="D366" t="inlineStr">
        <is>
          <t>302.6</t>
        </is>
      </c>
      <c r="E366" t="inlineStr">
        <is>
          <t>Permian Active Rigs</t>
        </is>
      </c>
    </row>
    <row r="367">
      <c r="A367" t="inlineStr">
        <is>
          <t>RIGSPM|2025-02</t>
        </is>
      </c>
      <c r="B367" t="inlineStr">
        <is>
          <t>RIGSPM</t>
        </is>
      </c>
      <c r="C367" t="inlineStr">
        <is>
          <t>2025-02</t>
        </is>
      </c>
      <c r="D367" t="inlineStr">
        <is>
          <t>304</t>
        </is>
      </c>
      <c r="E367" t="inlineStr">
        <is>
          <t>Permian Active Rigs</t>
        </is>
      </c>
    </row>
    <row r="368">
      <c r="A368" t="inlineStr">
        <is>
          <t>RIGSPM|2025-03</t>
        </is>
      </c>
      <c r="B368" t="inlineStr">
        <is>
          <t>RIGSPM</t>
        </is>
      </c>
      <c r="C368" t="inlineStr">
        <is>
          <t>2025-03</t>
        </is>
      </c>
      <c r="D368" t="inlineStr">
        <is>
          <t>300.5</t>
        </is>
      </c>
      <c r="E368" t="inlineStr">
        <is>
          <t>Permian Active Rigs</t>
        </is>
      </c>
    </row>
    <row r="369">
      <c r="A369" t="inlineStr">
        <is>
          <t>RIGSPM|2025-04</t>
        </is>
      </c>
      <c r="B369" t="inlineStr">
        <is>
          <t>RIGSPM</t>
        </is>
      </c>
      <c r="C369" t="inlineStr">
        <is>
          <t>2025-04</t>
        </is>
      </c>
      <c r="D369" t="inlineStr">
        <is>
          <t>290.25</t>
        </is>
      </c>
      <c r="E369" t="inlineStr">
        <is>
          <t>Permian Active Rigs</t>
        </is>
      </c>
    </row>
    <row r="370">
      <c r="A370" t="inlineStr">
        <is>
          <t>RIGSPM|2025-05</t>
        </is>
      </c>
      <c r="B370" t="inlineStr">
        <is>
          <t>RIGSPM</t>
        </is>
      </c>
      <c r="C370" t="inlineStr">
        <is>
          <t>2025-05</t>
        </is>
      </c>
      <c r="D370" t="inlineStr">
        <is>
          <t>282.2</t>
        </is>
      </c>
      <c r="E370" t="inlineStr">
        <is>
          <t>Permian Active Rigs</t>
        </is>
      </c>
    </row>
    <row r="371">
      <c r="A371" t="inlineStr">
        <is>
          <t>RIGSPM|2025-06</t>
        </is>
      </c>
      <c r="B371" t="inlineStr">
        <is>
          <t>RIGSPM</t>
        </is>
      </c>
      <c r="C371" t="inlineStr">
        <is>
          <t>2025-06</t>
        </is>
      </c>
      <c r="D371" t="inlineStr">
        <is>
          <t>272.25</t>
        </is>
      </c>
      <c r="E371" t="inlineStr">
        <is>
          <t>Permian Active Rigs</t>
        </is>
      </c>
    </row>
    <row r="372">
      <c r="A372" t="inlineStr">
        <is>
          <t>RIGSPM|2025-07</t>
        </is>
      </c>
      <c r="B372" t="inlineStr">
        <is>
          <t>RIGSPM</t>
        </is>
      </c>
      <c r="C372" t="inlineStr">
        <is>
          <t>2025-07</t>
        </is>
      </c>
      <c r="D372" t="inlineStr">
        <is>
          <t>263.25</t>
        </is>
      </c>
      <c r="E372" t="inlineStr">
        <is>
          <t>Permian Active Rigs</t>
        </is>
      </c>
    </row>
    <row r="373">
      <c r="A373" t="inlineStr">
        <is>
          <t>RIGSPM|2025-08</t>
        </is>
      </c>
      <c r="B373" t="inlineStr">
        <is>
          <t>RIGSPM</t>
        </is>
      </c>
      <c r="C373" t="inlineStr">
        <is>
          <t>2025-08</t>
        </is>
      </c>
      <c r="D373" t="inlineStr">
        <is>
          <t>256</t>
        </is>
      </c>
      <c r="E373" t="inlineStr">
        <is>
          <t>Permian Active Rigs</t>
        </is>
      </c>
    </row>
    <row r="374">
      <c r="A374" t="inlineStr">
        <is>
          <t>RIGSPM|2025-09</t>
        </is>
      </c>
      <c r="B374" t="inlineStr">
        <is>
          <t>RIGSPM</t>
        </is>
      </c>
      <c r="C374" t="inlineStr">
        <is>
          <t>2025-09</t>
        </is>
      </c>
      <c r="D374" t="inlineStr">
        <is>
          <t>253.75</t>
        </is>
      </c>
      <c r="E374" t="inlineStr">
        <is>
          <t>Permian Active Rigs</t>
        </is>
      </c>
    </row>
    <row r="375">
      <c r="A375" t="inlineStr">
        <is>
          <t>RIGSPM|2025-10</t>
        </is>
      </c>
      <c r="B375" t="inlineStr">
        <is>
          <t>RIGSPM</t>
        </is>
      </c>
      <c r="C375" t="inlineStr">
        <is>
          <t>2025-10</t>
        </is>
      </c>
      <c r="D375" t="inlineStr">
        <is>
          <t>250.6</t>
        </is>
      </c>
      <c r="E375" t="inlineStr">
        <is>
          <t>Permian Active Rigs</t>
        </is>
      </c>
    </row>
    <row r="376">
      <c r="A376" t="inlineStr">
        <is>
          <t>RIGSPM|2025-11</t>
        </is>
      </c>
      <c r="B376" t="inlineStr">
        <is>
          <t>RIGSPM</t>
        </is>
      </c>
      <c r="C376" t="inlineStr">
        <is>
          <t>2025-11</t>
        </is>
      </c>
      <c r="D376" t="inlineStr">
        <is>
          <t>252.25</t>
        </is>
      </c>
      <c r="E376" t="inlineStr">
        <is>
          <t>Permian Active Rigs</t>
        </is>
      </c>
    </row>
    <row r="377">
      <c r="A377" t="inlineStr">
        <is>
          <t>RIGSPM|2025-12</t>
        </is>
      </c>
      <c r="B377" t="inlineStr">
        <is>
          <t>RIGSPM</t>
        </is>
      </c>
      <c r="C377" t="inlineStr">
        <is>
          <t>2025-12</t>
        </is>
      </c>
      <c r="D377" t="inlineStr">
        <is>
          <t>248.25</t>
        </is>
      </c>
      <c r="E377" t="inlineStr">
        <is>
          <t>Permian Active Rigs</t>
        </is>
      </c>
    </row>
    <row r="378">
      <c r="A378" t="inlineStr">
        <is>
          <t>RIGSPM|2026-01</t>
        </is>
      </c>
      <c r="B378" t="inlineStr">
        <is>
          <t>RIGSPM</t>
        </is>
      </c>
      <c r="C378" t="inlineStr">
        <is>
          <t>2026-01</t>
        </is>
      </c>
      <c r="D378" t="inlineStr">
        <is>
          <t>244.2</t>
        </is>
      </c>
      <c r="E378" t="inlineStr">
        <is>
          <t>Permian Active Rigs</t>
        </is>
      </c>
    </row>
    <row r="379">
      <c r="A379" t="inlineStr">
        <is>
          <t>RIGSPM|2026-02</t>
        </is>
      </c>
      <c r="B379" t="inlineStr">
        <is>
          <t>RIGSPM</t>
        </is>
      </c>
      <c r="C379" t="inlineStr">
        <is>
          <t>2026-02</t>
        </is>
      </c>
      <c r="D379" t="inlineStr">
        <is>
          <t>239.5</t>
        </is>
      </c>
      <c r="E379" t="inlineStr">
        <is>
          <t>Permian Active Rigs</t>
        </is>
      </c>
    </row>
    <row r="380">
      <c r="A380" t="inlineStr">
        <is>
          <t>RIGSPM|2026-03</t>
        </is>
      </c>
      <c r="B380" t="inlineStr">
        <is>
          <t>RIGSPM</t>
        </is>
      </c>
      <c r="C380" t="inlineStr">
        <is>
          <t>2026-03</t>
        </is>
      </c>
      <c r="D380" t="inlineStr">
        <is>
          <t>241.5</t>
        </is>
      </c>
      <c r="E380" t="inlineStr">
        <is>
          <t>Permian Active Rigs</t>
        </is>
      </c>
    </row>
    <row r="381">
      <c r="A381" t="inlineStr">
        <is>
          <t>RIGSPM|2026-04</t>
        </is>
      </c>
      <c r="B381" t="inlineStr">
        <is>
          <t>RIGSPM</t>
        </is>
      </c>
      <c r="C381" t="inlineStr">
        <is>
          <t>2026-04</t>
        </is>
      </c>
      <c r="D381" t="inlineStr">
        <is>
          <t>242</t>
        </is>
      </c>
      <c r="E381" t="inlineStr">
        <is>
          <t>Permian Active Rigs</t>
        </is>
      </c>
    </row>
    <row r="382">
      <c r="A382" t="inlineStr">
        <is>
          <t>RIGSPM|2026-05</t>
        </is>
      </c>
      <c r="B382" t="inlineStr">
        <is>
          <t>RIGSPM</t>
        </is>
      </c>
      <c r="C382" t="inlineStr">
        <is>
          <t>2026-05</t>
        </is>
      </c>
      <c r="D382" t="inlineStr">
        <is>
          <t>246.8</t>
        </is>
      </c>
      <c r="E382" t="inlineStr">
        <is>
          <t>Permian Active Rigs</t>
        </is>
      </c>
    </row>
    <row r="383">
      <c r="A383" t="inlineStr">
        <is>
          <t>RIGSPM|2026-06</t>
        </is>
      </c>
      <c r="B383" t="inlineStr">
        <is>
          <t>RIGSPM</t>
        </is>
      </c>
      <c r="C383" t="inlineStr">
        <is>
          <t>2026-06</t>
        </is>
      </c>
      <c r="D383" t="inlineStr">
        <is>
          <t>256.75</t>
        </is>
      </c>
      <c r="E383" t="inlineStr">
        <is>
          <t>Permian Active Rigs</t>
        </is>
      </c>
    </row>
    <row r="384">
      <c r="A384" t="inlineStr">
        <is>
          <t>RIGSPM|2026-07</t>
        </is>
      </c>
      <c r="B384" t="inlineStr">
        <is>
          <t>RIGSPM</t>
        </is>
      </c>
      <c r="C384" t="inlineStr">
        <is>
          <t>2026-07</t>
        </is>
      </c>
      <c r="D384" t="inlineStr">
        <is>
          <t>258.8</t>
        </is>
      </c>
      <c r="E384" t="inlineStr">
        <is>
          <t>Permian Active Rigs</t>
        </is>
      </c>
    </row>
    <row r="385">
      <c r="A385" t="inlineStr">
        <is>
          <t>RIGSPM|2026-08</t>
        </is>
      </c>
      <c r="B385" t="inlineStr">
        <is>
          <t>RIGSPM</t>
        </is>
      </c>
      <c r="C385" t="inlineStr">
        <is>
          <t>2026-08</t>
        </is>
      </c>
      <c r="D385" t="inlineStr">
        <is>
          <t>265.5</t>
        </is>
      </c>
      <c r="E385" t="inlineStr">
        <is>
          <t>Permian Active Rigs</t>
        </is>
      </c>
    </row>
    <row r="386">
      <c r="A386" t="inlineStr">
        <is>
          <t>TOPRAC|2025-01</t>
        </is>
      </c>
      <c r="B386" t="inlineStr">
        <is>
          <t>TOPRAC</t>
        </is>
      </c>
      <c r="C386" t="inlineStr">
        <is>
          <t>2025-01</t>
        </is>
      </c>
      <c r="D386" t="inlineStr">
        <is>
          <t>.119</t>
        </is>
      </c>
      <c r="E386" t="inlineStr">
        <is>
          <t>Tight oil production from Austin Chalk formation</t>
        </is>
      </c>
      <c r="F386" t="inlineStr">
        <is>
          <t>million barrels per day</t>
        </is>
      </c>
    </row>
    <row r="387">
      <c r="A387" t="inlineStr">
        <is>
          <t>TOPRAC|2025-02</t>
        </is>
      </c>
      <c r="B387" t="inlineStr">
        <is>
          <t>TOPRAC</t>
        </is>
      </c>
      <c r="C387" t="inlineStr">
        <is>
          <t>2025-02</t>
        </is>
      </c>
      <c r="D387" t="inlineStr">
        <is>
          <t>.118</t>
        </is>
      </c>
      <c r="E387" t="inlineStr">
        <is>
          <t>Tight oil production from Austin Chalk formation</t>
        </is>
      </c>
      <c r="F387" t="inlineStr">
        <is>
          <t>million barrels per day</t>
        </is>
      </c>
    </row>
    <row r="388">
      <c r="A388" t="inlineStr">
        <is>
          <t>TOPRAC|2025-03</t>
        </is>
      </c>
      <c r="B388" t="inlineStr">
        <is>
          <t>TOPRAC</t>
        </is>
      </c>
      <c r="C388" t="inlineStr">
        <is>
          <t>2025-03</t>
        </is>
      </c>
      <c r="D388" t="inlineStr">
        <is>
          <t>.12</t>
        </is>
      </c>
      <c r="E388" t="inlineStr">
        <is>
          <t>Tight oil production from Austin Chalk formation</t>
        </is>
      </c>
      <c r="F388" t="inlineStr">
        <is>
          <t>million barrels per day</t>
        </is>
      </c>
    </row>
    <row r="389">
      <c r="A389" t="inlineStr">
        <is>
          <t>TOPRAC|2025-04</t>
        </is>
      </c>
      <c r="B389" t="inlineStr">
        <is>
          <t>TOPRAC</t>
        </is>
      </c>
      <c r="C389" t="inlineStr">
        <is>
          <t>2025-04</t>
        </is>
      </c>
      <c r="D389" t="inlineStr">
        <is>
          <t>.126</t>
        </is>
      </c>
      <c r="E389" t="inlineStr">
        <is>
          <t>Tight oil production from Austin Chalk formation</t>
        </is>
      </c>
      <c r="F389" t="inlineStr">
        <is>
          <t>million barrels per day</t>
        </is>
      </c>
    </row>
    <row r="390">
      <c r="A390" t="inlineStr">
        <is>
          <t>TOPRAC|2025-05</t>
        </is>
      </c>
      <c r="B390" t="inlineStr">
        <is>
          <t>TOPRAC</t>
        </is>
      </c>
      <c r="C390" t="inlineStr">
        <is>
          <t>2025-05</t>
        </is>
      </c>
      <c r="D390" t="inlineStr">
        <is>
          <t>.119</t>
        </is>
      </c>
      <c r="E390" t="inlineStr">
        <is>
          <t>Tight oil production from Austin Chalk formation</t>
        </is>
      </c>
      <c r="F390" t="inlineStr">
        <is>
          <t>million barrels per day</t>
        </is>
      </c>
    </row>
    <row r="391">
      <c r="A391" t="inlineStr">
        <is>
          <t>TOPRAC|2025-06</t>
        </is>
      </c>
      <c r="B391" t="inlineStr">
        <is>
          <t>TOPRAC</t>
        </is>
      </c>
      <c r="C391" t="inlineStr">
        <is>
          <t>2025-06</t>
        </is>
      </c>
      <c r="D391" t="inlineStr">
        <is>
          <t>.114</t>
        </is>
      </c>
      <c r="E391" t="inlineStr">
        <is>
          <t>Tight oil production from Austin Chalk formation</t>
        </is>
      </c>
      <c r="F391" t="inlineStr">
        <is>
          <t>million barrels per day</t>
        </is>
      </c>
    </row>
    <row r="392">
      <c r="A392" t="inlineStr">
        <is>
          <t>TOPRAC|2025-07</t>
        </is>
      </c>
      <c r="B392" t="inlineStr">
        <is>
          <t>TOPRAC</t>
        </is>
      </c>
      <c r="C392" t="inlineStr">
        <is>
          <t>2025-07</t>
        </is>
      </c>
      <c r="D392" t="inlineStr">
        <is>
          <t>.113</t>
        </is>
      </c>
      <c r="E392" t="inlineStr">
        <is>
          <t>Tight oil production from Austin Chalk formation</t>
        </is>
      </c>
      <c r="F392" t="inlineStr">
        <is>
          <t>million barrels per day</t>
        </is>
      </c>
    </row>
    <row r="393">
      <c r="A393" t="inlineStr">
        <is>
          <t>TOPRAC|2025-08</t>
        </is>
      </c>
      <c r="B393" t="inlineStr">
        <is>
          <t>TOPRAC</t>
        </is>
      </c>
      <c r="C393" t="inlineStr">
        <is>
          <t>2025-08</t>
        </is>
      </c>
      <c r="D393" t="inlineStr">
        <is>
          <t>.116</t>
        </is>
      </c>
      <c r="E393" t="inlineStr">
        <is>
          <t>Tight oil production from Austin Chalk formation</t>
        </is>
      </c>
      <c r="F393" t="inlineStr">
        <is>
          <t>million barrels per day</t>
        </is>
      </c>
    </row>
    <row r="394">
      <c r="A394" t="inlineStr">
        <is>
          <t>TOPRAC|2025-09</t>
        </is>
      </c>
      <c r="B394" t="inlineStr">
        <is>
          <t>TOPRAC</t>
        </is>
      </c>
      <c r="C394" t="inlineStr">
        <is>
          <t>2025-09</t>
        </is>
      </c>
      <c r="D394" t="inlineStr">
        <is>
          <t>.125</t>
        </is>
      </c>
      <c r="E394" t="inlineStr">
        <is>
          <t>Tight oil production from Austin Chalk formation</t>
        </is>
      </c>
      <c r="F394" t="inlineStr">
        <is>
          <t>million barrels per day</t>
        </is>
      </c>
    </row>
    <row r="395">
      <c r="A395" t="inlineStr">
        <is>
          <t>TOPRAC|2025-10</t>
        </is>
      </c>
      <c r="B395" t="inlineStr">
        <is>
          <t>TOPRAC</t>
        </is>
      </c>
      <c r="C395" t="inlineStr">
        <is>
          <t>2025-10</t>
        </is>
      </c>
      <c r="D395" t="inlineStr">
        <is>
          <t>.128</t>
        </is>
      </c>
      <c r="E395" t="inlineStr">
        <is>
          <t>Tight oil production from Austin Chalk formation</t>
        </is>
      </c>
      <c r="F395" t="inlineStr">
        <is>
          <t>million barrels per day</t>
        </is>
      </c>
    </row>
    <row r="396">
      <c r="A396" t="inlineStr">
        <is>
          <t>TOPRAC|2025-11</t>
        </is>
      </c>
      <c r="B396" t="inlineStr">
        <is>
          <t>TOPRAC</t>
        </is>
      </c>
      <c r="C396" t="inlineStr">
        <is>
          <t>2025-11</t>
        </is>
      </c>
      <c r="D396" t="inlineStr">
        <is>
          <t>.127</t>
        </is>
      </c>
      <c r="E396" t="inlineStr">
        <is>
          <t>Tight oil production from Austin Chalk formation</t>
        </is>
      </c>
      <c r="F396" t="inlineStr">
        <is>
          <t>million barrels per day</t>
        </is>
      </c>
    </row>
    <row r="397">
      <c r="A397" t="inlineStr">
        <is>
          <t>TOPRAC|2025-12</t>
        </is>
      </c>
      <c r="B397" t="inlineStr">
        <is>
          <t>TOPRAC</t>
        </is>
      </c>
      <c r="C397" t="inlineStr">
        <is>
          <t>2025-12</t>
        </is>
      </c>
      <c r="D397" t="inlineStr">
        <is>
          <t>.125</t>
        </is>
      </c>
      <c r="E397" t="inlineStr">
        <is>
          <t>Tight oil production from Austin Chalk formation</t>
        </is>
      </c>
      <c r="F397" t="inlineStr">
        <is>
          <t>million barrels per day</t>
        </is>
      </c>
    </row>
    <row r="398">
      <c r="A398" t="inlineStr">
        <is>
          <t>TOPRAC|2026-01</t>
        </is>
      </c>
      <c r="B398" t="inlineStr">
        <is>
          <t>TOPRAC</t>
        </is>
      </c>
      <c r="C398" t="inlineStr">
        <is>
          <t>2026-01</t>
        </is>
      </c>
      <c r="D398" t="inlineStr">
        <is>
          <t>.123</t>
        </is>
      </c>
      <c r="E398" t="inlineStr">
        <is>
          <t>Tight oil production from Austin Chalk formation</t>
        </is>
      </c>
      <c r="F398" t="inlineStr">
        <is>
          <t>million barrels per day</t>
        </is>
      </c>
    </row>
    <row r="399">
      <c r="A399" t="inlineStr">
        <is>
          <t>TOPRAC|2026-02</t>
        </is>
      </c>
      <c r="B399" t="inlineStr">
        <is>
          <t>TOPRAC</t>
        </is>
      </c>
      <c r="C399" t="inlineStr">
        <is>
          <t>2026-02</t>
        </is>
      </c>
      <c r="D399" t="inlineStr">
        <is>
          <t>.122</t>
        </is>
      </c>
      <c r="E399" t="inlineStr">
        <is>
          <t>Tight oil production from Austin Chalk formation</t>
        </is>
      </c>
      <c r="F399" t="inlineStr">
        <is>
          <t>million barrels per day</t>
        </is>
      </c>
    </row>
    <row r="400">
      <c r="A400" t="inlineStr">
        <is>
          <t>TOPRAC|2026-03</t>
        </is>
      </c>
      <c r="B400" t="inlineStr">
        <is>
          <t>TOPRAC</t>
        </is>
      </c>
      <c r="C400" t="inlineStr">
        <is>
          <t>2026-03</t>
        </is>
      </c>
      <c r="D400" t="inlineStr">
        <is>
          <t>.125</t>
        </is>
      </c>
      <c r="E400" t="inlineStr">
        <is>
          <t>Tight oil production from Austin Chalk formation</t>
        </is>
      </c>
      <c r="F400" t="inlineStr">
        <is>
          <t>million barrels per day</t>
        </is>
      </c>
    </row>
    <row r="401">
      <c r="A401" t="inlineStr">
        <is>
          <t>TOPRAC|2026-04</t>
        </is>
      </c>
      <c r="B401" t="inlineStr">
        <is>
          <t>TOPRAC</t>
        </is>
      </c>
      <c r="C401" t="inlineStr">
        <is>
          <t>2026-04</t>
        </is>
      </c>
      <c r="D401" t="inlineStr">
        <is>
          <t>.122</t>
        </is>
      </c>
      <c r="E401" t="inlineStr">
        <is>
          <t>Tight oil production from Austin Chalk formation</t>
        </is>
      </c>
      <c r="F401" t="inlineStr">
        <is>
          <t>million barrels per day</t>
        </is>
      </c>
    </row>
    <row r="402">
      <c r="A402" t="inlineStr">
        <is>
          <t>TOPRAC|2026-05</t>
        </is>
      </c>
      <c r="B402" t="inlineStr">
        <is>
          <t>TOPRAC</t>
        </is>
      </c>
      <c r="C402" t="inlineStr">
        <is>
          <t>2026-05</t>
        </is>
      </c>
      <c r="D402" t="inlineStr">
        <is>
          <t>.117</t>
        </is>
      </c>
      <c r="E402" t="inlineStr">
        <is>
          <t>Tight oil production from Austin Chalk formation</t>
        </is>
      </c>
      <c r="F402" t="inlineStr">
        <is>
          <t>million barrels per day</t>
        </is>
      </c>
    </row>
    <row r="403">
      <c r="A403" t="inlineStr">
        <is>
          <t>TOPRAC|2026-06</t>
        </is>
      </c>
      <c r="B403" t="inlineStr">
        <is>
          <t>TOPRAC</t>
        </is>
      </c>
      <c r="C403" t="inlineStr">
        <is>
          <t>2026-06</t>
        </is>
      </c>
      <c r="D403" t="inlineStr">
        <is>
          <t>.117</t>
        </is>
      </c>
      <c r="E403" t="inlineStr">
        <is>
          <t>Tight oil production from Austin Chalk formation</t>
        </is>
      </c>
      <c r="F403" t="inlineStr">
        <is>
          <t>million barrels per day</t>
        </is>
      </c>
    </row>
    <row r="404">
      <c r="A404" t="inlineStr">
        <is>
          <t>TOPRAC|2026-07</t>
        </is>
      </c>
      <c r="B404" t="inlineStr">
        <is>
          <t>TOPRAC</t>
        </is>
      </c>
      <c r="C404" t="inlineStr">
        <is>
          <t>2026-07</t>
        </is>
      </c>
      <c r="D404" t="inlineStr">
        <is>
          <t>.12</t>
        </is>
      </c>
      <c r="E404" t="inlineStr">
        <is>
          <t>Tight oil production from Austin Chalk formation</t>
        </is>
      </c>
      <c r="F404" t="inlineStr">
        <is>
          <t>million barrels per day</t>
        </is>
      </c>
    </row>
    <row r="405">
      <c r="A405" t="inlineStr">
        <is>
          <t>TOPRAC|2026-08</t>
        </is>
      </c>
      <c r="B405" t="inlineStr">
        <is>
          <t>TOPRAC</t>
        </is>
      </c>
      <c r="C405" t="inlineStr">
        <is>
          <t>2026-08</t>
        </is>
      </c>
      <c r="D405" t="inlineStr">
        <is>
          <t>.118</t>
        </is>
      </c>
      <c r="E405" t="inlineStr">
        <is>
          <t>Tight oil production from Austin Chalk formation</t>
        </is>
      </c>
      <c r="F405" t="inlineStr">
        <is>
          <t>million barrels per day</t>
        </is>
      </c>
    </row>
    <row r="406">
      <c r="A406" t="inlineStr">
        <is>
          <t>TOPRBK|2025-01</t>
        </is>
      </c>
      <c r="B406" t="inlineStr">
        <is>
          <t>TOPRBK</t>
        </is>
      </c>
      <c r="C406" t="inlineStr">
        <is>
          <t>2025-01</t>
        </is>
      </c>
      <c r="D406" t="inlineStr">
        <is>
          <t>1.212</t>
        </is>
      </c>
      <c r="E406" t="inlineStr">
        <is>
          <t>Tight oil production from Bakken formation</t>
        </is>
      </c>
      <c r="F406" t="inlineStr">
        <is>
          <t>million barrels per day</t>
        </is>
      </c>
    </row>
    <row r="407">
      <c r="A407" t="inlineStr">
        <is>
          <t>TOPRBK|2025-02</t>
        </is>
      </c>
      <c r="B407" t="inlineStr">
        <is>
          <t>TOPRBK</t>
        </is>
      </c>
      <c r="C407" t="inlineStr">
        <is>
          <t>2025-02</t>
        </is>
      </c>
      <c r="D407" t="inlineStr">
        <is>
          <t>1.191</t>
        </is>
      </c>
      <c r="E407" t="inlineStr">
        <is>
          <t>Tight oil production from Bakken formation</t>
        </is>
      </c>
      <c r="F407" t="inlineStr">
        <is>
          <t>million barrels per day</t>
        </is>
      </c>
    </row>
    <row r="408">
      <c r="A408" t="inlineStr">
        <is>
          <t>TOPRBK|2025-03</t>
        </is>
      </c>
      <c r="B408" t="inlineStr">
        <is>
          <t>TOPRBK</t>
        </is>
      </c>
      <c r="C408" t="inlineStr">
        <is>
          <t>2025-03</t>
        </is>
      </c>
      <c r="D408" t="inlineStr">
        <is>
          <t>1.223</t>
        </is>
      </c>
      <c r="E408" t="inlineStr">
        <is>
          <t>Tight oil production from Bakken formation</t>
        </is>
      </c>
      <c r="F408" t="inlineStr">
        <is>
          <t>million barrels per day</t>
        </is>
      </c>
    </row>
    <row r="409">
      <c r="A409" t="inlineStr">
        <is>
          <t>TOPRBK|2025-04</t>
        </is>
      </c>
      <c r="B409" t="inlineStr">
        <is>
          <t>TOPRBK</t>
        </is>
      </c>
      <c r="C409" t="inlineStr">
        <is>
          <t>2025-04</t>
        </is>
      </c>
      <c r="D409" t="inlineStr">
        <is>
          <t>1.201</t>
        </is>
      </c>
      <c r="E409" t="inlineStr">
        <is>
          <t>Tight oil production from Bakken formation</t>
        </is>
      </c>
      <c r="F409" t="inlineStr">
        <is>
          <t>million barrels per day</t>
        </is>
      </c>
    </row>
    <row r="410">
      <c r="A410" t="inlineStr">
        <is>
          <t>TOPRBK|2025-05</t>
        </is>
      </c>
      <c r="B410" t="inlineStr">
        <is>
          <t>TOPRBK</t>
        </is>
      </c>
      <c r="C410" t="inlineStr">
        <is>
          <t>2025-05</t>
        </is>
      </c>
      <c r="D410" t="inlineStr">
        <is>
          <t>1.159</t>
        </is>
      </c>
      <c r="E410" t="inlineStr">
        <is>
          <t>Tight oil production from Bakken formation</t>
        </is>
      </c>
      <c r="F410" t="inlineStr">
        <is>
          <t>million barrels per day</t>
        </is>
      </c>
    </row>
    <row r="411">
      <c r="A411" t="inlineStr">
        <is>
          <t>TOPRBK|2025-06</t>
        </is>
      </c>
      <c r="B411" t="inlineStr">
        <is>
          <t>TOPRBK</t>
        </is>
      </c>
      <c r="C411" t="inlineStr">
        <is>
          <t>2025-06</t>
        </is>
      </c>
      <c r="D411" t="inlineStr">
        <is>
          <t>1.203</t>
        </is>
      </c>
      <c r="E411" t="inlineStr">
        <is>
          <t>Tight oil production from Bakken formation</t>
        </is>
      </c>
      <c r="F411" t="inlineStr">
        <is>
          <t>million barrels per day</t>
        </is>
      </c>
    </row>
    <row r="412">
      <c r="A412" t="inlineStr">
        <is>
          <t>TOPRBK|2025-07</t>
        </is>
      </c>
      <c r="B412" t="inlineStr">
        <is>
          <t>TOPRBK</t>
        </is>
      </c>
      <c r="C412" t="inlineStr">
        <is>
          <t>2025-07</t>
        </is>
      </c>
      <c r="D412" t="inlineStr">
        <is>
          <t>1.217</t>
        </is>
      </c>
      <c r="E412" t="inlineStr">
        <is>
          <t>Tight oil production from Bakken formation</t>
        </is>
      </c>
      <c r="F412" t="inlineStr">
        <is>
          <t>million barrels per day</t>
        </is>
      </c>
    </row>
    <row r="413">
      <c r="A413" t="inlineStr">
        <is>
          <t>TOPRBK|2025-08</t>
        </is>
      </c>
      <c r="B413" t="inlineStr">
        <is>
          <t>TOPRBK</t>
        </is>
      </c>
      <c r="C413" t="inlineStr">
        <is>
          <t>2025-08</t>
        </is>
      </c>
      <c r="D413" t="inlineStr">
        <is>
          <t>1.206</t>
        </is>
      </c>
      <c r="E413" t="inlineStr">
        <is>
          <t>Tight oil production from Bakken formation</t>
        </is>
      </c>
      <c r="F413" t="inlineStr">
        <is>
          <t>million barrels per day</t>
        </is>
      </c>
    </row>
    <row r="414">
      <c r="A414" t="inlineStr">
        <is>
          <t>TOPRBK|2025-09</t>
        </is>
      </c>
      <c r="B414" t="inlineStr">
        <is>
          <t>TOPRBK</t>
        </is>
      </c>
      <c r="C414" t="inlineStr">
        <is>
          <t>2025-09</t>
        </is>
      </c>
      <c r="D414" t="inlineStr">
        <is>
          <t>1.207</t>
        </is>
      </c>
      <c r="E414" t="inlineStr">
        <is>
          <t>Tight oil production from Bakken formation</t>
        </is>
      </c>
      <c r="F414" t="inlineStr">
        <is>
          <t>million barrels per day</t>
        </is>
      </c>
    </row>
    <row r="415">
      <c r="A415" t="inlineStr">
        <is>
          <t>TOPRBK|2025-10</t>
        </is>
      </c>
      <c r="B415" t="inlineStr">
        <is>
          <t>TOPRBK</t>
        </is>
      </c>
      <c r="C415" t="inlineStr">
        <is>
          <t>2025-10</t>
        </is>
      </c>
      <c r="D415" t="inlineStr">
        <is>
          <t>1.217</t>
        </is>
      </c>
      <c r="E415" t="inlineStr">
        <is>
          <t>Tight oil production from Bakken formation</t>
        </is>
      </c>
      <c r="F415" t="inlineStr">
        <is>
          <t>million barrels per day</t>
        </is>
      </c>
    </row>
    <row r="416">
      <c r="A416" t="inlineStr">
        <is>
          <t>TOPRBK|2025-11</t>
        </is>
      </c>
      <c r="B416" t="inlineStr">
        <is>
          <t>TOPRBK</t>
        </is>
      </c>
      <c r="C416" t="inlineStr">
        <is>
          <t>2025-11</t>
        </is>
      </c>
      <c r="D416" t="inlineStr">
        <is>
          <t>1.232</t>
        </is>
      </c>
      <c r="E416" t="inlineStr">
        <is>
          <t>Tight oil production from Bakken formation</t>
        </is>
      </c>
      <c r="F416" t="inlineStr">
        <is>
          <t>million barrels per day</t>
        </is>
      </c>
    </row>
    <row r="417">
      <c r="A417" t="inlineStr">
        <is>
          <t>TOPRBK|2025-12</t>
        </is>
      </c>
      <c r="B417" t="inlineStr">
        <is>
          <t>TOPRBK</t>
        </is>
      </c>
      <c r="C417" t="inlineStr">
        <is>
          <t>2025-12</t>
        </is>
      </c>
      <c r="D417" t="inlineStr">
        <is>
          <t>1.162</t>
        </is>
      </c>
      <c r="E417" t="inlineStr">
        <is>
          <t>Tight oil production from Bakken formation</t>
        </is>
      </c>
      <c r="F417" t="inlineStr">
        <is>
          <t>million barrels per day</t>
        </is>
      </c>
    </row>
    <row r="418">
      <c r="A418" t="inlineStr">
        <is>
          <t>TOPRBK|2026-01</t>
        </is>
      </c>
      <c r="B418" t="inlineStr">
        <is>
          <t>TOPRBK</t>
        </is>
      </c>
      <c r="C418" t="inlineStr">
        <is>
          <t>2026-01</t>
        </is>
      </c>
      <c r="D418" t="inlineStr">
        <is>
          <t>1.161</t>
        </is>
      </c>
      <c r="E418" t="inlineStr">
        <is>
          <t>Tight oil production from Bakken formation</t>
        </is>
      </c>
      <c r="F418" t="inlineStr">
        <is>
          <t>million barrels per day</t>
        </is>
      </c>
    </row>
    <row r="419">
      <c r="A419" t="inlineStr">
        <is>
          <t>TOPRBK|2026-02</t>
        </is>
      </c>
      <c r="B419" t="inlineStr">
        <is>
          <t>TOPRBK</t>
        </is>
      </c>
      <c r="C419" t="inlineStr">
        <is>
          <t>2026-02</t>
        </is>
      </c>
      <c r="D419" t="inlineStr">
        <is>
          <t>1.166</t>
        </is>
      </c>
      <c r="E419" t="inlineStr">
        <is>
          <t>Tight oil production from Bakken formation</t>
        </is>
      </c>
      <c r="F419" t="inlineStr">
        <is>
          <t>million barrels per day</t>
        </is>
      </c>
    </row>
    <row r="420">
      <c r="A420" t="inlineStr">
        <is>
          <t>TOPRBK|2026-03</t>
        </is>
      </c>
      <c r="B420" t="inlineStr">
        <is>
          <t>TOPRBK</t>
        </is>
      </c>
      <c r="C420" t="inlineStr">
        <is>
          <t>2026-03</t>
        </is>
      </c>
      <c r="D420" t="inlineStr">
        <is>
          <t>1.173</t>
        </is>
      </c>
      <c r="E420" t="inlineStr">
        <is>
          <t>Tight oil production from Bakken formation</t>
        </is>
      </c>
      <c r="F420" t="inlineStr">
        <is>
          <t>million barrels per day</t>
        </is>
      </c>
    </row>
    <row r="421">
      <c r="A421" t="inlineStr">
        <is>
          <t>TOPRBK|2026-04</t>
        </is>
      </c>
      <c r="B421" t="inlineStr">
        <is>
          <t>TOPRBK</t>
        </is>
      </c>
      <c r="C421" t="inlineStr">
        <is>
          <t>2026-04</t>
        </is>
      </c>
      <c r="D421" t="inlineStr">
        <is>
          <t>1.175</t>
        </is>
      </c>
      <c r="E421" t="inlineStr">
        <is>
          <t>Tight oil production from Bakken formation</t>
        </is>
      </c>
      <c r="F421" t="inlineStr">
        <is>
          <t>million barrels per day</t>
        </is>
      </c>
    </row>
    <row r="422">
      <c r="A422" t="inlineStr">
        <is>
          <t>TOPRBK|2026-05</t>
        </is>
      </c>
      <c r="B422" t="inlineStr">
        <is>
          <t>TOPRBK</t>
        </is>
      </c>
      <c r="C422" t="inlineStr">
        <is>
          <t>2026-05</t>
        </is>
      </c>
      <c r="D422" t="inlineStr">
        <is>
          <t>1.156</t>
        </is>
      </c>
      <c r="E422" t="inlineStr">
        <is>
          <t>Tight oil production from Bakken formation</t>
        </is>
      </c>
      <c r="F422" t="inlineStr">
        <is>
          <t>million barrels per day</t>
        </is>
      </c>
    </row>
    <row r="423">
      <c r="A423" t="inlineStr">
        <is>
          <t>TOPRBK|2026-06</t>
        </is>
      </c>
      <c r="B423" t="inlineStr">
        <is>
          <t>TOPRBK</t>
        </is>
      </c>
      <c r="C423" t="inlineStr">
        <is>
          <t>2026-06</t>
        </is>
      </c>
      <c r="D423" t="inlineStr">
        <is>
          <t>1.179</t>
        </is>
      </c>
      <c r="E423" t="inlineStr">
        <is>
          <t>Tight oil production from Bakken formation</t>
        </is>
      </c>
      <c r="F423" t="inlineStr">
        <is>
          <t>million barrels per day</t>
        </is>
      </c>
    </row>
    <row r="424">
      <c r="A424" t="inlineStr">
        <is>
          <t>TOPRBK|2026-07</t>
        </is>
      </c>
      <c r="B424" t="inlineStr">
        <is>
          <t>TOPRBK</t>
        </is>
      </c>
      <c r="C424" t="inlineStr">
        <is>
          <t>2026-07</t>
        </is>
      </c>
      <c r="D424" t="inlineStr">
        <is>
          <t>1.183</t>
        </is>
      </c>
      <c r="E424" t="inlineStr">
        <is>
          <t>Tight oil production from Bakken formation</t>
        </is>
      </c>
      <c r="F424" t="inlineStr">
        <is>
          <t>million barrels per day</t>
        </is>
      </c>
    </row>
    <row r="425">
      <c r="A425" t="inlineStr">
        <is>
          <t>TOPRBK|2026-08</t>
        </is>
      </c>
      <c r="B425" t="inlineStr">
        <is>
          <t>TOPRBK</t>
        </is>
      </c>
      <c r="C425" t="inlineStr">
        <is>
          <t>2026-08</t>
        </is>
      </c>
      <c r="D425" t="inlineStr">
        <is>
          <t>1.191</t>
        </is>
      </c>
      <c r="E425" t="inlineStr">
        <is>
          <t>Tight oil production from Bakken formation</t>
        </is>
      </c>
      <c r="F425" t="inlineStr">
        <is>
          <t>million barrels per day</t>
        </is>
      </c>
    </row>
    <row r="426">
      <c r="A426" t="inlineStr">
        <is>
          <t>TOPREF|2025-01</t>
        </is>
      </c>
      <c r="B426" t="inlineStr">
        <is>
          <t>TOPREF</t>
        </is>
      </c>
      <c r="C426" t="inlineStr">
        <is>
          <t>2025-01</t>
        </is>
      </c>
      <c r="D426" t="inlineStr">
        <is>
          <t>.981</t>
        </is>
      </c>
      <c r="E426" t="inlineStr">
        <is>
          <t>Tight oil production from Eagle Ford formation</t>
        </is>
      </c>
      <c r="F426" t="inlineStr">
        <is>
          <t>million barrels per day</t>
        </is>
      </c>
    </row>
    <row r="427">
      <c r="A427" t="inlineStr">
        <is>
          <t>TOPREF|2025-02</t>
        </is>
      </c>
      <c r="B427" t="inlineStr">
        <is>
          <t>TOPREF</t>
        </is>
      </c>
      <c r="C427" t="inlineStr">
        <is>
          <t>2025-02</t>
        </is>
      </c>
      <c r="D427" t="inlineStr">
        <is>
          <t>1.04</t>
        </is>
      </c>
      <c r="E427" t="inlineStr">
        <is>
          <t>Tight oil production from Eagle Ford formation</t>
        </is>
      </c>
      <c r="F427" t="inlineStr">
        <is>
          <t>million barrels per day</t>
        </is>
      </c>
    </row>
    <row r="428">
      <c r="A428" t="inlineStr">
        <is>
          <t>TOPREF|2025-03</t>
        </is>
      </c>
      <c r="B428" t="inlineStr">
        <is>
          <t>TOPREF</t>
        </is>
      </c>
      <c r="C428" t="inlineStr">
        <is>
          <t>2025-03</t>
        </is>
      </c>
      <c r="D428" t="inlineStr">
        <is>
          <t>1.048</t>
        </is>
      </c>
      <c r="E428" t="inlineStr">
        <is>
          <t>Tight oil production from Eagle Ford formation</t>
        </is>
      </c>
      <c r="F428" t="inlineStr">
        <is>
          <t>million barrels per day</t>
        </is>
      </c>
    </row>
    <row r="429">
      <c r="A429" t="inlineStr">
        <is>
          <t>TOPREF|2025-04</t>
        </is>
      </c>
      <c r="B429" t="inlineStr">
        <is>
          <t>TOPREF</t>
        </is>
      </c>
      <c r="C429" t="inlineStr">
        <is>
          <t>2025-04</t>
        </is>
      </c>
      <c r="D429" t="inlineStr">
        <is>
          <t>1.055</t>
        </is>
      </c>
      <c r="E429" t="inlineStr">
        <is>
          <t>Tight oil production from Eagle Ford formation</t>
        </is>
      </c>
      <c r="F429" t="inlineStr">
        <is>
          <t>million barrels per day</t>
        </is>
      </c>
    </row>
    <row r="430">
      <c r="A430" t="inlineStr">
        <is>
          <t>TOPREF|2025-05</t>
        </is>
      </c>
      <c r="B430" t="inlineStr">
        <is>
          <t>TOPREF</t>
        </is>
      </c>
      <c r="C430" t="inlineStr">
        <is>
          <t>2025-05</t>
        </is>
      </c>
      <c r="D430" t="inlineStr">
        <is>
          <t>1.059</t>
        </is>
      </c>
      <c r="E430" t="inlineStr">
        <is>
          <t>Tight oil production from Eagle Ford formation</t>
        </is>
      </c>
      <c r="F430" t="inlineStr">
        <is>
          <t>million barrels per day</t>
        </is>
      </c>
    </row>
    <row r="431">
      <c r="A431" t="inlineStr">
        <is>
          <t>TOPREF|2025-06</t>
        </is>
      </c>
      <c r="B431" t="inlineStr">
        <is>
          <t>TOPREF</t>
        </is>
      </c>
      <c r="C431" t="inlineStr">
        <is>
          <t>2025-06</t>
        </is>
      </c>
      <c r="D431" t="inlineStr">
        <is>
          <t>1.062</t>
        </is>
      </c>
      <c r="E431" t="inlineStr">
        <is>
          <t>Tight oil production from Eagle Ford formation</t>
        </is>
      </c>
      <c r="F431" t="inlineStr">
        <is>
          <t>million barrels per day</t>
        </is>
      </c>
    </row>
    <row r="432">
      <c r="A432" t="inlineStr">
        <is>
          <t>TOPREF|2025-07</t>
        </is>
      </c>
      <c r="B432" t="inlineStr">
        <is>
          <t>TOPREF</t>
        </is>
      </c>
      <c r="C432" t="inlineStr">
        <is>
          <t>2025-07</t>
        </is>
      </c>
      <c r="D432" t="inlineStr">
        <is>
          <t>1.075</t>
        </is>
      </c>
      <c r="E432" t="inlineStr">
        <is>
          <t>Tight oil production from Eagle Ford formation</t>
        </is>
      </c>
      <c r="F432" t="inlineStr">
        <is>
          <t>million barrels per day</t>
        </is>
      </c>
    </row>
    <row r="433">
      <c r="A433" t="inlineStr">
        <is>
          <t>TOPREF|2025-08</t>
        </is>
      </c>
      <c r="B433" t="inlineStr">
        <is>
          <t>TOPREF</t>
        </is>
      </c>
      <c r="C433" t="inlineStr">
        <is>
          <t>2025-08</t>
        </is>
      </c>
      <c r="D433" t="inlineStr">
        <is>
          <t>1.051</t>
        </is>
      </c>
      <c r="E433" t="inlineStr">
        <is>
          <t>Tight oil production from Eagle Ford formation</t>
        </is>
      </c>
      <c r="F433" t="inlineStr">
        <is>
          <t>million barrels per day</t>
        </is>
      </c>
    </row>
    <row r="434">
      <c r="A434" t="inlineStr">
        <is>
          <t>TOPREF|2025-09</t>
        </is>
      </c>
      <c r="B434" t="inlineStr">
        <is>
          <t>TOPREF</t>
        </is>
      </c>
      <c r="C434" t="inlineStr">
        <is>
          <t>2025-09</t>
        </is>
      </c>
      <c r="D434" t="inlineStr">
        <is>
          <t>1.005</t>
        </is>
      </c>
      <c r="E434" t="inlineStr">
        <is>
          <t>Tight oil production from Eagle Ford formation</t>
        </is>
      </c>
      <c r="F434" t="inlineStr">
        <is>
          <t>million barrels per day</t>
        </is>
      </c>
    </row>
    <row r="435">
      <c r="A435" t="inlineStr">
        <is>
          <t>TOPREF|2025-10</t>
        </is>
      </c>
      <c r="B435" t="inlineStr">
        <is>
          <t>TOPREF</t>
        </is>
      </c>
      <c r="C435" t="inlineStr">
        <is>
          <t>2025-10</t>
        </is>
      </c>
      <c r="D435" t="inlineStr">
        <is>
          <t>.97</t>
        </is>
      </c>
      <c r="E435" t="inlineStr">
        <is>
          <t>Tight oil production from Eagle Ford formation</t>
        </is>
      </c>
      <c r="F435" t="inlineStr">
        <is>
          <t>million barrels per day</t>
        </is>
      </c>
    </row>
    <row r="436">
      <c r="A436" t="inlineStr">
        <is>
          <t>TOPREF|2025-11</t>
        </is>
      </c>
      <c r="B436" t="inlineStr">
        <is>
          <t>TOPREF</t>
        </is>
      </c>
      <c r="C436" t="inlineStr">
        <is>
          <t>2025-11</t>
        </is>
      </c>
      <c r="D436" t="inlineStr">
        <is>
          <t>.984</t>
        </is>
      </c>
      <c r="E436" t="inlineStr">
        <is>
          <t>Tight oil production from Eagle Ford formation</t>
        </is>
      </c>
      <c r="F436" t="inlineStr">
        <is>
          <t>million barrels per day</t>
        </is>
      </c>
    </row>
    <row r="437">
      <c r="A437" t="inlineStr">
        <is>
          <t>TOPREF|2025-12</t>
        </is>
      </c>
      <c r="B437" t="inlineStr">
        <is>
          <t>TOPREF</t>
        </is>
      </c>
      <c r="C437" t="inlineStr">
        <is>
          <t>2025-12</t>
        </is>
      </c>
      <c r="D437" t="inlineStr">
        <is>
          <t>.981</t>
        </is>
      </c>
      <c r="E437" t="inlineStr">
        <is>
          <t>Tight oil production from Eagle Ford formation</t>
        </is>
      </c>
      <c r="F437" t="inlineStr">
        <is>
          <t>million barrels per day</t>
        </is>
      </c>
    </row>
    <row r="438">
      <c r="A438" t="inlineStr">
        <is>
          <t>TOPREF|2026-01</t>
        </is>
      </c>
      <c r="B438" t="inlineStr">
        <is>
          <t>TOPREF</t>
        </is>
      </c>
      <c r="C438" t="inlineStr">
        <is>
          <t>2026-01</t>
        </is>
      </c>
      <c r="D438" t="inlineStr">
        <is>
          <t>.991</t>
        </is>
      </c>
      <c r="E438" t="inlineStr">
        <is>
          <t>Tight oil production from Eagle Ford formation</t>
        </is>
      </c>
      <c r="F438" t="inlineStr">
        <is>
          <t>million barrels per day</t>
        </is>
      </c>
    </row>
    <row r="439">
      <c r="A439" t="inlineStr">
        <is>
          <t>TOPREF|2026-02</t>
        </is>
      </c>
      <c r="B439" t="inlineStr">
        <is>
          <t>TOPREF</t>
        </is>
      </c>
      <c r="C439" t="inlineStr">
        <is>
          <t>2026-02</t>
        </is>
      </c>
      <c r="D439" t="inlineStr">
        <is>
          <t>.99</t>
        </is>
      </c>
      <c r="E439" t="inlineStr">
        <is>
          <t>Tight oil production from Eagle Ford formation</t>
        </is>
      </c>
      <c r="F439" t="inlineStr">
        <is>
          <t>million barrels per day</t>
        </is>
      </c>
    </row>
    <row r="440">
      <c r="A440" t="inlineStr">
        <is>
          <t>TOPREF|2026-03</t>
        </is>
      </c>
      <c r="B440" t="inlineStr">
        <is>
          <t>TOPREF</t>
        </is>
      </c>
      <c r="C440" t="inlineStr">
        <is>
          <t>2026-03</t>
        </is>
      </c>
      <c r="D440" t="inlineStr">
        <is>
          <t>.995</t>
        </is>
      </c>
      <c r="E440" t="inlineStr">
        <is>
          <t>Tight oil production from Eagle Ford formation</t>
        </is>
      </c>
      <c r="F440" t="inlineStr">
        <is>
          <t>million barrels per day</t>
        </is>
      </c>
    </row>
    <row r="441">
      <c r="A441" t="inlineStr">
        <is>
          <t>TOPREF|2026-04</t>
        </is>
      </c>
      <c r="B441" t="inlineStr">
        <is>
          <t>TOPREF</t>
        </is>
      </c>
      <c r="C441" t="inlineStr">
        <is>
          <t>2026-04</t>
        </is>
      </c>
      <c r="D441" t="inlineStr">
        <is>
          <t>1.011</t>
        </is>
      </c>
      <c r="E441" t="inlineStr">
        <is>
          <t>Tight oil production from Eagle Ford formation</t>
        </is>
      </c>
      <c r="F441" t="inlineStr">
        <is>
          <t>million barrels per day</t>
        </is>
      </c>
    </row>
    <row r="442">
      <c r="A442" t="inlineStr">
        <is>
          <t>TOPREF|2026-05</t>
        </is>
      </c>
      <c r="B442" t="inlineStr">
        <is>
          <t>TOPREF</t>
        </is>
      </c>
      <c r="C442" t="inlineStr">
        <is>
          <t>2026-05</t>
        </is>
      </c>
      <c r="D442" t="inlineStr">
        <is>
          <t>1.012</t>
        </is>
      </c>
      <c r="E442" t="inlineStr">
        <is>
          <t>Tight oil production from Eagle Ford formation</t>
        </is>
      </c>
      <c r="F442" t="inlineStr">
        <is>
          <t>million barrels per day</t>
        </is>
      </c>
    </row>
    <row r="443">
      <c r="A443" t="inlineStr">
        <is>
          <t>TOPREF|2026-06</t>
        </is>
      </c>
      <c r="B443" t="inlineStr">
        <is>
          <t>TOPREF</t>
        </is>
      </c>
      <c r="C443" t="inlineStr">
        <is>
          <t>2026-06</t>
        </is>
      </c>
      <c r="D443" t="inlineStr">
        <is>
          <t>.999</t>
        </is>
      </c>
      <c r="E443" t="inlineStr">
        <is>
          <t>Tight oil production from Eagle Ford formation</t>
        </is>
      </c>
      <c r="F443" t="inlineStr">
        <is>
          <t>million barrels per day</t>
        </is>
      </c>
    </row>
    <row r="444">
      <c r="A444" t="inlineStr">
        <is>
          <t>TOPREF|2026-07</t>
        </is>
      </c>
      <c r="B444" t="inlineStr">
        <is>
          <t>TOPREF</t>
        </is>
      </c>
      <c r="C444" t="inlineStr">
        <is>
          <t>2026-07</t>
        </is>
      </c>
      <c r="D444" t="inlineStr">
        <is>
          <t>1.005</t>
        </is>
      </c>
      <c r="E444" t="inlineStr">
        <is>
          <t>Tight oil production from Eagle Ford formation</t>
        </is>
      </c>
      <c r="F444" t="inlineStr">
        <is>
          <t>million barrels per day</t>
        </is>
      </c>
    </row>
    <row r="445">
      <c r="A445" t="inlineStr">
        <is>
          <t>TOPREF|2026-08</t>
        </is>
      </c>
      <c r="B445" t="inlineStr">
        <is>
          <t>TOPREF</t>
        </is>
      </c>
      <c r="C445" t="inlineStr">
        <is>
          <t>2026-08</t>
        </is>
      </c>
      <c r="D445" t="inlineStr">
        <is>
          <t>1.018</t>
        </is>
      </c>
      <c r="E445" t="inlineStr">
        <is>
          <t>Tight oil production from Eagle Ford formation</t>
        </is>
      </c>
      <c r="F445" t="inlineStr">
        <is>
          <t>million barrels per day</t>
        </is>
      </c>
    </row>
    <row r="446">
      <c r="A446" t="inlineStr">
        <is>
          <t>TOPRL48|2025-01</t>
        </is>
      </c>
      <c r="B446" t="inlineStr">
        <is>
          <t>TOPRL48</t>
        </is>
      </c>
      <c r="C446" t="inlineStr">
        <is>
          <t>2025-01</t>
        </is>
      </c>
      <c r="D446" t="inlineStr">
        <is>
          <t>9.002</t>
        </is>
      </c>
      <c r="E446" t="inlineStr">
        <is>
          <t>Tight oil production</t>
        </is>
      </c>
      <c r="F446" t="inlineStr">
        <is>
          <t>million barrels per day</t>
        </is>
      </c>
    </row>
    <row r="447">
      <c r="A447" t="inlineStr">
        <is>
          <t>TOPRL48|2025-02</t>
        </is>
      </c>
      <c r="B447" t="inlineStr">
        <is>
          <t>TOPRL48</t>
        </is>
      </c>
      <c r="C447" t="inlineStr">
        <is>
          <t>2025-02</t>
        </is>
      </c>
      <c r="D447" t="inlineStr">
        <is>
          <t>9.124</t>
        </is>
      </c>
      <c r="E447" t="inlineStr">
        <is>
          <t>Tight oil production</t>
        </is>
      </c>
      <c r="F447" t="inlineStr">
        <is>
          <t>million barrels per day</t>
        </is>
      </c>
    </row>
    <row r="448">
      <c r="A448" t="inlineStr">
        <is>
          <t>TOPRL48|2025-03</t>
        </is>
      </c>
      <c r="B448" t="inlineStr">
        <is>
          <t>TOPRL48</t>
        </is>
      </c>
      <c r="C448" t="inlineStr">
        <is>
          <t>2025-03</t>
        </is>
      </c>
      <c r="D448" t="inlineStr">
        <is>
          <t>9.35</t>
        </is>
      </c>
      <c r="E448" t="inlineStr">
        <is>
          <t>Tight oil production</t>
        </is>
      </c>
      <c r="F448" t="inlineStr">
        <is>
          <t>million barrels per day</t>
        </is>
      </c>
    </row>
    <row r="449">
      <c r="A449" t="inlineStr">
        <is>
          <t>TOPRL48|2025-04</t>
        </is>
      </c>
      <c r="B449" t="inlineStr">
        <is>
          <t>TOPRL48</t>
        </is>
      </c>
      <c r="C449" t="inlineStr">
        <is>
          <t>2025-04</t>
        </is>
      </c>
      <c r="D449" t="inlineStr">
        <is>
          <t>9.319</t>
        </is>
      </c>
      <c r="E449" t="inlineStr">
        <is>
          <t>Tight oil production</t>
        </is>
      </c>
      <c r="F449" t="inlineStr">
        <is>
          <t>million barrels per day</t>
        </is>
      </c>
    </row>
    <row r="450">
      <c r="A450" t="inlineStr">
        <is>
          <t>TOPRL48|2025-05</t>
        </is>
      </c>
      <c r="B450" t="inlineStr">
        <is>
          <t>TOPRL48</t>
        </is>
      </c>
      <c r="C450" t="inlineStr">
        <is>
          <t>2025-05</t>
        </is>
      </c>
      <c r="D450" t="inlineStr">
        <is>
          <t>9.309</t>
        </is>
      </c>
      <c r="E450" t="inlineStr">
        <is>
          <t>Tight oil production</t>
        </is>
      </c>
      <c r="F450" t="inlineStr">
        <is>
          <t>million barrels per day</t>
        </is>
      </c>
    </row>
    <row r="451">
      <c r="A451" t="inlineStr">
        <is>
          <t>TOPRL48|2025-06</t>
        </is>
      </c>
      <c r="B451" t="inlineStr">
        <is>
          <t>TOPRL48</t>
        </is>
      </c>
      <c r="C451" t="inlineStr">
        <is>
          <t>2025-06</t>
        </is>
      </c>
      <c r="D451" t="inlineStr">
        <is>
          <t>9.346</t>
        </is>
      </c>
      <c r="E451" t="inlineStr">
        <is>
          <t>Tight oil production</t>
        </is>
      </c>
      <c r="F451" t="inlineStr">
        <is>
          <t>million barrels per day</t>
        </is>
      </c>
    </row>
    <row r="452">
      <c r="A452" t="inlineStr">
        <is>
          <t>TOPRL48|2025-07</t>
        </is>
      </c>
      <c r="B452" t="inlineStr">
        <is>
          <t>TOPRL48</t>
        </is>
      </c>
      <c r="C452" t="inlineStr">
        <is>
          <t>2025-07</t>
        </is>
      </c>
      <c r="D452" t="inlineStr">
        <is>
          <t>9.475</t>
        </is>
      </c>
      <c r="E452" t="inlineStr">
        <is>
          <t>Tight oil production</t>
        </is>
      </c>
      <c r="F452" t="inlineStr">
        <is>
          <t>million barrels per day</t>
        </is>
      </c>
    </row>
    <row r="453">
      <c r="A453" t="inlineStr">
        <is>
          <t>TOPRL48|2025-08</t>
        </is>
      </c>
      <c r="B453" t="inlineStr">
        <is>
          <t>TOPRL48</t>
        </is>
      </c>
      <c r="C453" t="inlineStr">
        <is>
          <t>2025-08</t>
        </is>
      </c>
      <c r="D453" t="inlineStr">
        <is>
          <t>9.452</t>
        </is>
      </c>
      <c r="E453" t="inlineStr">
        <is>
          <t>Tight oil production</t>
        </is>
      </c>
      <c r="F453" t="inlineStr">
        <is>
          <t>million barrels per day</t>
        </is>
      </c>
    </row>
    <row r="454">
      <c r="A454" t="inlineStr">
        <is>
          <t>TOPRL48|2025-09</t>
        </is>
      </c>
      <c r="B454" t="inlineStr">
        <is>
          <t>TOPRL48</t>
        </is>
      </c>
      <c r="C454" t="inlineStr">
        <is>
          <t>2025-09</t>
        </is>
      </c>
      <c r="D454" t="inlineStr">
        <is>
          <t>9.452</t>
        </is>
      </c>
      <c r="E454" t="inlineStr">
        <is>
          <t>Tight oil production</t>
        </is>
      </c>
      <c r="F454" t="inlineStr">
        <is>
          <t>million barrels per day</t>
        </is>
      </c>
    </row>
    <row r="455">
      <c r="A455" t="inlineStr">
        <is>
          <t>TOPRL48|2025-10</t>
        </is>
      </c>
      <c r="B455" t="inlineStr">
        <is>
          <t>TOPRL48</t>
        </is>
      </c>
      <c r="C455" t="inlineStr">
        <is>
          <t>2025-10</t>
        </is>
      </c>
      <c r="D455" t="inlineStr">
        <is>
          <t>9.459</t>
        </is>
      </c>
      <c r="E455" t="inlineStr">
        <is>
          <t>Tight oil production</t>
        </is>
      </c>
      <c r="F455" t="inlineStr">
        <is>
          <t>million barrels per day</t>
        </is>
      </c>
    </row>
    <row r="456">
      <c r="A456" t="inlineStr">
        <is>
          <t>TOPRL48|2025-11</t>
        </is>
      </c>
      <c r="B456" t="inlineStr">
        <is>
          <t>TOPRL48</t>
        </is>
      </c>
      <c r="C456" t="inlineStr">
        <is>
          <t>2025-11</t>
        </is>
      </c>
      <c r="D456" t="inlineStr">
        <is>
          <t>9.492</t>
        </is>
      </c>
      <c r="E456" t="inlineStr">
        <is>
          <t>Tight oil production</t>
        </is>
      </c>
      <c r="F456" t="inlineStr">
        <is>
          <t>million barrels per day</t>
        </is>
      </c>
    </row>
    <row r="457">
      <c r="A457" t="inlineStr">
        <is>
          <t>TOPRL48|2025-12</t>
        </is>
      </c>
      <c r="B457" t="inlineStr">
        <is>
          <t>TOPRL48</t>
        </is>
      </c>
      <c r="C457" t="inlineStr">
        <is>
          <t>2025-12</t>
        </is>
      </c>
      <c r="D457" t="inlineStr">
        <is>
          <t>9.355</t>
        </is>
      </c>
      <c r="E457" t="inlineStr">
        <is>
          <t>Tight oil production</t>
        </is>
      </c>
      <c r="F457" t="inlineStr">
        <is>
          <t>million barrels per day</t>
        </is>
      </c>
    </row>
    <row r="458">
      <c r="A458" t="inlineStr">
        <is>
          <t>TOPRL48|2026-01</t>
        </is>
      </c>
      <c r="B458" t="inlineStr">
        <is>
          <t>TOPRL48</t>
        </is>
      </c>
      <c r="C458" t="inlineStr">
        <is>
          <t>2026-01</t>
        </is>
      </c>
      <c r="D458" t="inlineStr">
        <is>
          <t>8.975</t>
        </is>
      </c>
      <c r="E458" t="inlineStr">
        <is>
          <t>Tight oil production</t>
        </is>
      </c>
      <c r="F458" t="inlineStr">
        <is>
          <t>million barrels per day</t>
        </is>
      </c>
    </row>
    <row r="459">
      <c r="A459" t="inlineStr">
        <is>
          <t>TOPRL48|2026-02</t>
        </is>
      </c>
      <c r="B459" t="inlineStr">
        <is>
          <t>TOPRL48</t>
        </is>
      </c>
      <c r="C459" t="inlineStr">
        <is>
          <t>2026-02</t>
        </is>
      </c>
      <c r="D459" t="inlineStr">
        <is>
          <t>9.387</t>
        </is>
      </c>
      <c r="E459" t="inlineStr">
        <is>
          <t>Tight oil production</t>
        </is>
      </c>
      <c r="F459" t="inlineStr">
        <is>
          <t>million barrels per day</t>
        </is>
      </c>
    </row>
    <row r="460">
      <c r="A460" t="inlineStr">
        <is>
          <t>TOPRL48|2026-03</t>
        </is>
      </c>
      <c r="B460" t="inlineStr">
        <is>
          <t>TOPRL48</t>
        </is>
      </c>
      <c r="C460" t="inlineStr">
        <is>
          <t>2026-03</t>
        </is>
      </c>
      <c r="D460" t="inlineStr">
        <is>
          <t>9.444</t>
        </is>
      </c>
      <c r="E460" t="inlineStr">
        <is>
          <t>Tight oil production</t>
        </is>
      </c>
      <c r="F460" t="inlineStr">
        <is>
          <t>million barrels per day</t>
        </is>
      </c>
    </row>
    <row r="461">
      <c r="A461" t="inlineStr">
        <is>
          <t>TOPRL48|2026-04</t>
        </is>
      </c>
      <c r="B461" t="inlineStr">
        <is>
          <t>TOPRL48</t>
        </is>
      </c>
      <c r="C461" t="inlineStr">
        <is>
          <t>2026-04</t>
        </is>
      </c>
      <c r="D461" t="inlineStr">
        <is>
          <t>9.464</t>
        </is>
      </c>
      <c r="E461" t="inlineStr">
        <is>
          <t>Tight oil production</t>
        </is>
      </c>
      <c r="F461" t="inlineStr">
        <is>
          <t>million barrels per day</t>
        </is>
      </c>
    </row>
    <row r="462">
      <c r="A462" t="inlineStr">
        <is>
          <t>TOPRL48|2026-05</t>
        </is>
      </c>
      <c r="B462" t="inlineStr">
        <is>
          <t>TOPRL48</t>
        </is>
      </c>
      <c r="C462" t="inlineStr">
        <is>
          <t>2026-05</t>
        </is>
      </c>
      <c r="D462" t="inlineStr">
        <is>
          <t>9.455</t>
        </is>
      </c>
      <c r="E462" t="inlineStr">
        <is>
          <t>Tight oil production</t>
        </is>
      </c>
      <c r="F462" t="inlineStr">
        <is>
          <t>million barrels per day</t>
        </is>
      </c>
    </row>
    <row r="463">
      <c r="A463" t="inlineStr">
        <is>
          <t>TOPRL48|2026-06</t>
        </is>
      </c>
      <c r="B463" t="inlineStr">
        <is>
          <t>TOPRL48</t>
        </is>
      </c>
      <c r="C463" t="inlineStr">
        <is>
          <t>2026-06</t>
        </is>
      </c>
      <c r="D463" t="inlineStr">
        <is>
          <t>9.38</t>
        </is>
      </c>
      <c r="E463" t="inlineStr">
        <is>
          <t>Tight oil production</t>
        </is>
      </c>
      <c r="F463" t="inlineStr">
        <is>
          <t>million barrels per day</t>
        </is>
      </c>
    </row>
    <row r="464">
      <c r="A464" t="inlineStr">
        <is>
          <t>TOPRL48|2026-07</t>
        </is>
      </c>
      <c r="B464" t="inlineStr">
        <is>
          <t>TOPRL48</t>
        </is>
      </c>
      <c r="C464" t="inlineStr">
        <is>
          <t>2026-07</t>
        </is>
      </c>
      <c r="D464" t="inlineStr">
        <is>
          <t>9.495</t>
        </is>
      </c>
      <c r="E464" t="inlineStr">
        <is>
          <t>Tight oil production</t>
        </is>
      </c>
      <c r="F464" t="inlineStr">
        <is>
          <t>million barrels per day</t>
        </is>
      </c>
    </row>
    <row r="465">
      <c r="A465" t="inlineStr">
        <is>
          <t>TOPRL48|2026-08</t>
        </is>
      </c>
      <c r="B465" t="inlineStr">
        <is>
          <t>TOPRL48</t>
        </is>
      </c>
      <c r="C465" t="inlineStr">
        <is>
          <t>2026-08</t>
        </is>
      </c>
      <c r="D465" t="inlineStr">
        <is>
          <t>9.5</t>
        </is>
      </c>
      <c r="E465" t="inlineStr">
        <is>
          <t>Tight oil production</t>
        </is>
      </c>
      <c r="F465" t="inlineStr">
        <is>
          <t>million barrels per day</t>
        </is>
      </c>
    </row>
    <row r="466">
      <c r="A466" t="inlineStr">
        <is>
          <t>TOPRMP|2025-01</t>
        </is>
      </c>
      <c r="B466" t="inlineStr">
        <is>
          <t>TOPRMP</t>
        </is>
      </c>
      <c r="C466" t="inlineStr">
        <is>
          <t>2025-01</t>
        </is>
      </c>
      <c r="D466" t="inlineStr">
        <is>
          <t>.113</t>
        </is>
      </c>
      <c r="E466" t="inlineStr">
        <is>
          <t>Tight oil production from Mississippian formation</t>
        </is>
      </c>
      <c r="F466" t="inlineStr">
        <is>
          <t>million barrels per day</t>
        </is>
      </c>
    </row>
    <row r="467">
      <c r="A467" t="inlineStr">
        <is>
          <t>TOPRMP|2025-02</t>
        </is>
      </c>
      <c r="B467" t="inlineStr">
        <is>
          <t>TOPRMP</t>
        </is>
      </c>
      <c r="C467" t="inlineStr">
        <is>
          <t>2025-02</t>
        </is>
      </c>
      <c r="D467" t="inlineStr">
        <is>
          <t>.103</t>
        </is>
      </c>
      <c r="E467" t="inlineStr">
        <is>
          <t>Tight oil production from Mississippian formation</t>
        </is>
      </c>
      <c r="F467" t="inlineStr">
        <is>
          <t>million barrels per day</t>
        </is>
      </c>
    </row>
    <row r="468">
      <c r="A468" t="inlineStr">
        <is>
          <t>TOPRMP|2025-03</t>
        </is>
      </c>
      <c r="B468" t="inlineStr">
        <is>
          <t>TOPRMP</t>
        </is>
      </c>
      <c r="C468" t="inlineStr">
        <is>
          <t>2025-03</t>
        </is>
      </c>
      <c r="D468" t="inlineStr">
        <is>
          <t>.12</t>
        </is>
      </c>
      <c r="E468" t="inlineStr">
        <is>
          <t>Tight oil production from Mississippian formation</t>
        </is>
      </c>
      <c r="F468" t="inlineStr">
        <is>
          <t>million barrels per day</t>
        </is>
      </c>
    </row>
    <row r="469">
      <c r="A469" t="inlineStr">
        <is>
          <t>TOPRMP|2025-04</t>
        </is>
      </c>
      <c r="B469" t="inlineStr">
        <is>
          <t>TOPRMP</t>
        </is>
      </c>
      <c r="C469" t="inlineStr">
        <is>
          <t>2025-04</t>
        </is>
      </c>
      <c r="D469" t="inlineStr">
        <is>
          <t>.118</t>
        </is>
      </c>
      <c r="E469" t="inlineStr">
        <is>
          <t>Tight oil production from Mississippian formation</t>
        </is>
      </c>
      <c r="F469" t="inlineStr">
        <is>
          <t>million barrels per day</t>
        </is>
      </c>
    </row>
    <row r="470">
      <c r="A470" t="inlineStr">
        <is>
          <t>TOPRMP|2025-05</t>
        </is>
      </c>
      <c r="B470" t="inlineStr">
        <is>
          <t>TOPRMP</t>
        </is>
      </c>
      <c r="C470" t="inlineStr">
        <is>
          <t>2025-05</t>
        </is>
      </c>
      <c r="D470" t="inlineStr">
        <is>
          <t>.119</t>
        </is>
      </c>
      <c r="E470" t="inlineStr">
        <is>
          <t>Tight oil production from Mississippian formation</t>
        </is>
      </c>
      <c r="F470" t="inlineStr">
        <is>
          <t>million barrels per day</t>
        </is>
      </c>
    </row>
    <row r="471">
      <c r="A471" t="inlineStr">
        <is>
          <t>TOPRMP|2025-06</t>
        </is>
      </c>
      <c r="B471" t="inlineStr">
        <is>
          <t>TOPRMP</t>
        </is>
      </c>
      <c r="C471" t="inlineStr">
        <is>
          <t>2025-06</t>
        </is>
      </c>
      <c r="D471" t="inlineStr">
        <is>
          <t>.121</t>
        </is>
      </c>
      <c r="E471" t="inlineStr">
        <is>
          <t>Tight oil production from Mississippian formation</t>
        </is>
      </c>
      <c r="F471" t="inlineStr">
        <is>
          <t>million barrels per day</t>
        </is>
      </c>
    </row>
    <row r="472">
      <c r="A472" t="inlineStr">
        <is>
          <t>TOPRMP|2025-07</t>
        </is>
      </c>
      <c r="B472" t="inlineStr">
        <is>
          <t>TOPRMP</t>
        </is>
      </c>
      <c r="C472" t="inlineStr">
        <is>
          <t>2025-07</t>
        </is>
      </c>
      <c r="D472" t="inlineStr">
        <is>
          <t>.121</t>
        </is>
      </c>
      <c r="E472" t="inlineStr">
        <is>
          <t>Tight oil production from Mississippian formation</t>
        </is>
      </c>
      <c r="F472" t="inlineStr">
        <is>
          <t>million barrels per day</t>
        </is>
      </c>
    </row>
    <row r="473">
      <c r="A473" t="inlineStr">
        <is>
          <t>TOPRMP|2025-08</t>
        </is>
      </c>
      <c r="B473" t="inlineStr">
        <is>
          <t>TOPRMP</t>
        </is>
      </c>
      <c r="C473" t="inlineStr">
        <is>
          <t>2025-08</t>
        </is>
      </c>
      <c r="D473" t="inlineStr">
        <is>
          <t>.115</t>
        </is>
      </c>
      <c r="E473" t="inlineStr">
        <is>
          <t>Tight oil production from Mississippian formation</t>
        </is>
      </c>
      <c r="F473" t="inlineStr">
        <is>
          <t>million barrels per day</t>
        </is>
      </c>
    </row>
    <row r="474">
      <c r="A474" t="inlineStr">
        <is>
          <t>TOPRMP|2025-09</t>
        </is>
      </c>
      <c r="B474" t="inlineStr">
        <is>
          <t>TOPRMP</t>
        </is>
      </c>
      <c r="C474" t="inlineStr">
        <is>
          <t>2025-09</t>
        </is>
      </c>
      <c r="D474" t="inlineStr">
        <is>
          <t>.118</t>
        </is>
      </c>
      <c r="E474" t="inlineStr">
        <is>
          <t>Tight oil production from Mississippian formation</t>
        </is>
      </c>
      <c r="F474" t="inlineStr">
        <is>
          <t>million barrels per day</t>
        </is>
      </c>
    </row>
    <row r="475">
      <c r="A475" t="inlineStr">
        <is>
          <t>TOPRMP|2025-10</t>
        </is>
      </c>
      <c r="B475" t="inlineStr">
        <is>
          <t>TOPRMP</t>
        </is>
      </c>
      <c r="C475" t="inlineStr">
        <is>
          <t>2025-10</t>
        </is>
      </c>
      <c r="D475" t="inlineStr">
        <is>
          <t>.121</t>
        </is>
      </c>
      <c r="E475" t="inlineStr">
        <is>
          <t>Tight oil production from Mississippian formation</t>
        </is>
      </c>
      <c r="F475" t="inlineStr">
        <is>
          <t>million barrels per day</t>
        </is>
      </c>
    </row>
    <row r="476">
      <c r="A476" t="inlineStr">
        <is>
          <t>TOPRMP|2025-11</t>
        </is>
      </c>
      <c r="B476" t="inlineStr">
        <is>
          <t>TOPRMP</t>
        </is>
      </c>
      <c r="C476" t="inlineStr">
        <is>
          <t>2025-11</t>
        </is>
      </c>
      <c r="D476" t="inlineStr">
        <is>
          <t>.117</t>
        </is>
      </c>
      <c r="E476" t="inlineStr">
        <is>
          <t>Tight oil production from Mississippian formation</t>
        </is>
      </c>
      <c r="F476" t="inlineStr">
        <is>
          <t>million barrels per day</t>
        </is>
      </c>
    </row>
    <row r="477">
      <c r="A477" t="inlineStr">
        <is>
          <t>TOPRMP|2025-12</t>
        </is>
      </c>
      <c r="B477" t="inlineStr">
        <is>
          <t>TOPRMP</t>
        </is>
      </c>
      <c r="C477" t="inlineStr">
        <is>
          <t>2025-12</t>
        </is>
      </c>
      <c r="D477" t="inlineStr">
        <is>
          <t>.113</t>
        </is>
      </c>
      <c r="E477" t="inlineStr">
        <is>
          <t>Tight oil production from Mississippian formation</t>
        </is>
      </c>
      <c r="F477" t="inlineStr">
        <is>
          <t>million barrels per day</t>
        </is>
      </c>
    </row>
    <row r="478">
      <c r="A478" t="inlineStr">
        <is>
          <t>TOPRMP|2026-01</t>
        </is>
      </c>
      <c r="B478" t="inlineStr">
        <is>
          <t>TOPRMP</t>
        </is>
      </c>
      <c r="C478" t="inlineStr">
        <is>
          <t>2026-01</t>
        </is>
      </c>
      <c r="D478" t="inlineStr">
        <is>
          <t>.098</t>
        </is>
      </c>
      <c r="E478" t="inlineStr">
        <is>
          <t>Tight oil production from Mississippian formation</t>
        </is>
      </c>
      <c r="F478" t="inlineStr">
        <is>
          <t>million barrels per day</t>
        </is>
      </c>
    </row>
    <row r="479">
      <c r="A479" t="inlineStr">
        <is>
          <t>TOPRMP|2026-02</t>
        </is>
      </c>
      <c r="B479" t="inlineStr">
        <is>
          <t>TOPRMP</t>
        </is>
      </c>
      <c r="C479" t="inlineStr">
        <is>
          <t>2026-02</t>
        </is>
      </c>
      <c r="D479" t="inlineStr">
        <is>
          <t>.11</t>
        </is>
      </c>
      <c r="E479" t="inlineStr">
        <is>
          <t>Tight oil production from Mississippian formation</t>
        </is>
      </c>
      <c r="F479" t="inlineStr">
        <is>
          <t>million barrels per day</t>
        </is>
      </c>
    </row>
    <row r="480">
      <c r="A480" t="inlineStr">
        <is>
          <t>TOPRMP|2026-03</t>
        </is>
      </c>
      <c r="B480" t="inlineStr">
        <is>
          <t>TOPRMP</t>
        </is>
      </c>
      <c r="C480" t="inlineStr">
        <is>
          <t>2026-03</t>
        </is>
      </c>
      <c r="D480" t="inlineStr">
        <is>
          <t>.105</t>
        </is>
      </c>
      <c r="E480" t="inlineStr">
        <is>
          <t>Tight oil production from Mississippian formation</t>
        </is>
      </c>
      <c r="F480" t="inlineStr">
        <is>
          <t>million barrels per day</t>
        </is>
      </c>
    </row>
    <row r="481">
      <c r="A481" t="inlineStr">
        <is>
          <t>TOPRMP|2026-04</t>
        </is>
      </c>
      <c r="B481" t="inlineStr">
        <is>
          <t>TOPRMP</t>
        </is>
      </c>
      <c r="C481" t="inlineStr">
        <is>
          <t>2026-04</t>
        </is>
      </c>
      <c r="D481" t="inlineStr">
        <is>
          <t>.098</t>
        </is>
      </c>
      <c r="E481" t="inlineStr">
        <is>
          <t>Tight oil production from Mississippian formation</t>
        </is>
      </c>
      <c r="F481" t="inlineStr">
        <is>
          <t>million barrels per day</t>
        </is>
      </c>
    </row>
    <row r="482">
      <c r="A482" t="inlineStr">
        <is>
          <t>TOPRMP|2026-05</t>
        </is>
      </c>
      <c r="B482" t="inlineStr">
        <is>
          <t>TOPRMP</t>
        </is>
      </c>
      <c r="C482" t="inlineStr">
        <is>
          <t>2026-05</t>
        </is>
      </c>
      <c r="D482" t="inlineStr">
        <is>
          <t>.1</t>
        </is>
      </c>
      <c r="E482" t="inlineStr">
        <is>
          <t>Tight oil production from Mississippian formation</t>
        </is>
      </c>
      <c r="F482" t="inlineStr">
        <is>
          <t>million barrels per day</t>
        </is>
      </c>
    </row>
    <row r="483">
      <c r="A483" t="inlineStr">
        <is>
          <t>TOPRMP|2026-06</t>
        </is>
      </c>
      <c r="B483" t="inlineStr">
        <is>
          <t>TOPRMP</t>
        </is>
      </c>
      <c r="C483" t="inlineStr">
        <is>
          <t>2026-06</t>
        </is>
      </c>
      <c r="D483" t="inlineStr">
        <is>
          <t>.098</t>
        </is>
      </c>
      <c r="E483" t="inlineStr">
        <is>
          <t>Tight oil production from Mississippian formation</t>
        </is>
      </c>
      <c r="F483" t="inlineStr">
        <is>
          <t>million barrels per day</t>
        </is>
      </c>
    </row>
    <row r="484">
      <c r="A484" t="inlineStr">
        <is>
          <t>TOPRMP|2026-07</t>
        </is>
      </c>
      <c r="B484" t="inlineStr">
        <is>
          <t>TOPRMP</t>
        </is>
      </c>
      <c r="C484" t="inlineStr">
        <is>
          <t>2026-07</t>
        </is>
      </c>
      <c r="D484" t="inlineStr">
        <is>
          <t>.096</t>
        </is>
      </c>
      <c r="E484" t="inlineStr">
        <is>
          <t>Tight oil production from Mississippian formation</t>
        </is>
      </c>
      <c r="F484" t="inlineStr">
        <is>
          <t>million barrels per day</t>
        </is>
      </c>
    </row>
    <row r="485">
      <c r="A485" t="inlineStr">
        <is>
          <t>TOPRMP|2026-08</t>
        </is>
      </c>
      <c r="B485" t="inlineStr">
        <is>
          <t>TOPRMP</t>
        </is>
      </c>
      <c r="C485" t="inlineStr">
        <is>
          <t>2026-08</t>
        </is>
      </c>
      <c r="D485" t="inlineStr">
        <is>
          <t>.094</t>
        </is>
      </c>
      <c r="E485" t="inlineStr">
        <is>
          <t>Tight oil production from Mississippian formation</t>
        </is>
      </c>
      <c r="F485" t="inlineStr">
        <is>
          <t>million barrels per day</t>
        </is>
      </c>
    </row>
    <row r="486">
      <c r="A486" t="inlineStr">
        <is>
          <t>TOPRNI|2025-01</t>
        </is>
      </c>
      <c r="B486" t="inlineStr">
        <is>
          <t>TOPRNI</t>
        </is>
      </c>
      <c r="C486" t="inlineStr">
        <is>
          <t>2025-01</t>
        </is>
      </c>
      <c r="D486" t="inlineStr">
        <is>
          <t>.477</t>
        </is>
      </c>
      <c r="E486" t="inlineStr">
        <is>
          <t>Tight oil production from Niobrara Codell formation</t>
        </is>
      </c>
      <c r="F486" t="inlineStr">
        <is>
          <t>million barrels per day</t>
        </is>
      </c>
    </row>
    <row r="487">
      <c r="A487" t="inlineStr">
        <is>
          <t>TOPRNI|2025-02</t>
        </is>
      </c>
      <c r="B487" t="inlineStr">
        <is>
          <t>TOPRNI</t>
        </is>
      </c>
      <c r="C487" t="inlineStr">
        <is>
          <t>2025-02</t>
        </is>
      </c>
      <c r="D487" t="inlineStr">
        <is>
          <t>.471</t>
        </is>
      </c>
      <c r="E487" t="inlineStr">
        <is>
          <t>Tight oil production from Niobrara Codell formation</t>
        </is>
      </c>
      <c r="F487" t="inlineStr">
        <is>
          <t>million barrels per day</t>
        </is>
      </c>
    </row>
    <row r="488">
      <c r="A488" t="inlineStr">
        <is>
          <t>TOPRNI|2025-03</t>
        </is>
      </c>
      <c r="B488" t="inlineStr">
        <is>
          <t>TOPRNI</t>
        </is>
      </c>
      <c r="C488" t="inlineStr">
        <is>
          <t>2025-03</t>
        </is>
      </c>
      <c r="D488" t="inlineStr">
        <is>
          <t>.475</t>
        </is>
      </c>
      <c r="E488" t="inlineStr">
        <is>
          <t>Tight oil production from Niobrara Codell formation</t>
        </is>
      </c>
      <c r="F488" t="inlineStr">
        <is>
          <t>million barrels per day</t>
        </is>
      </c>
    </row>
    <row r="489">
      <c r="A489" t="inlineStr">
        <is>
          <t>TOPRNI|2025-04</t>
        </is>
      </c>
      <c r="B489" t="inlineStr">
        <is>
          <t>TOPRNI</t>
        </is>
      </c>
      <c r="C489" t="inlineStr">
        <is>
          <t>2025-04</t>
        </is>
      </c>
      <c r="D489" t="inlineStr">
        <is>
          <t>.454</t>
        </is>
      </c>
      <c r="E489" t="inlineStr">
        <is>
          <t>Tight oil production from Niobrara Codell formation</t>
        </is>
      </c>
      <c r="F489" t="inlineStr">
        <is>
          <t>million barrels per day</t>
        </is>
      </c>
    </row>
    <row r="490">
      <c r="A490" t="inlineStr">
        <is>
          <t>TOPRNI|2025-05</t>
        </is>
      </c>
      <c r="B490" t="inlineStr">
        <is>
          <t>TOPRNI</t>
        </is>
      </c>
      <c r="C490" t="inlineStr">
        <is>
          <t>2025-05</t>
        </is>
      </c>
      <c r="D490" t="inlineStr">
        <is>
          <t>.475</t>
        </is>
      </c>
      <c r="E490" t="inlineStr">
        <is>
          <t>Tight oil production from Niobrara Codell formation</t>
        </is>
      </c>
      <c r="F490" t="inlineStr">
        <is>
          <t>million barrels per day</t>
        </is>
      </c>
    </row>
    <row r="491">
      <c r="A491" t="inlineStr">
        <is>
          <t>TOPRNI|2025-06</t>
        </is>
      </c>
      <c r="B491" t="inlineStr">
        <is>
          <t>TOPRNI</t>
        </is>
      </c>
      <c r="C491" t="inlineStr">
        <is>
          <t>2025-06</t>
        </is>
      </c>
      <c r="D491" t="inlineStr">
        <is>
          <t>.454</t>
        </is>
      </c>
      <c r="E491" t="inlineStr">
        <is>
          <t>Tight oil production from Niobrara Codell formation</t>
        </is>
      </c>
      <c r="F491" t="inlineStr">
        <is>
          <t>million barrels per day</t>
        </is>
      </c>
    </row>
    <row r="492">
      <c r="A492" t="inlineStr">
        <is>
          <t>TOPRNI|2025-07</t>
        </is>
      </c>
      <c r="B492" t="inlineStr">
        <is>
          <t>TOPRNI</t>
        </is>
      </c>
      <c r="C492" t="inlineStr">
        <is>
          <t>2025-07</t>
        </is>
      </c>
      <c r="D492" t="inlineStr">
        <is>
          <t>.465</t>
        </is>
      </c>
      <c r="E492" t="inlineStr">
        <is>
          <t>Tight oil production from Niobrara Codell formation</t>
        </is>
      </c>
      <c r="F492" t="inlineStr">
        <is>
          <t>million barrels per day</t>
        </is>
      </c>
    </row>
    <row r="493">
      <c r="A493" t="inlineStr">
        <is>
          <t>TOPRNI|2025-08</t>
        </is>
      </c>
      <c r="B493" t="inlineStr">
        <is>
          <t>TOPRNI</t>
        </is>
      </c>
      <c r="C493" t="inlineStr">
        <is>
          <t>2025-08</t>
        </is>
      </c>
      <c r="D493" t="inlineStr">
        <is>
          <t>.467</t>
        </is>
      </c>
      <c r="E493" t="inlineStr">
        <is>
          <t>Tight oil production from Niobrara Codell formation</t>
        </is>
      </c>
      <c r="F493" t="inlineStr">
        <is>
          <t>million barrels per day</t>
        </is>
      </c>
    </row>
    <row r="494">
      <c r="A494" t="inlineStr">
        <is>
          <t>TOPRNI|2025-09</t>
        </is>
      </c>
      <c r="B494" t="inlineStr">
        <is>
          <t>TOPRNI</t>
        </is>
      </c>
      <c r="C494" t="inlineStr">
        <is>
          <t>2025-09</t>
        </is>
      </c>
      <c r="D494" t="inlineStr">
        <is>
          <t>.463</t>
        </is>
      </c>
      <c r="E494" t="inlineStr">
        <is>
          <t>Tight oil production from Niobrara Codell formation</t>
        </is>
      </c>
      <c r="F494" t="inlineStr">
        <is>
          <t>million barrels per day</t>
        </is>
      </c>
    </row>
    <row r="495">
      <c r="A495" t="inlineStr">
        <is>
          <t>TOPRNI|2025-10</t>
        </is>
      </c>
      <c r="B495" t="inlineStr">
        <is>
          <t>TOPRNI</t>
        </is>
      </c>
      <c r="C495" t="inlineStr">
        <is>
          <t>2025-10</t>
        </is>
      </c>
      <c r="D495" t="inlineStr">
        <is>
          <t>.472</t>
        </is>
      </c>
      <c r="E495" t="inlineStr">
        <is>
          <t>Tight oil production from Niobrara Codell formation</t>
        </is>
      </c>
      <c r="F495" t="inlineStr">
        <is>
          <t>million barrels per day</t>
        </is>
      </c>
    </row>
    <row r="496">
      <c r="A496" t="inlineStr">
        <is>
          <t>TOPRNI|2025-11</t>
        </is>
      </c>
      <c r="B496" t="inlineStr">
        <is>
          <t>TOPRNI</t>
        </is>
      </c>
      <c r="C496" t="inlineStr">
        <is>
          <t>2025-11</t>
        </is>
      </c>
      <c r="D496" t="inlineStr">
        <is>
          <t>.461</t>
        </is>
      </c>
      <c r="E496" t="inlineStr">
        <is>
          <t>Tight oil production from Niobrara Codell formation</t>
        </is>
      </c>
      <c r="F496" t="inlineStr">
        <is>
          <t>million barrels per day</t>
        </is>
      </c>
    </row>
    <row r="497">
      <c r="A497" t="inlineStr">
        <is>
          <t>TOPRNI|2025-12</t>
        </is>
      </c>
      <c r="B497" t="inlineStr">
        <is>
          <t>TOPRNI</t>
        </is>
      </c>
      <c r="C497" t="inlineStr">
        <is>
          <t>2025-12</t>
        </is>
      </c>
      <c r="D497" t="inlineStr">
        <is>
          <t>.448</t>
        </is>
      </c>
      <c r="E497" t="inlineStr">
        <is>
          <t>Tight oil production from Niobrara Codell formation</t>
        </is>
      </c>
      <c r="F497" t="inlineStr">
        <is>
          <t>million barrels per day</t>
        </is>
      </c>
    </row>
    <row r="498">
      <c r="A498" t="inlineStr">
        <is>
          <t>TOPRNI|2026-01</t>
        </is>
      </c>
      <c r="B498" t="inlineStr">
        <is>
          <t>TOPRNI</t>
        </is>
      </c>
      <c r="C498" t="inlineStr">
        <is>
          <t>2026-01</t>
        </is>
      </c>
      <c r="D498" t="inlineStr">
        <is>
          <t>.434</t>
        </is>
      </c>
      <c r="E498" t="inlineStr">
        <is>
          <t>Tight oil production from Niobrara Codell formation</t>
        </is>
      </c>
      <c r="F498" t="inlineStr">
        <is>
          <t>million barrels per day</t>
        </is>
      </c>
    </row>
    <row r="499">
      <c r="A499" t="inlineStr">
        <is>
          <t>TOPRNI|2026-02</t>
        </is>
      </c>
      <c r="B499" t="inlineStr">
        <is>
          <t>TOPRNI</t>
        </is>
      </c>
      <c r="C499" t="inlineStr">
        <is>
          <t>2026-02</t>
        </is>
      </c>
      <c r="D499" t="inlineStr">
        <is>
          <t>.441</t>
        </is>
      </c>
      <c r="E499" t="inlineStr">
        <is>
          <t>Tight oil production from Niobrara Codell formation</t>
        </is>
      </c>
      <c r="F499" t="inlineStr">
        <is>
          <t>million barrels per day</t>
        </is>
      </c>
    </row>
    <row r="500">
      <c r="A500" t="inlineStr">
        <is>
          <t>TOPRNI|2026-03</t>
        </is>
      </c>
      <c r="B500" t="inlineStr">
        <is>
          <t>TOPRNI</t>
        </is>
      </c>
      <c r="C500" t="inlineStr">
        <is>
          <t>2026-03</t>
        </is>
      </c>
      <c r="D500" t="inlineStr">
        <is>
          <t>.452</t>
        </is>
      </c>
      <c r="E500" t="inlineStr">
        <is>
          <t>Tight oil production from Niobrara Codell formation</t>
        </is>
      </c>
      <c r="F500" t="inlineStr">
        <is>
          <t>million barrels per day</t>
        </is>
      </c>
    </row>
    <row r="501">
      <c r="A501" t="inlineStr">
        <is>
          <t>TOPRNI|2026-04</t>
        </is>
      </c>
      <c r="B501" t="inlineStr">
        <is>
          <t>TOPRNI</t>
        </is>
      </c>
      <c r="C501" t="inlineStr">
        <is>
          <t>2026-04</t>
        </is>
      </c>
      <c r="D501" t="inlineStr">
        <is>
          <t>.45</t>
        </is>
      </c>
      <c r="E501" t="inlineStr">
        <is>
          <t>Tight oil production from Niobrara Codell formation</t>
        </is>
      </c>
      <c r="F501" t="inlineStr">
        <is>
          <t>million barrels per day</t>
        </is>
      </c>
    </row>
    <row r="502">
      <c r="A502" t="inlineStr">
        <is>
          <t>TOPRNI|2026-05</t>
        </is>
      </c>
      <c r="B502" t="inlineStr">
        <is>
          <t>TOPRNI</t>
        </is>
      </c>
      <c r="C502" t="inlineStr">
        <is>
          <t>2026-05</t>
        </is>
      </c>
      <c r="D502" t="inlineStr">
        <is>
          <t>.437</t>
        </is>
      </c>
      <c r="E502" t="inlineStr">
        <is>
          <t>Tight oil production from Niobrara Codell formation</t>
        </is>
      </c>
      <c r="F502" t="inlineStr">
        <is>
          <t>million barrels per day</t>
        </is>
      </c>
    </row>
    <row r="503">
      <c r="A503" t="inlineStr">
        <is>
          <t>TOPRNI|2026-06</t>
        </is>
      </c>
      <c r="B503" t="inlineStr">
        <is>
          <t>TOPRNI</t>
        </is>
      </c>
      <c r="C503" t="inlineStr">
        <is>
          <t>2026-06</t>
        </is>
      </c>
      <c r="D503" t="inlineStr">
        <is>
          <t>.43</t>
        </is>
      </c>
      <c r="E503" t="inlineStr">
        <is>
          <t>Tight oil production from Niobrara Codell formation</t>
        </is>
      </c>
      <c r="F503" t="inlineStr">
        <is>
          <t>million barrels per day</t>
        </is>
      </c>
    </row>
    <row r="504">
      <c r="A504" t="inlineStr">
        <is>
          <t>TOPRNI|2026-07</t>
        </is>
      </c>
      <c r="B504" t="inlineStr">
        <is>
          <t>TOPRNI</t>
        </is>
      </c>
      <c r="C504" t="inlineStr">
        <is>
          <t>2026-07</t>
        </is>
      </c>
      <c r="D504" t="inlineStr">
        <is>
          <t>.435</t>
        </is>
      </c>
      <c r="E504" t="inlineStr">
        <is>
          <t>Tight oil production from Niobrara Codell formation</t>
        </is>
      </c>
      <c r="F504" t="inlineStr">
        <is>
          <t>million barrels per day</t>
        </is>
      </c>
    </row>
    <row r="505">
      <c r="A505" t="inlineStr">
        <is>
          <t>TOPRNI|2026-08</t>
        </is>
      </c>
      <c r="B505" t="inlineStr">
        <is>
          <t>TOPRNI</t>
        </is>
      </c>
      <c r="C505" t="inlineStr">
        <is>
          <t>2026-08</t>
        </is>
      </c>
      <c r="D505" t="inlineStr">
        <is>
          <t>.443</t>
        </is>
      </c>
      <c r="E505" t="inlineStr">
        <is>
          <t>Tight oil production from Niobrara Codell formation</t>
        </is>
      </c>
      <c r="F505" t="inlineStr">
        <is>
          <t>million barrels per day</t>
        </is>
      </c>
    </row>
    <row r="506">
      <c r="A506" t="inlineStr">
        <is>
          <t>TOPRPM|2025-01</t>
        </is>
      </c>
      <c r="B506" t="inlineStr">
        <is>
          <t>TOPRPM</t>
        </is>
      </c>
      <c r="C506" t="inlineStr">
        <is>
          <t>2025-01</t>
        </is>
      </c>
      <c r="D506" t="inlineStr">
        <is>
          <t>5.667</t>
        </is>
      </c>
      <c r="E506" t="inlineStr">
        <is>
          <t>Tight oil production from Permian formations</t>
        </is>
      </c>
      <c r="F506" t="inlineStr">
        <is>
          <t>million barrels per day</t>
        </is>
      </c>
    </row>
    <row r="507">
      <c r="A507" t="inlineStr">
        <is>
          <t>TOPRPM|2025-02</t>
        </is>
      </c>
      <c r="B507" t="inlineStr">
        <is>
          <t>TOPRPM</t>
        </is>
      </c>
      <c r="C507" t="inlineStr">
        <is>
          <t>2025-02</t>
        </is>
      </c>
      <c r="D507" t="inlineStr">
        <is>
          <t>5.763</t>
        </is>
      </c>
      <c r="E507" t="inlineStr">
        <is>
          <t>Tight oil production from Permian formations</t>
        </is>
      </c>
      <c r="F507" t="inlineStr">
        <is>
          <t>million barrels per day</t>
        </is>
      </c>
    </row>
    <row r="508">
      <c r="A508" t="inlineStr">
        <is>
          <t>TOPRPM|2025-03</t>
        </is>
      </c>
      <c r="B508" t="inlineStr">
        <is>
          <t>TOPRPM</t>
        </is>
      </c>
      <c r="C508" t="inlineStr">
        <is>
          <t>2025-03</t>
        </is>
      </c>
      <c r="D508" t="inlineStr">
        <is>
          <t>5.906</t>
        </is>
      </c>
      <c r="E508" t="inlineStr">
        <is>
          <t>Tight oil production from Permian formations</t>
        </is>
      </c>
      <c r="F508" t="inlineStr">
        <is>
          <t>million barrels per day</t>
        </is>
      </c>
    </row>
    <row r="509">
      <c r="A509" t="inlineStr">
        <is>
          <t>TOPRPM|2025-04</t>
        </is>
      </c>
      <c r="B509" t="inlineStr">
        <is>
          <t>TOPRPM</t>
        </is>
      </c>
      <c r="C509" t="inlineStr">
        <is>
          <t>2025-04</t>
        </is>
      </c>
      <c r="D509" t="inlineStr">
        <is>
          <t>5.922</t>
        </is>
      </c>
      <c r="E509" t="inlineStr">
        <is>
          <t>Tight oil production from Permian formations</t>
        </is>
      </c>
      <c r="F509" t="inlineStr">
        <is>
          <t>million barrels per day</t>
        </is>
      </c>
    </row>
    <row r="510">
      <c r="A510" t="inlineStr">
        <is>
          <t>TOPRPM|2025-05</t>
        </is>
      </c>
      <c r="B510" t="inlineStr">
        <is>
          <t>TOPRPM</t>
        </is>
      </c>
      <c r="C510" t="inlineStr">
        <is>
          <t>2025-05</t>
        </is>
      </c>
      <c r="D510" t="inlineStr">
        <is>
          <t>5.919</t>
        </is>
      </c>
      <c r="E510" t="inlineStr">
        <is>
          <t>Tight oil production from Permian formations</t>
        </is>
      </c>
      <c r="F510" t="inlineStr">
        <is>
          <t>million barrels per day</t>
        </is>
      </c>
    </row>
    <row r="511">
      <c r="A511" t="inlineStr">
        <is>
          <t>TOPRPM|2025-06</t>
        </is>
      </c>
      <c r="B511" t="inlineStr">
        <is>
          <t>TOPRPM</t>
        </is>
      </c>
      <c r="C511" t="inlineStr">
        <is>
          <t>2025-06</t>
        </is>
      </c>
      <c r="D511" t="inlineStr">
        <is>
          <t>5.926</t>
        </is>
      </c>
      <c r="E511" t="inlineStr">
        <is>
          <t>Tight oil production from Permian formations</t>
        </is>
      </c>
      <c r="F511" t="inlineStr">
        <is>
          <t>million barrels per day</t>
        </is>
      </c>
    </row>
    <row r="512">
      <c r="A512" t="inlineStr">
        <is>
          <t>TOPRPM|2025-07</t>
        </is>
      </c>
      <c r="B512" t="inlineStr">
        <is>
          <t>TOPRPM</t>
        </is>
      </c>
      <c r="C512" t="inlineStr">
        <is>
          <t>2025-07</t>
        </is>
      </c>
      <c r="D512" t="inlineStr">
        <is>
          <t>6.034</t>
        </is>
      </c>
      <c r="E512" t="inlineStr">
        <is>
          <t>Tight oil production from Permian formations</t>
        </is>
      </c>
      <c r="F512" t="inlineStr">
        <is>
          <t>million barrels per day</t>
        </is>
      </c>
    </row>
    <row r="513">
      <c r="A513" t="inlineStr">
        <is>
          <t>TOPRPM|2025-08</t>
        </is>
      </c>
      <c r="B513" t="inlineStr">
        <is>
          <t>TOPRPM</t>
        </is>
      </c>
      <c r="C513" t="inlineStr">
        <is>
          <t>2025-08</t>
        </is>
      </c>
      <c r="D513" t="inlineStr">
        <is>
          <t>6.035</t>
        </is>
      </c>
      <c r="E513" t="inlineStr">
        <is>
          <t>Tight oil production from Permian formations</t>
        </is>
      </c>
      <c r="F513" t="inlineStr">
        <is>
          <t>million barrels per day</t>
        </is>
      </c>
    </row>
    <row r="514">
      <c r="A514" t="inlineStr">
        <is>
          <t>TOPRPM|2025-09</t>
        </is>
      </c>
      <c r="B514" t="inlineStr">
        <is>
          <t>TOPRPM</t>
        </is>
      </c>
      <c r="C514" t="inlineStr">
        <is>
          <t>2025-09</t>
        </is>
      </c>
      <c r="D514" t="inlineStr">
        <is>
          <t>6.072</t>
        </is>
      </c>
      <c r="E514" t="inlineStr">
        <is>
          <t>Tight oil production from Permian formations</t>
        </is>
      </c>
      <c r="F514" t="inlineStr">
        <is>
          <t>million barrels per day</t>
        </is>
      </c>
    </row>
    <row r="515">
      <c r="A515" t="inlineStr">
        <is>
          <t>TOPRPM|2025-10</t>
        </is>
      </c>
      <c r="B515" t="inlineStr">
        <is>
          <t>TOPRPM</t>
        </is>
      </c>
      <c r="C515" t="inlineStr">
        <is>
          <t>2025-10</t>
        </is>
      </c>
      <c r="D515" t="inlineStr">
        <is>
          <t>6.118</t>
        </is>
      </c>
      <c r="E515" t="inlineStr">
        <is>
          <t>Tight oil production from Permian formations</t>
        </is>
      </c>
      <c r="F515" t="inlineStr">
        <is>
          <t>million barrels per day</t>
        </is>
      </c>
    </row>
    <row r="516">
      <c r="A516" t="inlineStr">
        <is>
          <t>TOPRPM|2025-11</t>
        </is>
      </c>
      <c r="B516" t="inlineStr">
        <is>
          <t>TOPRPM</t>
        </is>
      </c>
      <c r="C516" t="inlineStr">
        <is>
          <t>2025-11</t>
        </is>
      </c>
      <c r="D516" t="inlineStr">
        <is>
          <t>6.142</t>
        </is>
      </c>
      <c r="E516" t="inlineStr">
        <is>
          <t>Tight oil production from Permian formations</t>
        </is>
      </c>
      <c r="F516" t="inlineStr">
        <is>
          <t>million barrels per day</t>
        </is>
      </c>
    </row>
    <row r="517">
      <c r="A517" t="inlineStr">
        <is>
          <t>TOPRPM|2025-12</t>
        </is>
      </c>
      <c r="B517" t="inlineStr">
        <is>
          <t>TOPRPM</t>
        </is>
      </c>
      <c r="C517" t="inlineStr">
        <is>
          <t>2025-12</t>
        </is>
      </c>
      <c r="D517" t="inlineStr">
        <is>
          <t>6.081</t>
        </is>
      </c>
      <c r="E517" t="inlineStr">
        <is>
          <t>Tight oil production from Permian formations</t>
        </is>
      </c>
      <c r="F517" t="inlineStr">
        <is>
          <t>million barrels per day</t>
        </is>
      </c>
    </row>
    <row r="518">
      <c r="A518" t="inlineStr">
        <is>
          <t>TOPRPM|2026-01</t>
        </is>
      </c>
      <c r="B518" t="inlineStr">
        <is>
          <t>TOPRPM</t>
        </is>
      </c>
      <c r="C518" t="inlineStr">
        <is>
          <t>2026-01</t>
        </is>
      </c>
      <c r="D518" t="inlineStr">
        <is>
          <t>5.756</t>
        </is>
      </c>
      <c r="E518" t="inlineStr">
        <is>
          <t>Tight oil production from Permian formations</t>
        </is>
      </c>
      <c r="F518" t="inlineStr">
        <is>
          <t>million barrels per day</t>
        </is>
      </c>
    </row>
    <row r="519">
      <c r="A519" t="inlineStr">
        <is>
          <t>TOPRPM|2026-02</t>
        </is>
      </c>
      <c r="B519" t="inlineStr">
        <is>
          <t>TOPRPM</t>
        </is>
      </c>
      <c r="C519" t="inlineStr">
        <is>
          <t>2026-02</t>
        </is>
      </c>
      <c r="D519" t="inlineStr">
        <is>
          <t>6.125</t>
        </is>
      </c>
      <c r="E519" t="inlineStr">
        <is>
          <t>Tight oil production from Permian formations</t>
        </is>
      </c>
      <c r="F519" t="inlineStr">
        <is>
          <t>million barrels per day</t>
        </is>
      </c>
    </row>
    <row r="520">
      <c r="A520" t="inlineStr">
        <is>
          <t>TOPRPM|2026-03</t>
        </is>
      </c>
      <c r="B520" t="inlineStr">
        <is>
          <t>TOPRPM</t>
        </is>
      </c>
      <c r="C520" t="inlineStr">
        <is>
          <t>2026-03</t>
        </is>
      </c>
      <c r="D520" t="inlineStr">
        <is>
          <t>6.15</t>
        </is>
      </c>
      <c r="E520" t="inlineStr">
        <is>
          <t>Tight oil production from Permian formations</t>
        </is>
      </c>
      <c r="F520" t="inlineStr">
        <is>
          <t>million barrels per day</t>
        </is>
      </c>
    </row>
    <row r="521">
      <c r="A521" t="inlineStr">
        <is>
          <t>TOPRPM|2026-04</t>
        </is>
      </c>
      <c r="B521" t="inlineStr">
        <is>
          <t>TOPRPM</t>
        </is>
      </c>
      <c r="C521" t="inlineStr">
        <is>
          <t>2026-04</t>
        </is>
      </c>
      <c r="D521" t="inlineStr">
        <is>
          <t>6.165</t>
        </is>
      </c>
      <c r="E521" t="inlineStr">
        <is>
          <t>Tight oil production from Permian formations</t>
        </is>
      </c>
      <c r="F521" t="inlineStr">
        <is>
          <t>million barrels per day</t>
        </is>
      </c>
    </row>
    <row r="522">
      <c r="A522" t="inlineStr">
        <is>
          <t>TOPRPM|2026-05</t>
        </is>
      </c>
      <c r="B522" t="inlineStr">
        <is>
          <t>TOPRPM</t>
        </is>
      </c>
      <c r="C522" t="inlineStr">
        <is>
          <t>2026-05</t>
        </is>
      </c>
      <c r="D522" t="inlineStr">
        <is>
          <t>6.177</t>
        </is>
      </c>
      <c r="E522" t="inlineStr">
        <is>
          <t>Tight oil production from Permian formations</t>
        </is>
      </c>
      <c r="F522" t="inlineStr">
        <is>
          <t>million barrels per day</t>
        </is>
      </c>
    </row>
    <row r="523">
      <c r="A523" t="inlineStr">
        <is>
          <t>TOPRPM|2026-06</t>
        </is>
      </c>
      <c r="B523" t="inlineStr">
        <is>
          <t>TOPRPM</t>
        </is>
      </c>
      <c r="C523" t="inlineStr">
        <is>
          <t>2026-06</t>
        </is>
      </c>
      <c r="D523" t="inlineStr">
        <is>
          <t>6.097</t>
        </is>
      </c>
      <c r="E523" t="inlineStr">
        <is>
          <t>Tight oil production from Permian formations</t>
        </is>
      </c>
      <c r="F523" t="inlineStr">
        <is>
          <t>million barrels per day</t>
        </is>
      </c>
    </row>
    <row r="524">
      <c r="A524" t="inlineStr">
        <is>
          <t>TOPRPM|2026-07</t>
        </is>
      </c>
      <c r="B524" t="inlineStr">
        <is>
          <t>TOPRPM</t>
        </is>
      </c>
      <c r="C524" t="inlineStr">
        <is>
          <t>2026-07</t>
        </is>
      </c>
      <c r="D524" t="inlineStr">
        <is>
          <t>6.204</t>
        </is>
      </c>
      <c r="E524" t="inlineStr">
        <is>
          <t>Tight oil production from Permian formations</t>
        </is>
      </c>
      <c r="F524" t="inlineStr">
        <is>
          <t>million barrels per day</t>
        </is>
      </c>
    </row>
    <row r="525">
      <c r="A525" t="inlineStr">
        <is>
          <t>TOPRPM|2026-08</t>
        </is>
      </c>
      <c r="B525" t="inlineStr">
        <is>
          <t>TOPRPM</t>
        </is>
      </c>
      <c r="C525" t="inlineStr">
        <is>
          <t>2026-08</t>
        </is>
      </c>
      <c r="D525" t="inlineStr">
        <is>
          <t>6.176</t>
        </is>
      </c>
      <c r="E525" t="inlineStr">
        <is>
          <t>Tight oil production from Permian formations</t>
        </is>
      </c>
      <c r="F525" t="inlineStr">
        <is>
          <t>million barrels per day</t>
        </is>
      </c>
    </row>
    <row r="526">
      <c r="A526" t="inlineStr">
        <is>
          <t>TOPRR48|2025-01</t>
        </is>
      </c>
      <c r="B526" t="inlineStr">
        <is>
          <t>TOPRR48</t>
        </is>
      </c>
      <c r="C526" t="inlineStr">
        <is>
          <t>2025-01</t>
        </is>
      </c>
      <c r="D526" t="inlineStr">
        <is>
          <t>.343</t>
        </is>
      </c>
      <c r="E526" t="inlineStr">
        <is>
          <t>Tight oil production from other U.S. formations</t>
        </is>
      </c>
      <c r="F526" t="inlineStr">
        <is>
          <t>million barrels per day</t>
        </is>
      </c>
    </row>
    <row r="527">
      <c r="A527" t="inlineStr">
        <is>
          <t>TOPRR48|2025-02</t>
        </is>
      </c>
      <c r="B527" t="inlineStr">
        <is>
          <t>TOPRR48</t>
        </is>
      </c>
      <c r="C527" t="inlineStr">
        <is>
          <t>2025-02</t>
        </is>
      </c>
      <c r="D527" t="inlineStr">
        <is>
          <t>.355</t>
        </is>
      </c>
      <c r="E527" t="inlineStr">
        <is>
          <t>Tight oil production from other U.S. formations</t>
        </is>
      </c>
      <c r="F527" t="inlineStr">
        <is>
          <t>million barrels per day</t>
        </is>
      </c>
    </row>
    <row r="528">
      <c r="A528" t="inlineStr">
        <is>
          <t>TOPRR48|2025-03</t>
        </is>
      </c>
      <c r="B528" t="inlineStr">
        <is>
          <t>TOPRR48</t>
        </is>
      </c>
      <c r="C528" t="inlineStr">
        <is>
          <t>2025-03</t>
        </is>
      </c>
      <c r="D528" t="inlineStr">
        <is>
          <t>.373</t>
        </is>
      </c>
      <c r="E528" t="inlineStr">
        <is>
          <t>Tight oil production from other U.S. formations</t>
        </is>
      </c>
      <c r="F528" t="inlineStr">
        <is>
          <t>million barrels per day</t>
        </is>
      </c>
    </row>
    <row r="529">
      <c r="A529" t="inlineStr">
        <is>
          <t>TOPRR48|2025-04</t>
        </is>
      </c>
      <c r="B529" t="inlineStr">
        <is>
          <t>TOPRR48</t>
        </is>
      </c>
      <c r="C529" t="inlineStr">
        <is>
          <t>2025-04</t>
        </is>
      </c>
      <c r="D529" t="inlineStr">
        <is>
          <t>.363</t>
        </is>
      </c>
      <c r="E529" t="inlineStr">
        <is>
          <t>Tight oil production from other U.S. formations</t>
        </is>
      </c>
      <c r="F529" t="inlineStr">
        <is>
          <t>million barrels per day</t>
        </is>
      </c>
    </row>
    <row r="530">
      <c r="A530" t="inlineStr">
        <is>
          <t>TOPRR48|2025-05</t>
        </is>
      </c>
      <c r="B530" t="inlineStr">
        <is>
          <t>TOPRR48</t>
        </is>
      </c>
      <c r="C530" t="inlineStr">
        <is>
          <t>2025-05</t>
        </is>
      </c>
      <c r="D530" t="inlineStr">
        <is>
          <t>.379</t>
        </is>
      </c>
      <c r="E530" t="inlineStr">
        <is>
          <t>Tight oil production from other U.S. formations</t>
        </is>
      </c>
      <c r="F530" t="inlineStr">
        <is>
          <t>million barrels per day</t>
        </is>
      </c>
    </row>
    <row r="531">
      <c r="A531" t="inlineStr">
        <is>
          <t>TOPRR48|2025-06</t>
        </is>
      </c>
      <c r="B531" t="inlineStr">
        <is>
          <t>TOPRR48</t>
        </is>
      </c>
      <c r="C531" t="inlineStr">
        <is>
          <t>2025-06</t>
        </is>
      </c>
      <c r="D531" t="inlineStr">
        <is>
          <t>.386</t>
        </is>
      </c>
      <c r="E531" t="inlineStr">
        <is>
          <t>Tight oil production from other U.S. formations</t>
        </is>
      </c>
      <c r="F531" t="inlineStr">
        <is>
          <t>million barrels per day</t>
        </is>
      </c>
    </row>
    <row r="532">
      <c r="A532" t="inlineStr">
        <is>
          <t>TOPRR48|2025-07</t>
        </is>
      </c>
      <c r="B532" t="inlineStr">
        <is>
          <t>TOPRR48</t>
        </is>
      </c>
      <c r="C532" t="inlineStr">
        <is>
          <t>2025-07</t>
        </is>
      </c>
      <c r="D532" t="inlineStr">
        <is>
          <t>.37</t>
        </is>
      </c>
      <c r="E532" t="inlineStr">
        <is>
          <t>Tight oil production from other U.S. formations</t>
        </is>
      </c>
      <c r="F532" t="inlineStr">
        <is>
          <t>million barrels per day</t>
        </is>
      </c>
    </row>
    <row r="533">
      <c r="A533" t="inlineStr">
        <is>
          <t>TOPRR48|2025-08</t>
        </is>
      </c>
      <c r="B533" t="inlineStr">
        <is>
          <t>TOPRR48</t>
        </is>
      </c>
      <c r="C533" t="inlineStr">
        <is>
          <t>2025-08</t>
        </is>
      </c>
      <c r="D533" t="inlineStr">
        <is>
          <t>.384</t>
        </is>
      </c>
      <c r="E533" t="inlineStr">
        <is>
          <t>Tight oil production from other U.S. formations</t>
        </is>
      </c>
      <c r="F533" t="inlineStr">
        <is>
          <t>million barrels per day</t>
        </is>
      </c>
    </row>
    <row r="534">
      <c r="A534" t="inlineStr">
        <is>
          <t>TOPRR48|2025-09</t>
        </is>
      </c>
      <c r="B534" t="inlineStr">
        <is>
          <t>TOPRR48</t>
        </is>
      </c>
      <c r="C534" t="inlineStr">
        <is>
          <t>2025-09</t>
        </is>
      </c>
      <c r="D534" t="inlineStr">
        <is>
          <t>.385</t>
        </is>
      </c>
      <c r="E534" t="inlineStr">
        <is>
          <t>Tight oil production from other U.S. formations</t>
        </is>
      </c>
      <c r="F534" t="inlineStr">
        <is>
          <t>million barrels per day</t>
        </is>
      </c>
    </row>
    <row r="535">
      <c r="A535" t="inlineStr">
        <is>
          <t>TOPRR48|2025-10</t>
        </is>
      </c>
      <c r="B535" t="inlineStr">
        <is>
          <t>TOPRR48</t>
        </is>
      </c>
      <c r="C535" t="inlineStr">
        <is>
          <t>2025-10</t>
        </is>
      </c>
      <c r="D535" t="inlineStr">
        <is>
          <t>.354</t>
        </is>
      </c>
      <c r="E535" t="inlineStr">
        <is>
          <t>Tight oil production from other U.S. formations</t>
        </is>
      </c>
      <c r="F535" t="inlineStr">
        <is>
          <t>million barrels per day</t>
        </is>
      </c>
    </row>
    <row r="536">
      <c r="A536" t="inlineStr">
        <is>
          <t>TOPRR48|2025-11</t>
        </is>
      </c>
      <c r="B536" t="inlineStr">
        <is>
          <t>TOPRR48</t>
        </is>
      </c>
      <c r="C536" t="inlineStr">
        <is>
          <t>2025-11</t>
        </is>
      </c>
      <c r="D536" t="inlineStr">
        <is>
          <t>.351</t>
        </is>
      </c>
      <c r="E536" t="inlineStr">
        <is>
          <t>Tight oil production from other U.S. formations</t>
        </is>
      </c>
      <c r="F536" t="inlineStr">
        <is>
          <t>million barrels per day</t>
        </is>
      </c>
    </row>
    <row r="537">
      <c r="A537" t="inlineStr">
        <is>
          <t>TOPRR48|2025-12</t>
        </is>
      </c>
      <c r="B537" t="inlineStr">
        <is>
          <t>TOPRR48</t>
        </is>
      </c>
      <c r="C537" t="inlineStr">
        <is>
          <t>2025-12</t>
        </is>
      </c>
      <c r="D537" t="inlineStr">
        <is>
          <t>.367</t>
        </is>
      </c>
      <c r="E537" t="inlineStr">
        <is>
          <t>Tight oil production from other U.S. formations</t>
        </is>
      </c>
      <c r="F537" t="inlineStr">
        <is>
          <t>million barrels per day</t>
        </is>
      </c>
    </row>
    <row r="538">
      <c r="A538" t="inlineStr">
        <is>
          <t>TOPRR48|2026-01</t>
        </is>
      </c>
      <c r="B538" t="inlineStr">
        <is>
          <t>TOPRR48</t>
        </is>
      </c>
      <c r="C538" t="inlineStr">
        <is>
          <t>2026-01</t>
        </is>
      </c>
      <c r="D538" t="inlineStr">
        <is>
          <t>.343</t>
        </is>
      </c>
      <c r="E538" t="inlineStr">
        <is>
          <t>Tight oil production from other U.S. formations</t>
        </is>
      </c>
      <c r="F538" t="inlineStr">
        <is>
          <t>million barrels per day</t>
        </is>
      </c>
    </row>
    <row r="539">
      <c r="A539" t="inlineStr">
        <is>
          <t>TOPRR48|2026-02</t>
        </is>
      </c>
      <c r="B539" t="inlineStr">
        <is>
          <t>TOPRR48</t>
        </is>
      </c>
      <c r="C539" t="inlineStr">
        <is>
          <t>2026-02</t>
        </is>
      </c>
      <c r="D539" t="inlineStr">
        <is>
          <t>.36</t>
        </is>
      </c>
      <c r="E539" t="inlineStr">
        <is>
          <t>Tight oil production from other U.S. formations</t>
        </is>
      </c>
      <c r="F539" t="inlineStr">
        <is>
          <t>million barrels per day</t>
        </is>
      </c>
    </row>
    <row r="540">
      <c r="A540" t="inlineStr">
        <is>
          <t>TOPRR48|2026-03</t>
        </is>
      </c>
      <c r="B540" t="inlineStr">
        <is>
          <t>TOPRR48</t>
        </is>
      </c>
      <c r="C540" t="inlineStr">
        <is>
          <t>2026-03</t>
        </is>
      </c>
      <c r="D540" t="inlineStr">
        <is>
          <t>.369</t>
        </is>
      </c>
      <c r="E540" t="inlineStr">
        <is>
          <t>Tight oil production from other U.S. formations</t>
        </is>
      </c>
      <c r="F540" t="inlineStr">
        <is>
          <t>million barrels per day</t>
        </is>
      </c>
    </row>
    <row r="541">
      <c r="A541" t="inlineStr">
        <is>
          <t>TOPRR48|2026-04</t>
        </is>
      </c>
      <c r="B541" t="inlineStr">
        <is>
          <t>TOPRR48</t>
        </is>
      </c>
      <c r="C541" t="inlineStr">
        <is>
          <t>2026-04</t>
        </is>
      </c>
      <c r="D541" t="inlineStr">
        <is>
          <t>.366</t>
        </is>
      </c>
      <c r="E541" t="inlineStr">
        <is>
          <t>Tight oil production from other U.S. formations</t>
        </is>
      </c>
      <c r="F541" t="inlineStr">
        <is>
          <t>million barrels per day</t>
        </is>
      </c>
    </row>
    <row r="542">
      <c r="A542" t="inlineStr">
        <is>
          <t>TOPRR48|2026-05</t>
        </is>
      </c>
      <c r="B542" t="inlineStr">
        <is>
          <t>TOPRR48</t>
        </is>
      </c>
      <c r="C542" t="inlineStr">
        <is>
          <t>2026-05</t>
        </is>
      </c>
      <c r="D542" t="inlineStr">
        <is>
          <t>.375</t>
        </is>
      </c>
      <c r="E542" t="inlineStr">
        <is>
          <t>Tight oil production from other U.S. formations</t>
        </is>
      </c>
      <c r="F542" t="inlineStr">
        <is>
          <t>million barrels per day</t>
        </is>
      </c>
    </row>
    <row r="543">
      <c r="A543" t="inlineStr">
        <is>
          <t>TOPRR48|2026-06</t>
        </is>
      </c>
      <c r="B543" t="inlineStr">
        <is>
          <t>TOPRR48</t>
        </is>
      </c>
      <c r="C543" t="inlineStr">
        <is>
          <t>2026-06</t>
        </is>
      </c>
      <c r="D543" t="inlineStr">
        <is>
          <t>.38</t>
        </is>
      </c>
      <c r="E543" t="inlineStr">
        <is>
          <t>Tight oil production from other U.S. formations</t>
        </is>
      </c>
      <c r="F543" t="inlineStr">
        <is>
          <t>million barrels per day</t>
        </is>
      </c>
    </row>
    <row r="544">
      <c r="A544" t="inlineStr">
        <is>
          <t>TOPRR48|2026-07</t>
        </is>
      </c>
      <c r="B544" t="inlineStr">
        <is>
          <t>TOPRR48</t>
        </is>
      </c>
      <c r="C544" t="inlineStr">
        <is>
          <t>2026-07</t>
        </is>
      </c>
      <c r="D544" t="inlineStr">
        <is>
          <t>.372</t>
        </is>
      </c>
      <c r="E544" t="inlineStr">
        <is>
          <t>Tight oil production from other U.S. formations</t>
        </is>
      </c>
      <c r="F544" t="inlineStr">
        <is>
          <t>million barrels per day</t>
        </is>
      </c>
    </row>
    <row r="545">
      <c r="A545" t="inlineStr">
        <is>
          <t>TOPRR48|2026-08</t>
        </is>
      </c>
      <c r="B545" t="inlineStr">
        <is>
          <t>TOPRR48</t>
        </is>
      </c>
      <c r="C545" t="inlineStr">
        <is>
          <t>2026-08</t>
        </is>
      </c>
      <c r="D545" t="inlineStr">
        <is>
          <t>.38</t>
        </is>
      </c>
      <c r="E545" t="inlineStr">
        <is>
          <t>Tight oil production from other U.S. formations</t>
        </is>
      </c>
      <c r="F545" t="inlineStr">
        <is>
          <t>million barrels per day</t>
        </is>
      </c>
    </row>
    <row r="546">
      <c r="A546" t="inlineStr">
        <is>
          <t>TOPRWF|2025-01</t>
        </is>
      </c>
      <c r="B546" t="inlineStr">
        <is>
          <t>TOPRWF</t>
        </is>
      </c>
      <c r="C546" t="inlineStr">
        <is>
          <t>2025-01</t>
        </is>
      </c>
      <c r="D546" t="inlineStr">
        <is>
          <t>.09</t>
        </is>
      </c>
      <c r="E546" t="inlineStr">
        <is>
          <t>Tight oil production from Woodford formation</t>
        </is>
      </c>
      <c r="F546" t="inlineStr">
        <is>
          <t>million barrels per day</t>
        </is>
      </c>
    </row>
    <row r="547">
      <c r="A547" t="inlineStr">
        <is>
          <t>TOPRWF|2025-02</t>
        </is>
      </c>
      <c r="B547" t="inlineStr">
        <is>
          <t>TOPRWF</t>
        </is>
      </c>
      <c r="C547" t="inlineStr">
        <is>
          <t>2025-02</t>
        </is>
      </c>
      <c r="D547" t="inlineStr">
        <is>
          <t>.083</t>
        </is>
      </c>
      <c r="E547" t="inlineStr">
        <is>
          <t>Tight oil production from Woodford formation</t>
        </is>
      </c>
      <c r="F547" t="inlineStr">
        <is>
          <t>million barrels per day</t>
        </is>
      </c>
    </row>
    <row r="548">
      <c r="A548" t="inlineStr">
        <is>
          <t>TOPRWF|2025-03</t>
        </is>
      </c>
      <c r="B548" t="inlineStr">
        <is>
          <t>TOPRWF</t>
        </is>
      </c>
      <c r="C548" t="inlineStr">
        <is>
          <t>2025-03</t>
        </is>
      </c>
      <c r="D548" t="inlineStr">
        <is>
          <t>.085</t>
        </is>
      </c>
      <c r="E548" t="inlineStr">
        <is>
          <t>Tight oil production from Woodford formation</t>
        </is>
      </c>
      <c r="F548" t="inlineStr">
        <is>
          <t>million barrels per day</t>
        </is>
      </c>
    </row>
    <row r="549">
      <c r="A549" t="inlineStr">
        <is>
          <t>TOPRWF|2025-04</t>
        </is>
      </c>
      <c r="B549" t="inlineStr">
        <is>
          <t>TOPRWF</t>
        </is>
      </c>
      <c r="C549" t="inlineStr">
        <is>
          <t>2025-04</t>
        </is>
      </c>
      <c r="D549" t="inlineStr">
        <is>
          <t>.08</t>
        </is>
      </c>
      <c r="E549" t="inlineStr">
        <is>
          <t>Tight oil production from Woodford formation</t>
        </is>
      </c>
      <c r="F549" t="inlineStr">
        <is>
          <t>million barrels per day</t>
        </is>
      </c>
    </row>
    <row r="550">
      <c r="A550" t="inlineStr">
        <is>
          <t>TOPRWF|2025-05</t>
        </is>
      </c>
      <c r="B550" t="inlineStr">
        <is>
          <t>TOPRWF</t>
        </is>
      </c>
      <c r="C550" t="inlineStr">
        <is>
          <t>2025-05</t>
        </is>
      </c>
      <c r="D550" t="inlineStr">
        <is>
          <t>.08</t>
        </is>
      </c>
      <c r="E550" t="inlineStr">
        <is>
          <t>Tight oil production from Woodford formation</t>
        </is>
      </c>
      <c r="F550" t="inlineStr">
        <is>
          <t>million barrels per day</t>
        </is>
      </c>
    </row>
    <row r="551">
      <c r="A551" t="inlineStr">
        <is>
          <t>TOPRWF|2025-06</t>
        </is>
      </c>
      <c r="B551" t="inlineStr">
        <is>
          <t>TOPRWF</t>
        </is>
      </c>
      <c r="C551" t="inlineStr">
        <is>
          <t>2025-06</t>
        </is>
      </c>
      <c r="D551" t="inlineStr">
        <is>
          <t>.08</t>
        </is>
      </c>
      <c r="E551" t="inlineStr">
        <is>
          <t>Tight oil production from Woodford formation</t>
        </is>
      </c>
      <c r="F551" t="inlineStr">
        <is>
          <t>million barrels per day</t>
        </is>
      </c>
    </row>
    <row r="552">
      <c r="A552" t="inlineStr">
        <is>
          <t>TOPRWF|2025-07</t>
        </is>
      </c>
      <c r="B552" t="inlineStr">
        <is>
          <t>TOPRWF</t>
        </is>
      </c>
      <c r="C552" t="inlineStr">
        <is>
          <t>2025-07</t>
        </is>
      </c>
      <c r="D552" t="inlineStr">
        <is>
          <t>.08</t>
        </is>
      </c>
      <c r="E552" t="inlineStr">
        <is>
          <t>Tight oil production from Woodford formation</t>
        </is>
      </c>
      <c r="F552" t="inlineStr">
        <is>
          <t>million barrels per day</t>
        </is>
      </c>
    </row>
    <row r="553">
      <c r="A553" t="inlineStr">
        <is>
          <t>TOPRWF|2025-08</t>
        </is>
      </c>
      <c r="B553" t="inlineStr">
        <is>
          <t>TOPRWF</t>
        </is>
      </c>
      <c r="C553" t="inlineStr">
        <is>
          <t>2025-08</t>
        </is>
      </c>
      <c r="D553" t="inlineStr">
        <is>
          <t>.078</t>
        </is>
      </c>
      <c r="E553" t="inlineStr">
        <is>
          <t>Tight oil production from Woodford formation</t>
        </is>
      </c>
      <c r="F553" t="inlineStr">
        <is>
          <t>million barrels per day</t>
        </is>
      </c>
    </row>
    <row r="554">
      <c r="A554" t="inlineStr">
        <is>
          <t>TOPRWF|2025-09</t>
        </is>
      </c>
      <c r="B554" t="inlineStr">
        <is>
          <t>TOPRWF</t>
        </is>
      </c>
      <c r="C554" t="inlineStr">
        <is>
          <t>2025-09</t>
        </is>
      </c>
      <c r="D554" t="inlineStr">
        <is>
          <t>.077</t>
        </is>
      </c>
      <c r="E554" t="inlineStr">
        <is>
          <t>Tight oil production from Woodford formation</t>
        </is>
      </c>
      <c r="F554" t="inlineStr">
        <is>
          <t>million barrels per day</t>
        </is>
      </c>
    </row>
    <row r="555">
      <c r="A555" t="inlineStr">
        <is>
          <t>TOPRWF|2025-10</t>
        </is>
      </c>
      <c r="B555" t="inlineStr">
        <is>
          <t>TOPRWF</t>
        </is>
      </c>
      <c r="C555" t="inlineStr">
        <is>
          <t>2025-10</t>
        </is>
      </c>
      <c r="D555" t="inlineStr">
        <is>
          <t>.079</t>
        </is>
      </c>
      <c r="E555" t="inlineStr">
        <is>
          <t>Tight oil production from Woodford formation</t>
        </is>
      </c>
      <c r="F555" t="inlineStr">
        <is>
          <t>million barrels per day</t>
        </is>
      </c>
    </row>
    <row r="556">
      <c r="A556" t="inlineStr">
        <is>
          <t>TOPRWF|2025-11</t>
        </is>
      </c>
      <c r="B556" t="inlineStr">
        <is>
          <t>TOPRWF</t>
        </is>
      </c>
      <c r="C556" t="inlineStr">
        <is>
          <t>2025-11</t>
        </is>
      </c>
      <c r="D556" t="inlineStr">
        <is>
          <t>.078</t>
        </is>
      </c>
      <c r="E556" t="inlineStr">
        <is>
          <t>Tight oil production from Woodford formation</t>
        </is>
      </c>
      <c r="F556" t="inlineStr">
        <is>
          <t>million barrels per day</t>
        </is>
      </c>
    </row>
    <row r="557">
      <c r="A557" t="inlineStr">
        <is>
          <t>TOPRWF|2025-12</t>
        </is>
      </c>
      <c r="B557" t="inlineStr">
        <is>
          <t>TOPRWF</t>
        </is>
      </c>
      <c r="C557" t="inlineStr">
        <is>
          <t>2025-12</t>
        </is>
      </c>
      <c r="D557" t="inlineStr">
        <is>
          <t>.078</t>
        </is>
      </c>
      <c r="E557" t="inlineStr">
        <is>
          <t>Tight oil production from Woodford formation</t>
        </is>
      </c>
      <c r="F557" t="inlineStr">
        <is>
          <t>million barrels per day</t>
        </is>
      </c>
    </row>
    <row r="558">
      <c r="A558" t="inlineStr">
        <is>
          <t>TOPRWF|2026-01</t>
        </is>
      </c>
      <c r="B558" t="inlineStr">
        <is>
          <t>TOPRWF</t>
        </is>
      </c>
      <c r="C558" t="inlineStr">
        <is>
          <t>2026-01</t>
        </is>
      </c>
      <c r="D558" t="inlineStr">
        <is>
          <t>.069</t>
        </is>
      </c>
      <c r="E558" t="inlineStr">
        <is>
          <t>Tight oil production from Woodford formation</t>
        </is>
      </c>
      <c r="F558" t="inlineStr">
        <is>
          <t>million barrels per day</t>
        </is>
      </c>
    </row>
    <row r="559">
      <c r="A559" t="inlineStr">
        <is>
          <t>TOPRWF|2026-02</t>
        </is>
      </c>
      <c r="B559" t="inlineStr">
        <is>
          <t>TOPRWF</t>
        </is>
      </c>
      <c r="C559" t="inlineStr">
        <is>
          <t>2026-02</t>
        </is>
      </c>
      <c r="D559" t="inlineStr">
        <is>
          <t>.073</t>
        </is>
      </c>
      <c r="E559" t="inlineStr">
        <is>
          <t>Tight oil production from Woodford formation</t>
        </is>
      </c>
      <c r="F559" t="inlineStr">
        <is>
          <t>million barrels per day</t>
        </is>
      </c>
    </row>
    <row r="560">
      <c r="A560" t="inlineStr">
        <is>
          <t>TOPRWF|2026-03</t>
        </is>
      </c>
      <c r="B560" t="inlineStr">
        <is>
          <t>TOPRWF</t>
        </is>
      </c>
      <c r="C560" t="inlineStr">
        <is>
          <t>2026-03</t>
        </is>
      </c>
      <c r="D560" t="inlineStr">
        <is>
          <t>.075</t>
        </is>
      </c>
      <c r="E560" t="inlineStr">
        <is>
          <t>Tight oil production from Woodford formation</t>
        </is>
      </c>
      <c r="F560" t="inlineStr">
        <is>
          <t>million barrels per day</t>
        </is>
      </c>
    </row>
    <row r="561">
      <c r="A561" t="inlineStr">
        <is>
          <t>TOPRWF|2026-04</t>
        </is>
      </c>
      <c r="B561" t="inlineStr">
        <is>
          <t>TOPRWF</t>
        </is>
      </c>
      <c r="C561" t="inlineStr">
        <is>
          <t>2026-04</t>
        </is>
      </c>
      <c r="D561" t="inlineStr">
        <is>
          <t>.077</t>
        </is>
      </c>
      <c r="E561" t="inlineStr">
        <is>
          <t>Tight oil production from Woodford formation</t>
        </is>
      </c>
      <c r="F561" t="inlineStr">
        <is>
          <t>million barrels per day</t>
        </is>
      </c>
    </row>
    <row r="562">
      <c r="A562" t="inlineStr">
        <is>
          <t>TOPRWF|2026-05</t>
        </is>
      </c>
      <c r="B562" t="inlineStr">
        <is>
          <t>TOPRWF</t>
        </is>
      </c>
      <c r="C562" t="inlineStr">
        <is>
          <t>2026-05</t>
        </is>
      </c>
      <c r="D562" t="inlineStr">
        <is>
          <t>.081</t>
        </is>
      </c>
      <c r="E562" t="inlineStr">
        <is>
          <t>Tight oil production from Woodford formation</t>
        </is>
      </c>
      <c r="F562" t="inlineStr">
        <is>
          <t>million barrels per day</t>
        </is>
      </c>
    </row>
    <row r="563">
      <c r="A563" t="inlineStr">
        <is>
          <t>TOPRWF|2026-06</t>
        </is>
      </c>
      <c r="B563" t="inlineStr">
        <is>
          <t>TOPRWF</t>
        </is>
      </c>
      <c r="C563" t="inlineStr">
        <is>
          <t>2026-06</t>
        </is>
      </c>
      <c r="D563" t="inlineStr">
        <is>
          <t>.08</t>
        </is>
      </c>
      <c r="E563" t="inlineStr">
        <is>
          <t>Tight oil production from Woodford formation</t>
        </is>
      </c>
      <c r="F563" t="inlineStr">
        <is>
          <t>million barrels per day</t>
        </is>
      </c>
    </row>
    <row r="564">
      <c r="A564" t="inlineStr">
        <is>
          <t>TOPRWF|2026-07</t>
        </is>
      </c>
      <c r="B564" t="inlineStr">
        <is>
          <t>TOPRWF</t>
        </is>
      </c>
      <c r="C564" t="inlineStr">
        <is>
          <t>2026-07</t>
        </is>
      </c>
      <c r="D564" t="inlineStr">
        <is>
          <t>.08</t>
        </is>
      </c>
      <c r="E564" t="inlineStr">
        <is>
          <t>Tight oil production from Woodford formation</t>
        </is>
      </c>
      <c r="F564" t="inlineStr">
        <is>
          <t>million barrels per day</t>
        </is>
      </c>
    </row>
    <row r="565">
      <c r="A565" t="inlineStr">
        <is>
          <t>TOPRWF|2026-08</t>
        </is>
      </c>
      <c r="B565" t="inlineStr">
        <is>
          <t>TOPRWF</t>
        </is>
      </c>
      <c r="C565" t="inlineStr">
        <is>
          <t>2026-08</t>
        </is>
      </c>
      <c r="D565" t="inlineStr">
        <is>
          <t>.08</t>
        </is>
      </c>
      <c r="E565" t="inlineStr">
        <is>
          <t>Tight oil production from Woodford formation</t>
        </is>
      </c>
      <c r="F565" t="inlineStr">
        <is>
          <t>million barrels per day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t="inlineStr">
        <is>
          <t>Value</t>
        </is>
      </c>
    </row>
    <row r="2">
      <c r="A2" t="inlineStr">
        <is>
          <t>WTI spot, last (USD/bbl)</t>
        </is>
      </c>
      <c r="B2" t="n">
        <v>96.16</v>
      </c>
    </row>
    <row r="3">
      <c r="A3" t="inlineStr">
        <is>
          <t>Last date</t>
        </is>
      </c>
      <c r="B3" t="inlineStr">
        <is>
          <t>2026-09-29</t>
        </is>
      </c>
    </row>
    <row r="4">
      <c r="A4" t="inlineStr">
        <is>
          <t>WTI last 12 months mean</t>
        </is>
      </c>
      <c r="B4" t="n">
        <v>78.73357429718875</v>
      </c>
    </row>
    <row r="5">
      <c r="A5" t="inlineStr">
        <is>
          <t>WTI last 12 months min</t>
        </is>
      </c>
      <c r="B5" t="n">
        <v>55.44</v>
      </c>
    </row>
    <row r="6">
      <c r="A6" t="inlineStr">
        <is>
          <t>WTI last 12 months max</t>
        </is>
      </c>
      <c r="B6" t="n">
        <v>114.58</v>
      </c>
    </row>
    <row r="7">
      <c r="A7" t="inlineStr">
        <is>
          <t>Brent-WTI spread used (Inputs)</t>
        </is>
      </c>
      <c r="B7" t="n">
        <v>4.22</v>
      </c>
    </row>
    <row r="8">
      <c r="A8" t="inlineStr">
        <is>
          <t>Brent forward M12 as WTI</t>
        </is>
      </c>
      <c r="B8" t="n">
        <v>79.28</v>
      </c>
    </row>
    <row r="9">
      <c r="A9" t="inlineStr">
        <is>
          <t>Brent forward M24 as WTI</t>
        </is>
      </c>
      <c r="B9" t="n">
        <v>71.47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Contract</t>
        </is>
      </c>
      <c r="B1" t="inlineStr">
        <is>
          <t>Brent forward USD/bbl</t>
        </is>
      </c>
      <c r="C1" t="inlineStr">
        <is>
          <t>As of trade date</t>
        </is>
      </c>
    </row>
    <row r="2">
      <c r="A2" t="inlineStr">
        <is>
          <t>M1</t>
        </is>
      </c>
      <c r="B2" t="n">
        <v>100.3199996948242</v>
      </c>
      <c r="C2" t="inlineStr">
        <is>
          <t>2026-10-05</t>
        </is>
      </c>
    </row>
    <row r="3">
      <c r="A3" t="inlineStr">
        <is>
          <t>M3</t>
        </is>
      </c>
      <c r="B3" t="n">
        <v>95.36000061035156</v>
      </c>
      <c r="C3" t="inlineStr">
        <is>
          <t>2026-10-05</t>
        </is>
      </c>
    </row>
    <row r="4">
      <c r="A4" t="inlineStr">
        <is>
          <t>M6</t>
        </is>
      </c>
      <c r="B4" t="n">
        <v>90.58999633789062</v>
      </c>
      <c r="C4" t="inlineStr">
        <is>
          <t>2026-10-05</t>
        </is>
      </c>
    </row>
    <row r="5">
      <c r="A5" t="inlineStr">
        <is>
          <t>M12</t>
        </is>
      </c>
      <c r="B5" t="n">
        <v>83.5</v>
      </c>
      <c r="C5" t="inlineStr">
        <is>
          <t>2026-10-05</t>
        </is>
      </c>
    </row>
    <row r="6">
      <c r="A6" t="inlineStr">
        <is>
          <t>M18</t>
        </is>
      </c>
      <c r="B6" t="n">
        <v>78.52</v>
      </c>
      <c r="C6" t="inlineStr">
        <is>
          <t>2026-10-02</t>
        </is>
      </c>
    </row>
    <row r="7">
      <c r="A7" t="inlineStr">
        <is>
          <t>M24</t>
        </is>
      </c>
      <c r="B7" t="n">
        <v>75.69</v>
      </c>
      <c r="C7" t="inlineStr">
        <is>
          <t>2026-10-02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Brent less WTI (USD/bbl)</t>
        </is>
      </c>
    </row>
    <row r="2">
      <c r="A2" t="inlineStr">
        <is>
          <t>Latest day</t>
        </is>
      </c>
      <c r="B2" t="n">
        <v>17.8</v>
      </c>
    </row>
    <row r="3">
      <c r="A3" t="inlineStr">
        <is>
          <t>Last 12 months mean</t>
        </is>
      </c>
      <c r="B3" t="n">
        <v>7.390612244897959</v>
      </c>
    </row>
    <row r="4">
      <c r="A4" t="inlineStr">
        <is>
          <t>2021-2025 mean</t>
        </is>
      </c>
      <c r="B4" t="n">
        <v>4.220450450450451</v>
      </c>
    </row>
    <row r="5">
      <c r="A5" t="inlineStr">
        <is>
          <t>2015-2025 mean</t>
        </is>
      </c>
      <c r="B5" t="n">
        <v>4.042820512820513</v>
      </c>
    </row>
    <row r="6">
      <c r="A6" t="inlineStr">
        <is>
          <t>2015-2025 median</t>
        </is>
      </c>
      <c r="B6" t="n">
        <v>3.725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Rank</t>
        </is>
      </c>
      <c r="B1" t="inlineStr">
        <is>
          <t>Tier (sorted by breakeven)</t>
        </is>
      </c>
      <c r="C1" t="inlineStr">
        <is>
          <t>Kind</t>
        </is>
      </c>
      <c r="D1" t="inlineStr">
        <is>
          <t>Basin</t>
        </is>
      </c>
      <c r="E1" t="inlineStr">
        <is>
          <t>Volume (Mb/d)</t>
        </is>
      </c>
      <c r="F1" t="inlineStr">
        <is>
          <t>Breakeven (USD/bbl WTI)</t>
        </is>
      </c>
      <c r="G1" t="inlineStr">
        <is>
          <t>Cumulative volume (Mb/d)</t>
        </is>
      </c>
      <c r="H1" t="inlineStr">
        <is>
          <t>Prior-year breakeven (Dallas Q1 2025)</t>
        </is>
      </c>
    </row>
    <row r="2">
      <c r="A2" t="n">
        <v>1</v>
      </c>
      <c r="B2" t="inlineStr">
        <is>
          <t>Permian - base (existing wells after the decline)</t>
        </is>
      </c>
      <c r="C2" t="inlineStr">
        <is>
          <t>Base</t>
        </is>
      </c>
      <c r="D2" t="inlineStr">
        <is>
          <t>Permian</t>
        </is>
      </c>
      <c r="E2" t="n">
        <v>6.299098994</v>
      </c>
      <c r="F2" t="n">
        <v>39</v>
      </c>
      <c r="G2" t="n">
        <v>6.299098994</v>
      </c>
      <c r="H2" t="n">
        <v>39</v>
      </c>
    </row>
    <row r="3">
      <c r="A3" t="n">
        <v>2</v>
      </c>
      <c r="B3" t="inlineStr">
        <is>
          <t>Eagle Ford - base (existing wells after the decline)</t>
        </is>
      </c>
      <c r="C3" t="inlineStr">
        <is>
          <t>Base</t>
        </is>
      </c>
      <c r="D3" t="inlineStr">
        <is>
          <t>Eagle Ford</t>
        </is>
      </c>
      <c r="E3" t="n">
        <v>1.06164795017</v>
      </c>
      <c r="F3" t="n">
        <v>40</v>
      </c>
      <c r="G3" t="n">
        <v>7.36074694417</v>
      </c>
      <c r="H3" t="n">
        <v>25.83</v>
      </c>
    </row>
    <row r="4">
      <c r="A4" t="n">
        <v>3</v>
      </c>
      <c r="B4" t="inlineStr">
        <is>
          <t>Bakken - base (existing wells after the decline)</t>
        </is>
      </c>
      <c r="C4" t="inlineStr">
        <is>
          <t>Base</t>
        </is>
      </c>
      <c r="D4" t="inlineStr">
        <is>
          <t>Bakken</t>
        </is>
      </c>
      <c r="E4" t="n">
        <v>1.13041947761</v>
      </c>
      <c r="F4" t="n">
        <v>44.12</v>
      </c>
      <c r="G4" t="n">
        <v>8.491166421779999</v>
      </c>
      <c r="H4" t="n">
        <v>40.81</v>
      </c>
    </row>
    <row r="5">
      <c r="A5" t="n">
        <v>4</v>
      </c>
      <c r="B5" t="inlineStr">
        <is>
          <t>Other shale - base (existing wells after the decline)</t>
        </is>
      </c>
      <c r="C5" t="inlineStr">
        <is>
          <t>Base</t>
        </is>
      </c>
      <c r="D5" t="inlineStr">
        <is>
          <t>Other shale (Niobrara, Anadarko, Austin Chalk, other)</t>
        </is>
      </c>
      <c r="E5" t="n">
        <v>1.0381765</v>
      </c>
      <c r="F5" t="n">
        <v>44.12</v>
      </c>
      <c r="G5" t="n">
        <v>9.52934292178</v>
      </c>
      <c r="H5" t="n">
        <v>40.81</v>
      </c>
    </row>
    <row r="6">
      <c r="A6" t="n">
        <v>5</v>
      </c>
      <c r="B6" t="inlineStr">
        <is>
          <t>Bakken - replacement (new wells to offset the decline)</t>
        </is>
      </c>
      <c r="C6" t="inlineStr">
        <is>
          <t>Replacement</t>
        </is>
      </c>
      <c r="D6" t="inlineStr">
        <is>
          <t>Bakken</t>
        </is>
      </c>
      <c r="E6" t="n">
        <v>0.07179397539</v>
      </c>
      <c r="F6" t="n">
        <v>62.38</v>
      </c>
      <c r="G6" t="n">
        <v>9.601136897169999</v>
      </c>
      <c r="H6" t="n">
        <v>63</v>
      </c>
    </row>
    <row r="7">
      <c r="A7" t="n">
        <v>6</v>
      </c>
      <c r="B7" t="inlineStr">
        <is>
          <t>Bakken - growth (STEO base case to horizon)</t>
        </is>
      </c>
      <c r="C7" t="inlineStr">
        <is>
          <t>Growth</t>
        </is>
      </c>
      <c r="D7" t="inlineStr">
        <is>
          <t>Bakken</t>
        </is>
      </c>
      <c r="E7" t="n">
        <v>0.02469232700000012</v>
      </c>
      <c r="F7" t="n">
        <v>62.38</v>
      </c>
      <c r="G7" t="n">
        <v>9.625829224169999</v>
      </c>
      <c r="H7" t="n">
        <v>63</v>
      </c>
    </row>
    <row r="8">
      <c r="A8" t="n">
        <v>7</v>
      </c>
      <c r="B8" t="inlineStr">
        <is>
          <t>Other shale - replacement (new wells to offset the decline)</t>
        </is>
      </c>
      <c r="C8" t="inlineStr">
        <is>
          <t>Replacement</t>
        </is>
      </c>
      <c r="D8" t="inlineStr">
        <is>
          <t>Other shale (Niobrara, Anadarko, Austin Chalk, other)</t>
        </is>
      </c>
      <c r="E8" t="n">
        <v>0.0768235</v>
      </c>
      <c r="F8" t="n">
        <v>62.38</v>
      </c>
      <c r="G8" t="n">
        <v>9.702652724169999</v>
      </c>
      <c r="H8" t="n">
        <v>63</v>
      </c>
    </row>
    <row r="9">
      <c r="A9" t="n">
        <v>8</v>
      </c>
      <c r="B9" t="inlineStr">
        <is>
          <t>Other shale - growth (STEO base case to horizon)</t>
        </is>
      </c>
      <c r="C9" t="inlineStr">
        <is>
          <t>Growth</t>
        </is>
      </c>
      <c r="D9" t="inlineStr">
        <is>
          <t>Other shale (Niobrara, Anadarko, Austin Chalk, other)</t>
        </is>
      </c>
      <c r="E9" t="n">
        <v>0</v>
      </c>
      <c r="F9" t="n">
        <v>62.38</v>
      </c>
      <c r="G9" t="n">
        <v>9.702652724169999</v>
      </c>
      <c r="H9" t="n">
        <v>63</v>
      </c>
    </row>
    <row r="10">
      <c r="A10" t="n">
        <v>9</v>
      </c>
      <c r="B10" t="inlineStr">
        <is>
          <t>Eagle Ford - replacement (new wells to offset the decline)</t>
        </is>
      </c>
      <c r="C10" t="inlineStr">
        <is>
          <t>Replacement</t>
        </is>
      </c>
      <c r="D10" t="inlineStr">
        <is>
          <t>Eagle Ford</t>
        </is>
      </c>
      <c r="E10" t="n">
        <v>0.08557281183000001</v>
      </c>
      <c r="F10" t="n">
        <v>63</v>
      </c>
      <c r="G10" t="n">
        <v>9.788225535999999</v>
      </c>
      <c r="H10" t="n">
        <v>61.67</v>
      </c>
    </row>
    <row r="11">
      <c r="A11" t="n">
        <v>10</v>
      </c>
      <c r="B11" t="inlineStr">
        <is>
          <t>Eagle Ford - growth (STEO base case to horizon)</t>
        </is>
      </c>
      <c r="C11" t="inlineStr">
        <is>
          <t>Growth</t>
        </is>
      </c>
      <c r="D11" t="inlineStr">
        <is>
          <t>Eagle Ford</t>
        </is>
      </c>
      <c r="E11" t="n">
        <v>0.07778224000000011</v>
      </c>
      <c r="F11" t="n">
        <v>63</v>
      </c>
      <c r="G11" t="n">
        <v>9.866007775999998</v>
      </c>
      <c r="H11" t="n">
        <v>61.67</v>
      </c>
    </row>
    <row r="12">
      <c r="A12" t="n">
        <v>11</v>
      </c>
      <c r="B12" t="inlineStr">
        <is>
          <t>Permian - replacement (new wells to offset the decline)</t>
        </is>
      </c>
      <c r="C12" t="inlineStr">
        <is>
          <t>Replacement</t>
        </is>
      </c>
      <c r="D12" t="inlineStr">
        <is>
          <t>Permian</t>
        </is>
      </c>
      <c r="E12" t="n">
        <v>0.490913796</v>
      </c>
      <c r="F12" t="n">
        <v>67</v>
      </c>
      <c r="G12" t="n">
        <v>10.356921572</v>
      </c>
      <c r="H12" t="n">
        <v>65</v>
      </c>
    </row>
    <row r="13">
      <c r="A13" t="n">
        <v>12</v>
      </c>
      <c r="B13" t="inlineStr">
        <is>
          <t>Permian - growth (STEO base case to horizon)</t>
        </is>
      </c>
      <c r="C13" t="inlineStr">
        <is>
          <t>Growth</t>
        </is>
      </c>
      <c r="D13" t="inlineStr">
        <is>
          <t>Permian</t>
        </is>
      </c>
      <c r="E13" t="n">
        <v>0.4458258070000003</v>
      </c>
      <c r="F13" t="n">
        <v>67</v>
      </c>
      <c r="G13" t="n">
        <v>10.802747379</v>
      </c>
      <c r="H13" t="n">
        <v>65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scenario</t>
        </is>
      </c>
      <c r="B1" t="inlineStr">
        <is>
          <t>price</t>
        </is>
      </c>
      <c r="C1" t="inlineStr">
        <is>
          <t>vol_in</t>
        </is>
      </c>
      <c r="D1" t="inlineStr">
        <is>
          <t>n_in</t>
        </is>
      </c>
      <c r="E1" t="inlineStr">
        <is>
          <t>share</t>
        </is>
      </c>
      <c r="F1" t="inlineStr">
        <is>
          <t>marginal</t>
        </is>
      </c>
      <c r="G1" t="inlineStr">
        <is>
          <t>cushion</t>
        </is>
      </c>
    </row>
    <row r="2">
      <c r="A2" t="inlineStr">
        <is>
          <t>Spot WTI (29 Sep 2026)</t>
        </is>
      </c>
      <c r="B2" t="n">
        <v>96.16</v>
      </c>
      <c r="C2" t="n">
        <v>10.802747379</v>
      </c>
      <c r="D2" t="n">
        <v>12</v>
      </c>
      <c r="E2" t="n">
        <v>1</v>
      </c>
      <c r="F2" t="n">
        <v>67</v>
      </c>
      <c r="G2" t="n">
        <v>29.16</v>
      </c>
    </row>
    <row r="3">
      <c r="A3" t="inlineStr">
        <is>
          <t>Spot WTI (29 Sep 2026) - 10</t>
        </is>
      </c>
      <c r="B3" t="n">
        <v>86.16</v>
      </c>
      <c r="C3" t="n">
        <v>10.802747379</v>
      </c>
      <c r="D3" t="n">
        <v>12</v>
      </c>
      <c r="E3" t="n">
        <v>1</v>
      </c>
      <c r="F3" t="n">
        <v>67</v>
      </c>
      <c r="G3" t="n">
        <v>19.16</v>
      </c>
    </row>
    <row r="4">
      <c r="A4" t="inlineStr">
        <is>
          <t>Spot WTI (29 Sep 2026) + 10</t>
        </is>
      </c>
      <c r="B4" t="n">
        <v>106.16</v>
      </c>
      <c r="C4" t="n">
        <v>10.802747379</v>
      </c>
      <c r="D4" t="n">
        <v>12</v>
      </c>
      <c r="E4" t="n">
        <v>1</v>
      </c>
      <c r="F4" t="n">
        <v>67</v>
      </c>
      <c r="G4" t="n">
        <v>39.16</v>
      </c>
    </row>
    <row r="5">
      <c r="A5" t="inlineStr">
        <is>
          <t>WTI, 12-month average</t>
        </is>
      </c>
      <c r="B5" t="n">
        <v>78.73357429718875</v>
      </c>
      <c r="C5" t="n">
        <v>10.802747379</v>
      </c>
      <c r="D5" t="n">
        <v>12</v>
      </c>
      <c r="E5" t="n">
        <v>1</v>
      </c>
      <c r="F5" t="n">
        <v>67</v>
      </c>
      <c r="G5" t="n">
        <v>11.73357429718875</v>
      </c>
    </row>
    <row r="6">
      <c r="A6" t="inlineStr">
        <is>
          <t>WTI, 12-month average - 10</t>
        </is>
      </c>
      <c r="B6" t="n">
        <v>68.73357429718875</v>
      </c>
      <c r="C6" t="n">
        <v>10.802747379</v>
      </c>
      <c r="D6" t="n">
        <v>12</v>
      </c>
      <c r="E6" t="n">
        <v>1</v>
      </c>
      <c r="F6" t="n">
        <v>67</v>
      </c>
      <c r="G6" t="n">
        <v>1.733574297188753</v>
      </c>
    </row>
    <row r="7">
      <c r="A7" t="inlineStr">
        <is>
          <t>WTI, 12-month average + 10</t>
        </is>
      </c>
      <c r="B7" t="n">
        <v>88.73357429718875</v>
      </c>
      <c r="C7" t="n">
        <v>10.802747379</v>
      </c>
      <c r="D7" t="n">
        <v>12</v>
      </c>
      <c r="E7" t="n">
        <v>1</v>
      </c>
      <c r="F7" t="n">
        <v>67</v>
      </c>
      <c r="G7" t="n">
        <v>21.73357429718875</v>
      </c>
    </row>
    <row r="8">
      <c r="A8" t="inlineStr">
        <is>
          <t>Brent forward M12 less spread</t>
        </is>
      </c>
      <c r="B8" t="n">
        <v>79.28</v>
      </c>
      <c r="C8" t="n">
        <v>10.802747379</v>
      </c>
      <c r="D8" t="n">
        <v>12</v>
      </c>
      <c r="E8" t="n">
        <v>1</v>
      </c>
      <c r="F8" t="n">
        <v>67</v>
      </c>
      <c r="G8" t="n">
        <v>12.28</v>
      </c>
    </row>
    <row r="9">
      <c r="A9" t="inlineStr">
        <is>
          <t>Brent forward M12 less spread - 10</t>
        </is>
      </c>
      <c r="B9" t="n">
        <v>69.28</v>
      </c>
      <c r="C9" t="n">
        <v>10.802747379</v>
      </c>
      <c r="D9" t="n">
        <v>12</v>
      </c>
      <c r="E9" t="n">
        <v>1</v>
      </c>
      <c r="F9" t="n">
        <v>67</v>
      </c>
      <c r="G9" t="n">
        <v>2.280000000000001</v>
      </c>
    </row>
    <row r="10">
      <c r="A10" t="inlineStr">
        <is>
          <t>Brent forward M12 less spread + 10</t>
        </is>
      </c>
      <c r="B10" t="n">
        <v>89.28</v>
      </c>
      <c r="C10" t="n">
        <v>10.802747379</v>
      </c>
      <c r="D10" t="n">
        <v>12</v>
      </c>
      <c r="E10" t="n">
        <v>1</v>
      </c>
      <c r="F10" t="n">
        <v>67</v>
      </c>
      <c r="G10" t="n">
        <v>22.28</v>
      </c>
    </row>
    <row r="11">
      <c r="A11" t="inlineStr">
        <is>
          <t>Brent forward M24 less spread</t>
        </is>
      </c>
      <c r="B11" t="n">
        <v>71.47</v>
      </c>
      <c r="C11" t="n">
        <v>10.802747379</v>
      </c>
      <c r="D11" t="n">
        <v>12</v>
      </c>
      <c r="E11" t="n">
        <v>1</v>
      </c>
      <c r="F11" t="n">
        <v>67</v>
      </c>
      <c r="G11" t="n">
        <v>4.469999999999999</v>
      </c>
    </row>
    <row r="12">
      <c r="A12" t="inlineStr">
        <is>
          <t>Brent forward M24 less spread - 10</t>
        </is>
      </c>
      <c r="B12" t="n">
        <v>61.47</v>
      </c>
      <c r="C12" t="n">
        <v>9.52934292178</v>
      </c>
      <c r="D12" t="n">
        <v>4</v>
      </c>
      <c r="E12" t="n">
        <v>0.8821221664689269</v>
      </c>
      <c r="F12" t="n">
        <v>44.12</v>
      </c>
      <c r="G12" t="n">
        <v>-5.530000000000001</v>
      </c>
    </row>
    <row r="13">
      <c r="A13" t="inlineStr">
        <is>
          <t>Brent forward M24 less spread + 10</t>
        </is>
      </c>
      <c r="B13" t="n">
        <v>81.47</v>
      </c>
      <c r="C13" t="n">
        <v>10.802747379</v>
      </c>
      <c r="D13" t="n">
        <v>12</v>
      </c>
      <c r="E13" t="n">
        <v>1</v>
      </c>
      <c r="F13" t="n">
        <v>67</v>
      </c>
      <c r="G13" t="n">
        <v>14.47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WTI</t>
        </is>
      </c>
      <c r="B1" t="inlineStr">
        <is>
          <t>supply</t>
        </is>
      </c>
    </row>
    <row r="2">
      <c r="A2" t="n">
        <v>30</v>
      </c>
      <c r="B2" t="n">
        <v>0</v>
      </c>
    </row>
    <row r="3">
      <c r="A3" t="n">
        <v>35</v>
      </c>
      <c r="B3" t="n">
        <v>0</v>
      </c>
    </row>
    <row r="4">
      <c r="A4" t="n">
        <v>40</v>
      </c>
      <c r="B4" t="n">
        <v>7.36074694417</v>
      </c>
    </row>
    <row r="5">
      <c r="A5" t="n">
        <v>45</v>
      </c>
      <c r="B5" t="n">
        <v>9.52934292178</v>
      </c>
    </row>
    <row r="6">
      <c r="A6" t="n">
        <v>50</v>
      </c>
      <c r="B6" t="n">
        <v>9.52934292178</v>
      </c>
    </row>
    <row r="7">
      <c r="A7" t="n">
        <v>55</v>
      </c>
      <c r="B7" t="n">
        <v>9.52934292178</v>
      </c>
    </row>
    <row r="8">
      <c r="A8" t="n">
        <v>60</v>
      </c>
      <c r="B8" t="n">
        <v>9.52934292178</v>
      </c>
    </row>
    <row r="9">
      <c r="A9" t="n">
        <v>65</v>
      </c>
      <c r="B9" t="n">
        <v>9.866007775999998</v>
      </c>
    </row>
    <row r="10">
      <c r="A10" t="n">
        <v>70</v>
      </c>
      <c r="B10" t="n">
        <v>10.802747379</v>
      </c>
    </row>
    <row r="11">
      <c r="A11" t="n">
        <v>75</v>
      </c>
      <c r="B11" t="n">
        <v>10.802747379</v>
      </c>
    </row>
    <row r="12">
      <c r="A12" t="n">
        <v>80</v>
      </c>
      <c r="B12" t="n">
        <v>10.802747379</v>
      </c>
    </row>
    <row r="13">
      <c r="A13" t="n">
        <v>85</v>
      </c>
      <c r="B13" t="n">
        <v>10.802747379</v>
      </c>
    </row>
    <row r="14">
      <c r="A14" t="n">
        <v>90</v>
      </c>
      <c r="B14" t="n">
        <v>10.802747379</v>
      </c>
    </row>
    <row r="15">
      <c r="A15" t="n">
        <v>95</v>
      </c>
      <c r="B15" t="n">
        <v>10.802747379</v>
      </c>
    </row>
    <row r="16">
      <c r="A16" t="n">
        <v>100</v>
      </c>
      <c r="B16" t="n">
        <v>10.802747379</v>
      </c>
    </row>
    <row r="17">
      <c r="A17" t="n">
        <v>105</v>
      </c>
      <c r="B17" t="n">
        <v>10.802747379</v>
      </c>
    </row>
    <row r="18">
      <c r="A18" t="n">
        <v>110</v>
      </c>
      <c r="B18" t="n">
        <v>10.802747379</v>
      </c>
    </row>
    <row r="19">
      <c r="A19" t="n">
        <v>115</v>
      </c>
      <c r="B19" t="n">
        <v>10.802747379</v>
      </c>
    </row>
    <row r="20">
      <c r="A20" t="n">
        <v>120</v>
      </c>
      <c r="B20" t="n">
        <v>10.802747379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2026-10-06T06:29:53Z</dcterms:created>
  <dcterms:modified xsi:type="dcterms:W3CDTF">2026-10-06T06:29:54Z</dcterms:modified>
</cp:coreProperties>
</file>