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ts" sheetId="1" state="visible" r:id="rId1"/>
    <sheet xmlns:r="http://schemas.openxmlformats.org/officeDocument/2006/relationships" name="Chart" sheetId="2" state="visible" r:id="rId2"/>
    <sheet xmlns:r="http://schemas.openxmlformats.org/officeDocument/2006/relationships" name="Plants" sheetId="3" state="visible" r:id="rId3"/>
    <sheet xmlns:r="http://schemas.openxmlformats.org/officeDocument/2006/relationships" name="By country &amp; secto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Estimated gas demand of operating industrial plants, by country and sector</a:t>
            </a:r>
          </a:p>
        </rich>
      </tx>
      <overlay val="0"/>
    </title>
    <plotArea>
      <barChart>
        <barDir val="col"/>
        <grouping val="stacked"/>
        <ser>
          <idx val="0"/>
          <order val="0"/>
          <tx>
            <strRef>
              <f>'Chart'!B1</f>
            </strRef>
          </tx>
          <spPr>
            <a:solidFill xmlns:a="http://schemas.openxmlformats.org/drawingml/2006/main">
              <a:srgbClr val="2A78D6"/>
            </a:solidFill>
            <a:ln xmlns:a="http://schemas.openxmlformats.org/drawingml/2006/main">
              <a:noFill/>
              <a:prstDash val="solid"/>
            </a:ln>
          </spPr>
          <cat>
            <numRef>
              <f>'Chart'!$A$2:$A$11</f>
            </numRef>
          </cat>
          <val>
            <numRef>
              <f>'Chart'!$B$2:$B$11</f>
            </numRef>
          </val>
        </ser>
        <ser>
          <idx val="1"/>
          <order val="1"/>
          <tx>
            <strRef>
              <f>'Chart'!C1</f>
            </strRef>
          </tx>
          <spPr>
            <a:solidFill xmlns:a="http://schemas.openxmlformats.org/drawingml/2006/main">
              <a:srgbClr val="EB6834"/>
            </a:solidFill>
            <a:ln xmlns:a="http://schemas.openxmlformats.org/drawingml/2006/main">
              <a:noFill/>
              <a:prstDash val="solid"/>
            </a:ln>
          </spPr>
          <cat>
            <numRef>
              <f>'Chart'!$A$2:$A$11</f>
            </numRef>
          </cat>
          <val>
            <numRef>
              <f>'Chart'!$C$2:$C$11</f>
            </numRef>
          </val>
        </ser>
        <ser>
          <idx val="2"/>
          <order val="2"/>
          <tx>
            <strRef>
              <f>'Chart'!D1</f>
            </strRef>
          </tx>
          <spPr>
            <a:solidFill xmlns:a="http://schemas.openxmlformats.org/drawingml/2006/main">
              <a:srgbClr val="1BAF7A"/>
            </a:solidFill>
            <a:ln xmlns:a="http://schemas.openxmlformats.org/drawingml/2006/main">
              <a:noFill/>
              <a:prstDash val="solid"/>
            </a:ln>
          </spPr>
          <cat>
            <numRef>
              <f>'Chart'!$A$2:$A$11</f>
            </numRef>
          </cat>
          <val>
            <numRef>
              <f>'Chart'!$D$2:$D$11</f>
            </numRef>
          </val>
        </ser>
        <ser>
          <idx val="3"/>
          <order val="3"/>
          <tx>
            <strRef>
              <f>'Chart'!E1</f>
            </strRef>
          </tx>
          <spPr>
            <a:solidFill xmlns:a="http://schemas.openxmlformats.org/drawingml/2006/main">
              <a:srgbClr val="EDA100"/>
            </a:solidFill>
            <a:ln xmlns:a="http://schemas.openxmlformats.org/drawingml/2006/main">
              <a:noFill/>
              <a:prstDash val="solid"/>
            </a:ln>
          </spPr>
          <cat>
            <numRef>
              <f>'Chart'!$A$2:$A$11</f>
            </numRef>
          </cat>
          <val>
            <numRef>
              <f>'Chart'!$E$2:$E$11</f>
            </numRef>
          </val>
        </ser>
        <ser>
          <idx val="4"/>
          <order val="4"/>
          <tx>
            <strRef>
              <f>'Chart'!F1</f>
            </strRef>
          </tx>
          <spPr>
            <a:solidFill xmlns:a="http://schemas.openxmlformats.org/drawingml/2006/main">
              <a:srgbClr val="E87BA4"/>
            </a:solidFill>
            <a:ln xmlns:a="http://schemas.openxmlformats.org/drawingml/2006/main">
              <a:noFill/>
              <a:prstDash val="solid"/>
            </a:ln>
          </spPr>
          <cat>
            <numRef>
              <f>'Chart'!$A$2:$A$11</f>
            </numRef>
          </cat>
          <val>
            <numRef>
              <f>'Chart'!$F$2:$F$11</f>
            </numRef>
          </val>
        </ser>
        <ser>
          <idx val="5"/>
          <order val="5"/>
          <tx>
            <strRef>
              <f>'Chart'!G1</f>
            </strRef>
          </tx>
          <spPr>
            <a:solidFill xmlns:a="http://schemas.openxmlformats.org/drawingml/2006/main">
              <a:srgbClr val="008300"/>
            </a:solidFill>
            <a:ln xmlns:a="http://schemas.openxmlformats.org/drawingml/2006/main">
              <a:noFill/>
              <a:prstDash val="solid"/>
            </a:ln>
          </spPr>
          <cat>
            <numRef>
              <f>'Chart'!$A$2:$A$11</f>
            </numRef>
          </cat>
          <val>
            <numRef>
              <f>'Chart'!$G$2:$G$11</f>
            </numRef>
          </val>
        </ser>
        <ser>
          <idx val="6"/>
          <order val="6"/>
          <tx>
            <strRef>
              <f>'Chart'!H1</f>
            </strRef>
          </tx>
          <spPr>
            <a:solidFill xmlns:a="http://schemas.openxmlformats.org/drawingml/2006/main">
              <a:srgbClr val="4A3AA7"/>
            </a:solidFill>
            <a:ln xmlns:a="http://schemas.openxmlformats.org/drawingml/2006/main">
              <a:noFill/>
              <a:prstDash val="solid"/>
            </a:ln>
          </spPr>
          <cat>
            <numRef>
              <f>'Chart'!$A$2:$A$11</f>
            </numRef>
          </cat>
          <val>
            <numRef>
              <f>'Chart'!$H$2:$H$11</f>
            </numRef>
          </val>
        </ser>
        <ser>
          <idx val="7"/>
          <order val="7"/>
          <tx>
            <strRef>
              <f>'Chart'!I1</f>
            </strRef>
          </tx>
          <spPr>
            <a:solidFill xmlns:a="http://schemas.openxmlformats.org/drawingml/2006/main">
              <a:srgbClr val="E34948"/>
            </a:solidFill>
            <a:ln xmlns:a="http://schemas.openxmlformats.org/drawingml/2006/main">
              <a:noFill/>
              <a:prstDash val="solid"/>
            </a:ln>
          </spPr>
          <cat>
            <numRef>
              <f>'Chart'!$A$2:$A$11</f>
            </numRef>
          </cat>
          <val>
            <numRef>
              <f>'Chart'!$I$2:$I$11</f>
            </numRef>
          </val>
        </ser>
        <gapWidth val="50"/>
        <overlap val="100"/>
        <axId val="10"/>
        <axId val="100"/>
      </barChart>
      <catAx>
        <axId val="10"/>
        <scaling>
          <orientation val="minMax"/>
        </scaling>
        <delete val="0"/>
        <axPos val="b"/>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mcm/d (estimate at nameplate)</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1</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10" customWidth="1" min="1" max="1"/>
  </cols>
  <sheetData>
    <row r="1">
      <c r="A1" s="1" t="inlineStr">
        <is>
          <t>Notes</t>
        </is>
      </c>
    </row>
    <row r="2">
      <c r="A2" t="inlineStr">
        <is>
          <t>Latin America &amp; Caribbean industrial gas users - plant register</t>
        </is>
      </c>
    </row>
    <row r="3"/>
    <row r="4">
      <c r="A4" s="1" t="inlineStr">
        <is>
          <t>AS-OF</t>
        </is>
      </c>
    </row>
    <row r="5">
      <c r="A5" t="inlineStr">
        <is>
          <t>Register compiled 2026-10-01; each row's status carries its own as-of date (status_as_of).</t>
        </is>
      </c>
    </row>
    <row r="6">
      <c r="A6" t="inlineStr">
        <is>
          <t>A reference list of large gas-using industrial plants, not a time series. Mexico is out of scope.</t>
        </is>
      </c>
    </row>
    <row r="7">
      <c r="A7" t="inlineStr">
        <is>
          <t>Edit south_america/industrial_gas_users.csv and rerun south_america/INDUSTRIAL_GAS_USERS.py to rebuild.</t>
        </is>
      </c>
    </row>
    <row r="8"/>
    <row r="9">
      <c r="A9" s="1" t="inlineStr">
        <is>
          <t>UNITS</t>
        </is>
      </c>
    </row>
    <row r="10">
      <c r="A10" t="inlineStr">
        <is>
          <t>capacity / capacity_unit: nameplate as published by the source (kt/yr, t/d, Mt/yr, million m2/yr).</t>
        </is>
      </c>
    </row>
    <row r="11">
      <c r="A11" t="inlineStr">
        <is>
          <t>capacity_check: whether an automated fetch found the figure on a cited page (Oct-2026); 'UNVERIFIED' rows rest on figures whose pages block automated access - treat with care.</t>
        </is>
      </c>
    </row>
    <row r="12">
      <c r="A12" t="inlineStr">
        <is>
          <t>basis_kt_or_Mm2_per_yr: the capacity the gas estimate is built on, annualised (t/d x 350 days).</t>
        </is>
      </c>
    </row>
    <row r="13">
      <c r="A13" t="inlineStr">
        <is>
          <t>gas_mcm_d_estimate: ESTIMATED gas demand in million cubic metres per day (1 mcm/d = 35.3 MMscf/d) at nameplate - not measured.</t>
        </is>
      </c>
    </row>
    <row r="14">
      <c r="A14" t="inlineStr">
        <is>
          <t>lat / lon: approximate (see 'coords': GEM wiki plant coordinates where available, otherwise town or industrial-estate level).</t>
        </is>
      </c>
    </row>
    <row r="15"/>
    <row r="16">
      <c r="A16" s="1" t="inlineStr">
        <is>
          <t>METHOD</t>
        </is>
      </c>
    </row>
    <row r="17">
      <c r="A17" t="inlineStr">
        <is>
          <t>Gas demand = annual basis capacity x standard intensity / 365, i.e. full-rate demand. Standard intensities:</t>
        </is>
      </c>
    </row>
    <row r="18">
      <c r="A18" t="inlineStr">
        <is>
          <t xml:space="preserve">  Ammonia/urea: 1 mcm per kt ammonia - ~38 GJ/t NH3 (feed + fuel, GCV); ~1.0 bcm per Mt ammonia. Urea and UAN made from that ammonia are not counted again.</t>
        </is>
      </c>
    </row>
    <row r="19">
      <c r="A19" t="inlineStr">
        <is>
          <t xml:space="preserve">  Methanol: 1 mcm per kt methanol - ~38 GJ/t (feed + fuel, GCV); ~1.0 Mt methanol per bcm.</t>
        </is>
      </c>
    </row>
    <row r="20">
      <c r="A20" t="inlineStr">
        <is>
          <t xml:space="preserve">  Steel DRI: 0.28 mcm per kt DRI/HBI - ~10.5 GJ/t DRI for gas-based shaft furnaces (Midrex/HYL/Finmet).</t>
        </is>
      </c>
    </row>
    <row r="21">
      <c r="A21" t="inlineStr">
        <is>
          <t xml:space="preserve">  LNG liquefaction: 1.45 mcm per kt LNG - ~1,360 m3 of gas per tonne of LNG plus ~7% used as plant fuel.</t>
        </is>
      </c>
    </row>
    <row r="22">
      <c r="A22" t="inlineStr">
        <is>
          <t xml:space="preserve">  Alumina: 0.24 mcm per kt alumina - ~9 GJ/t alumina (Bayer digestion steam + calcination), where gas is the fuel.</t>
        </is>
      </c>
    </row>
    <row r="23">
      <c r="A23" t="inlineStr">
        <is>
          <t xml:space="preserve">  Cement: 0.08 mcm per kt cement - ~3.0 GJ/t cement (~3.5 GJ/t clinker x ~0.85 clinker factor), gas-fired kilns only.</t>
        </is>
      </c>
    </row>
    <row r="24">
      <c r="A24" t="inlineStr">
        <is>
          <t xml:space="preserve">  Glass: 0.17 mcm per kt glass - ~6.5 GJ/t float glass (melting furnace).</t>
        </is>
      </c>
    </row>
    <row r="25">
      <c r="A25" t="inlineStr">
        <is>
          <t xml:space="preserve">  Ceramics: 2 mcm per million m2 - ~0.076 GJ/m2 (~2 m3 of gas per m2 of tile); low confidence: dry-route plants (Santa Gertrudes) use less, spray-dried wet route more.</t>
        </is>
      </c>
    </row>
    <row r="26">
      <c r="A26" t="inlineStr">
        <is>
          <t>Where a company states its gas use or contract volume, that figure is used instead (gas_estimate_basis says which).</t>
        </is>
      </c>
    </row>
    <row r="27">
      <c r="A27" t="inlineStr">
        <is>
          <t>Energy conversions assume pipeline gas at 38 MJ/m3 (gross).</t>
        </is>
      </c>
    </row>
    <row r="28">
      <c r="A28" t="inlineStr">
        <is>
          <t>Double counting: Ecuador's Bajo Alto LNG plant liquefies the gas that Cuenca's ceramics plants burn, so their estimates overlap (both small). LNG plants' gas is feed for export, not domestic end use.</t>
        </is>
      </c>
    </row>
    <row r="29">
      <c r="A29" t="inlineStr">
        <is>
          <t>Pivot ('By country &amp; sector'): plant counts by status; capacity and gas summed over plants counted as operating; idle and under-construction gas shown separately. Capacity sums mix units across sectors, so read them within a sector.</t>
        </is>
      </c>
    </row>
    <row r="30"/>
    <row r="31">
      <c r="A31" s="1" t="inlineStr">
        <is>
          <t>CROSS-CHECK</t>
        </is>
      </c>
    </row>
    <row r="32">
      <c r="A32" t="inlineStr">
        <is>
          <t>Trinidad cross-check: register estimate at nameplate (operating plants) vs MEEI measured gas use, mean of the 6 months to May-2026 (mcm/d):</t>
        </is>
      </c>
    </row>
    <row r="33">
      <c r="A33" t="inlineStr">
        <is>
          <t xml:space="preserve">  Ammonia/urea: estimate 9.8 vs MEEI 9.5</t>
        </is>
      </c>
    </row>
    <row r="34">
      <c r="A34" t="inlineStr">
        <is>
          <t xml:space="preserve">  Methanol: estimate 12.6 vs MEEI 12.0</t>
        </is>
      </c>
    </row>
    <row r="35">
      <c r="A35" t="inlineStr">
        <is>
          <t xml:space="preserve">  LNG liquefaction: estimate 46.9 vs MEEI 33.4</t>
        </is>
      </c>
    </row>
    <row r="36">
      <c r="A36" t="inlineStr">
        <is>
          <t xml:space="preserve">  Steel DRI: estimate 1.5 vs MEEI 1.4</t>
        </is>
      </c>
    </row>
    <row r="37">
      <c r="A37" t="inlineStr">
        <is>
          <t xml:space="preserve">  Cement: estimate 0.5 vs MEEI 0.3</t>
        </is>
      </c>
    </row>
    <row r="38">
      <c r="A38" t="inlineStr">
        <is>
          <t xml:space="preserve">  (Methanol: Titan was idled from 29-Jun-2026, so the 6-month MEEI mean still includes it; LNG runs below nameplate for lack of feed gas.)</t>
        </is>
      </c>
    </row>
    <row r="39"/>
    <row r="40">
      <c r="A40" s="1" t="inlineStr">
        <is>
          <t>LARGEST ESTIMATED USERS (operating)</t>
        </is>
      </c>
    </row>
    <row r="41">
      <c r="A41" t="inlineStr">
        <is>
          <t xml:space="preserve">  20.66 mcm/d - Atlantic LNG Train 4 (Trinidad and Tobago, LNG liquefaction)</t>
        </is>
      </c>
    </row>
    <row r="42">
      <c r="A42" t="inlineStr">
        <is>
          <t xml:space="preserve">  17.68 mcm/d - Peru LNG (Pampa Melchorita) (Peru, LNG liquefaction)</t>
        </is>
      </c>
    </row>
    <row r="43">
      <c r="A43" t="inlineStr">
        <is>
          <t xml:space="preserve">  13.11 mcm/d - Atlantic LNG Train 2 (Trinidad and Tobago, LNG liquefaction)</t>
        </is>
      </c>
    </row>
    <row r="44">
      <c r="A44" t="inlineStr">
        <is>
          <t xml:space="preserve">  13.11 mcm/d - Atlantic LNG Train 3 (Trinidad and Tobago, LNG liquefaction)</t>
        </is>
      </c>
    </row>
    <row r="45">
      <c r="A45" t="inlineStr">
        <is>
          <t xml:space="preserve">  5.18 mcm/d - M5000 (M5) (Trinidad and Tobago, Methanol)</t>
        </is>
      </c>
    </row>
    <row r="46">
      <c r="A46" t="inlineStr">
        <is>
          <t xml:space="preserve">  4.66 mcm/d - Methanex Cabo Negro (Chile I and Chile IV) (Chile, Methanol)</t>
        </is>
      </c>
    </row>
    <row r="47">
      <c r="A47" t="inlineStr">
        <is>
          <t xml:space="preserve">  4.38 mcm/d - Metor methanol (Venezuela, Methanol)</t>
        </is>
      </c>
    </row>
    <row r="48">
      <c r="A48" t="inlineStr">
        <is>
          <t xml:space="preserve">  3.29 mcm/d - Jose Antonio Anzoategui complex (FertiNitro) (Venezuela, Ammonia/urea)</t>
        </is>
      </c>
    </row>
    <row r="49">
      <c r="A49" t="inlineStr">
        <is>
          <t xml:space="preserve">  2.74 mcm/d - Caribbean Gas Chemical Ltd (CGCL) methanol + DME (Trinidad and Tobago, Methanol)</t>
        </is>
      </c>
    </row>
    <row r="50">
      <c r="A50" t="inlineStr">
        <is>
          <t xml:space="preserve">  2.22 mcm/d - Hydro Alunorte alumina refinery (Brazil, Alumina)</t>
        </is>
      </c>
    </row>
    <row r="51"/>
    <row r="52">
      <c r="A52" s="1" t="inlineStr">
        <is>
          <t>COMPLETENESS</t>
        </is>
      </c>
    </row>
    <row r="53">
      <c r="A53" t="inlineStr">
        <is>
          <t xml:space="preserve">  LNG liquefaction: Complete for export LNG (Atlantic LNG, Peru LNG, Argentina's Hilli FLNG under construction) plus Ecuador's small Bajo Alto plant; Bolivia's small-scale Rio Grande plant is not listed.</t>
        </is>
      </c>
    </row>
    <row r="54">
      <c r="A54" t="inlineStr">
        <is>
          <t xml:space="preserve">  Ammonia/urea: Near complete: every Trinidad plant (MEEI list), Venezuela's three Pequiven complexes, Argentina (Profertil), Bolivia (Bulo Bulo), Brazil (Petrobras FAFEN-BA/SE, ANSA, UFN-III, Yara Cubatao). Small or idle units (e.g. Colombia's Ferticol) are not listed.</t>
        </is>
      </c>
    </row>
    <row r="55">
      <c r="A55" t="inlineStr">
        <is>
          <t xml:space="preserve">  Methanol: Complete for the region's methanol plants (Trinidad x8, Venezuela x2, Chile, Argentina).</t>
        </is>
      </c>
    </row>
    <row r="56">
      <c r="A56" t="inlineStr">
        <is>
          <t xml:space="preserve">  Steel DRI: Complete for gas-based DRI/HBI (Trinidad, Venezuela, Argentina). Brazil, Peru and Colombia steel is blast-furnace, coal-based DRI or scrap-EAF, so not listed.</t>
        </is>
      </c>
    </row>
    <row r="57">
      <c r="A57" t="inlineStr">
        <is>
          <t xml:space="preserve">  Alumina: Jamalco (LNG-fired) and Brazil's Alunorte (fuel-oil to gas switch) are included; Venezuela's Bauxilum is listed without an estimate (fuel unconfirmed). Alumar, CBA, Alpart and Windalco are not listed (gas use unconfirmed).</t>
        </is>
      </c>
    </row>
    <row r="58">
      <c r="A58" t="inlineStr">
        <is>
          <t xml:space="preserve">  Cement: Partial: only where gas firing is documented (Trinidad TCL, Bolivia) is gas estimated. Venezuela and Argentina plants are listed without an estimate (fuel mix unconfirmed). Brazil, Colombia, Chile, Peru, Ecuador, Central America and the Dominican Republic burn mainly coal/petcoke: not listed.</t>
        </is>
      </c>
    </row>
    <row r="59">
      <c r="A59" t="inlineStr">
        <is>
          <t xml:space="preserve">  Glass: Partial: Brazil's four float-glass producers only. Container glass (O-I, Verallia...) and float glass elsewhere (Colombia, Argentina) are not listed.</t>
        </is>
      </c>
    </row>
    <row r="60">
      <c r="A60" t="inlineStr">
        <is>
          <t xml:space="preserve">  Ceramics: Partial: Brazil's four largest tile groups (2024 production, ANFACER / Ceramic World Review), Colombia (Ceramica Italia, Corona Sopo new plant), Ecuador (Graiman, Italpisos). Brazil alone has ~60 companies / 71 plants (ANFACER); Peru, Argentina and Mexico-owned plants are not listed.</t>
        </is>
      </c>
    </row>
    <row r="61">
      <c r="A61" t="inlineStr">
        <is>
          <t xml:space="preserve">  Petrochemical: Ethane-fed crackers only (Dow Bahia Blanca, Braskem Duque de Caxias); no gas estimate because the feed is ethane (an NGL), not pipeline methane.</t>
        </is>
      </c>
    </row>
    <row r="62">
      <c r="A62" t="inlineStr">
        <is>
          <t>Countries with no plant listed: Uruguay, Paraguay, Central America (Guatemala-Panama, Belize), Dominican Republic, Puerto Rico - gas there goes to power; cement kilns burn coal/petcoke.</t>
        </is>
      </c>
    </row>
    <row r="63"/>
    <row r="64">
      <c r="A64" s="1" t="inlineStr">
        <is>
          <t>SOURCES</t>
        </is>
      </c>
    </row>
    <row r="65">
      <c r="A65" t="inlineStr">
        <is>
          <t>USGS Minerals Yearbook, country chapters, Table 2 'Structure of the mineral industry' (https://www.usgs.gov/centers/national-minerals-information-center): Argentina, Bolivia, Brazil, Chile 2019; Islands of the Caribbean 2019; Venezuela 2022.</t>
        </is>
      </c>
    </row>
    <row r="66">
      <c r="A66" t="inlineStr">
        <is>
          <t>Trinidad &amp; Tobago Ministry of Energy and Energy Industries (MEEI): ammonia, methanol and urea plant tables (https://www.energy.gov.tt/our-business/lng-petrochemicals/petrochemicals/).</t>
        </is>
      </c>
    </row>
    <row r="67">
      <c r="A67" t="inlineStr">
        <is>
          <t>Global Energy Monitor, Global Steel Plant Tracker wiki pages (gem.wiki, CC BY 4.0): plant coordinates and DRI capacities.</t>
        </is>
      </c>
    </row>
    <row r="68">
      <c r="A68" t="inlineStr">
        <is>
          <t>Company releases and filings (Methanex, Nutrien, Nucor, Petrobras, Yara, Century Aluminum, Atlantic LNG), ANFACER / Ceramic World Review (ceramics), trade and national press: one or more URLs on each row of 'Plants'.</t>
        </is>
      </c>
    </row>
    <row r="69">
      <c r="A69" t="inlineStr">
        <is>
          <t>Every row of 'Plants' carries its own source URL(s); statuses marked 'unverified' were not confirmed by a dated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20" customWidth="1" min="1" max="1"/>
  </cols>
  <sheetData>
    <row r="1">
      <c r="A1" t="inlineStr">
        <is>
          <t>Country</t>
        </is>
      </c>
      <c r="B1" t="inlineStr">
        <is>
          <t>LNG liquefaction</t>
        </is>
      </c>
      <c r="C1" t="inlineStr">
        <is>
          <t>Ammonia/urea</t>
        </is>
      </c>
      <c r="D1" t="inlineStr">
        <is>
          <t>Methanol</t>
        </is>
      </c>
      <c r="E1" t="inlineStr">
        <is>
          <t>Steel DRI</t>
        </is>
      </c>
      <c r="F1" t="inlineStr">
        <is>
          <t>Alumina</t>
        </is>
      </c>
      <c r="G1" t="inlineStr">
        <is>
          <t>Cement</t>
        </is>
      </c>
      <c r="H1" t="inlineStr">
        <is>
          <t>Glass</t>
        </is>
      </c>
      <c r="I1" t="inlineStr">
        <is>
          <t>Ceramics</t>
        </is>
      </c>
    </row>
    <row r="2">
      <c r="A2" t="inlineStr">
        <is>
          <t>Trinidad &amp; Tobago</t>
        </is>
      </c>
      <c r="B2" t="n">
        <v>46.878</v>
      </c>
      <c r="C2" t="n">
        <v>9.85</v>
      </c>
      <c r="D2" t="n">
        <v>12.576</v>
      </c>
      <c r="E2" t="n">
        <v>1.534</v>
      </c>
      <c r="F2" t="n">
        <v>0</v>
      </c>
      <c r="G2" t="n">
        <v>0.548</v>
      </c>
      <c r="H2" t="n">
        <v>0</v>
      </c>
      <c r="I2" t="n">
        <v>0</v>
      </c>
    </row>
    <row r="3">
      <c r="A3" t="inlineStr">
        <is>
          <t>Peru</t>
        </is>
      </c>
      <c r="B3" t="n">
        <v>17.678</v>
      </c>
      <c r="C3" t="n">
        <v>0</v>
      </c>
      <c r="D3" t="n">
        <v>0</v>
      </c>
      <c r="E3" t="n">
        <v>0</v>
      </c>
      <c r="F3" t="n">
        <v>0</v>
      </c>
      <c r="G3" t="n">
        <v>0</v>
      </c>
      <c r="H3" t="n">
        <v>0</v>
      </c>
      <c r="I3" t="n">
        <v>0</v>
      </c>
    </row>
    <row r="4">
      <c r="A4" t="inlineStr">
        <is>
          <t>Venezuela</t>
        </is>
      </c>
      <c r="B4" t="n">
        <v>0</v>
      </c>
      <c r="C4" t="n">
        <v>4.658</v>
      </c>
      <c r="D4" t="n">
        <v>6.576</v>
      </c>
      <c r="E4" t="n">
        <v>4.227</v>
      </c>
      <c r="F4" t="n">
        <v>0</v>
      </c>
      <c r="G4" t="n">
        <v>0</v>
      </c>
      <c r="H4" t="n">
        <v>0</v>
      </c>
      <c r="I4" t="n">
        <v>0</v>
      </c>
    </row>
    <row r="5">
      <c r="A5" t="inlineStr">
        <is>
          <t>Brazil</t>
        </is>
      </c>
      <c r="B5" t="n">
        <v>0</v>
      </c>
      <c r="C5" t="n">
        <v>3.146</v>
      </c>
      <c r="D5" t="n">
        <v>0</v>
      </c>
      <c r="E5" t="n">
        <v>0</v>
      </c>
      <c r="F5" t="n">
        <v>2.22</v>
      </c>
      <c r="G5" t="n">
        <v>0</v>
      </c>
      <c r="H5" t="n">
        <v>1.263</v>
      </c>
      <c r="I5" t="n">
        <v>1.473</v>
      </c>
    </row>
    <row r="6">
      <c r="A6" t="inlineStr">
        <is>
          <t>Chile</t>
        </is>
      </c>
      <c r="B6" t="n">
        <v>0</v>
      </c>
      <c r="C6" t="n">
        <v>0</v>
      </c>
      <c r="D6" t="n">
        <v>4.658</v>
      </c>
      <c r="E6" t="n">
        <v>0</v>
      </c>
      <c r="F6" t="n">
        <v>0</v>
      </c>
      <c r="G6" t="n">
        <v>0</v>
      </c>
      <c r="H6" t="n">
        <v>0</v>
      </c>
      <c r="I6" t="n">
        <v>0</v>
      </c>
    </row>
    <row r="7">
      <c r="A7" t="inlineStr">
        <is>
          <t>Argentina</t>
        </is>
      </c>
      <c r="B7" t="n">
        <v>0</v>
      </c>
      <c r="C7" t="n">
        <v>2.164</v>
      </c>
      <c r="D7" t="n">
        <v>1.096</v>
      </c>
      <c r="E7" t="n">
        <v>1.281</v>
      </c>
      <c r="F7" t="n">
        <v>0</v>
      </c>
      <c r="G7" t="n">
        <v>0</v>
      </c>
      <c r="H7" t="n">
        <v>0</v>
      </c>
      <c r="I7" t="n">
        <v>0</v>
      </c>
    </row>
    <row r="8">
      <c r="A8" t="inlineStr">
        <is>
          <t>Bolivia</t>
        </is>
      </c>
      <c r="B8" t="n">
        <v>0</v>
      </c>
      <c r="C8" t="n">
        <v>1.151</v>
      </c>
      <c r="D8" t="n">
        <v>0</v>
      </c>
      <c r="E8" t="n">
        <v>0</v>
      </c>
      <c r="F8" t="n">
        <v>0</v>
      </c>
      <c r="G8" t="n">
        <v>0.861</v>
      </c>
      <c r="H8" t="n">
        <v>0</v>
      </c>
      <c r="I8" t="n">
        <v>0</v>
      </c>
    </row>
    <row r="9">
      <c r="A9" t="inlineStr">
        <is>
          <t>Jamaica</t>
        </is>
      </c>
      <c r="B9" t="n">
        <v>0</v>
      </c>
      <c r="C9" t="n">
        <v>0</v>
      </c>
      <c r="D9" t="n">
        <v>0</v>
      </c>
      <c r="E9" t="n">
        <v>0</v>
      </c>
      <c r="F9" t="n">
        <v>0.921</v>
      </c>
      <c r="G9" t="n">
        <v>0</v>
      </c>
      <c r="H9" t="n">
        <v>0</v>
      </c>
      <c r="I9" t="n">
        <v>0</v>
      </c>
    </row>
    <row r="10">
      <c r="A10" t="inlineStr">
        <is>
          <t>Ecuador</t>
        </is>
      </c>
      <c r="B10" t="n">
        <v>0.278</v>
      </c>
      <c r="C10" t="n">
        <v>0</v>
      </c>
      <c r="D10" t="n">
        <v>0</v>
      </c>
      <c r="E10" t="n">
        <v>0</v>
      </c>
      <c r="F10" t="n">
        <v>0</v>
      </c>
      <c r="G10" t="n">
        <v>0</v>
      </c>
      <c r="H10" t="n">
        <v>0</v>
      </c>
      <c r="I10" t="n">
        <v>0.053</v>
      </c>
    </row>
    <row r="11">
      <c r="A11" t="inlineStr">
        <is>
          <t>Colombia</t>
        </is>
      </c>
      <c r="B11" t="n">
        <v>0</v>
      </c>
      <c r="C11" t="n">
        <v>0</v>
      </c>
      <c r="D11" t="n">
        <v>0</v>
      </c>
      <c r="E11" t="n">
        <v>0</v>
      </c>
      <c r="F11" t="n">
        <v>0</v>
      </c>
      <c r="G11" t="n">
        <v>0</v>
      </c>
      <c r="H11" t="n">
        <v>0</v>
      </c>
      <c r="I11" t="n">
        <v>0.102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87"/>
  <sheetViews>
    <sheetView workbookViewId="0">
      <selection activeCell="A1" sqref="A1"/>
    </sheetView>
  </sheetViews>
  <sheetFormatPr baseColWidth="8" defaultRowHeight="15"/>
  <sheetData>
    <row r="1">
      <c r="A1" t="inlineStr">
        <is>
          <t>id</t>
        </is>
      </c>
      <c r="B1" t="inlineStr">
        <is>
          <t>country</t>
        </is>
      </c>
      <c r="C1" t="inlineStr">
        <is>
          <t>plant</t>
        </is>
      </c>
      <c r="D1" t="inlineStr">
        <is>
          <t>operator</t>
        </is>
      </c>
      <c r="E1" t="inlineStr">
        <is>
          <t>sector</t>
        </is>
      </c>
      <c r="F1" t="inlineStr">
        <is>
          <t>products</t>
        </is>
      </c>
      <c r="G1" t="inlineStr">
        <is>
          <t>capacity</t>
        </is>
      </c>
      <c r="H1" t="inlineStr">
        <is>
          <t>capacity_unit</t>
        </is>
      </c>
      <c r="I1" t="inlineStr">
        <is>
          <t>capacity_check</t>
        </is>
      </c>
      <c r="J1" t="inlineStr">
        <is>
          <t>status</t>
        </is>
      </c>
      <c r="K1" t="inlineStr">
        <is>
          <t>status_as_of</t>
        </is>
      </c>
      <c r="L1" t="inlineStr">
        <is>
          <t>city</t>
        </is>
      </c>
      <c r="M1" t="inlineStr">
        <is>
          <t>region</t>
        </is>
      </c>
      <c r="N1" t="inlineStr">
        <is>
          <t>lat</t>
        </is>
      </c>
      <c r="O1" t="inlineStr">
        <is>
          <t>lon</t>
        </is>
      </c>
      <c r="P1" t="inlineStr">
        <is>
          <t>coords</t>
        </is>
      </c>
      <c r="Q1" t="inlineStr">
        <is>
          <t>basis_kt_or_Mm2_per_yr</t>
        </is>
      </c>
      <c r="R1" t="inlineStr">
        <is>
          <t>gas_mcm_d_estimate</t>
        </is>
      </c>
      <c r="S1" t="inlineStr">
        <is>
          <t>gas_estimate_basis</t>
        </is>
      </c>
      <c r="T1" t="inlineStr">
        <is>
          <t>counted_as</t>
        </is>
      </c>
      <c r="U1" t="inlineStr">
        <is>
          <t>notes</t>
        </is>
      </c>
      <c r="V1" t="inlineStr">
        <is>
          <t>sources</t>
        </is>
      </c>
    </row>
    <row r="2">
      <c r="A2" t="n">
        <v>1</v>
      </c>
      <c r="B2" t="inlineStr">
        <is>
          <t>Argentina</t>
        </is>
      </c>
      <c r="C2" t="inlineStr">
        <is>
          <t>Southern Energy FLNG - Hilli Episeyo</t>
        </is>
      </c>
      <c r="D2" t="inlineStr">
        <is>
          <t>Southern Energy (PAE, YPF, Pampa, Harbour, Golar)</t>
        </is>
      </c>
      <c r="E2" t="inlineStr">
        <is>
          <t>LNG liquefaction</t>
        </is>
      </c>
      <c r="F2" t="inlineStr">
        <is>
          <t>LNG</t>
        </is>
      </c>
      <c r="G2" t="n">
        <v>2.45</v>
      </c>
      <c r="H2" t="inlineStr">
        <is>
          <t>Mt/yr LNG</t>
        </is>
      </c>
      <c r="I2" t="inlineStr">
        <is>
          <t>verified on source page</t>
        </is>
      </c>
      <c r="J2" t="inlineStr">
        <is>
          <t>under construction</t>
        </is>
      </c>
      <c r="K2" t="inlineStr">
        <is>
          <t>2026-04</t>
        </is>
      </c>
      <c r="L2" t="inlineStr">
        <is>
          <t>Golfo San Matias</t>
        </is>
      </c>
      <c r="M2" t="inlineStr">
        <is>
          <t>Rio Negro</t>
        </is>
      </c>
      <c r="N2" t="n">
        <v>-41.1</v>
      </c>
      <c r="O2" t="n">
        <v>-64.59999999999999</v>
      </c>
      <c r="P2" t="inlineStr">
        <is>
          <t>approx (gulf)</t>
        </is>
      </c>
      <c r="Q2" t="n">
        <v>2450</v>
      </c>
      <c r="R2" t="n">
        <v>9.733000000000001</v>
      </c>
      <c r="S2" t="inlineStr">
        <is>
          <t>Estimate: 2,450 kt LNG/yr x 1.45 mcm per kt LNG / 365, at nameplate</t>
        </is>
      </c>
      <c r="T2" t="inlineStr">
        <is>
          <t>Under construction</t>
        </is>
      </c>
      <c r="U2" t="inlineStr">
        <is>
          <t>Vessel due mid-2027, commercial operation end-2027; the source puts its gas intake at ~11 mcm/d. A second FLNG (MKII, ~3.5 Mt/yr reported) is planned for 2028 - not listed until confirmed.</t>
        </is>
      </c>
      <c r="V2" t="inlineStr">
        <is>
          <t>https://mase.lmneuquen.com/el-buque-hilli-episeyo-partio-singapur-prepararse-operar-el-golfo-san-matias-n1248727 ; https://worldoil.com/news/2026/4/13/coremarine-jumbo-offshore-win-flng-installation-contract-offshore-argentina/</t>
        </is>
      </c>
    </row>
    <row r="3">
      <c r="A3" t="n">
        <v>2</v>
      </c>
      <c r="B3" t="inlineStr">
        <is>
          <t>Argentina</t>
        </is>
      </c>
      <c r="C3" t="inlineStr">
        <is>
          <t>Profertil Bahia Blanca</t>
        </is>
      </c>
      <c r="D3" t="inlineStr">
        <is>
          <t>Profertil (Adecoagro / ACA from 2025)</t>
        </is>
      </c>
      <c r="E3" t="inlineStr">
        <is>
          <t>Ammonia/urea</t>
        </is>
      </c>
      <c r="F3" t="inlineStr">
        <is>
          <t>Ammonia, granular urea (1,320 kt/yr)</t>
        </is>
      </c>
      <c r="G3" t="n">
        <v>790</v>
      </c>
      <c r="H3" t="inlineStr">
        <is>
          <t>kt/yr ammonia</t>
        </is>
      </c>
      <c r="I3" t="inlineStr">
        <is>
          <t>verified on source page</t>
        </is>
      </c>
      <c r="J3" t="inlineStr">
        <is>
          <t>operating</t>
        </is>
      </c>
      <c r="K3" t="inlineStr">
        <is>
          <t>2026</t>
        </is>
      </c>
      <c r="L3" t="inlineStr">
        <is>
          <t>Ingeniero White, Bahia Blanca</t>
        </is>
      </c>
      <c r="M3" t="inlineStr">
        <is>
          <t>Buenos Aires</t>
        </is>
      </c>
      <c r="N3" t="n">
        <v>-38.775</v>
      </c>
      <c r="O3" t="n">
        <v>-62.27</v>
      </c>
      <c r="P3" t="inlineStr">
        <is>
          <t>approx (site)</t>
        </is>
      </c>
      <c r="Q3" t="n">
        <v>790</v>
      </c>
      <c r="R3" t="n">
        <v>2.164</v>
      </c>
      <c r="S3" t="inlineStr">
        <is>
          <t>Estimate: 790 kt ammonia/yr x 1 mcm per kt ammonia / 365, at nameplate</t>
        </is>
      </c>
      <c r="T3" t="inlineStr">
        <is>
          <t>Operating</t>
        </is>
      </c>
      <c r="U3" t="inlineStr">
        <is>
          <t>Urea 1.32 Mt/yr. Ownership passed from YPF/Nutrien to Adecoagro and ACA in 2025.</t>
        </is>
      </c>
      <c r="V3" t="inlineStr">
        <is>
          <t>https://www.lanacion.com.ar/economia/campo/la-mayor-productora-de-urea-del-mundo-nid196188/ ; https://mercado.com.ar/protagonistas/adecoagro-y-aca-protagonistas-de-2025-adquieren-profertil-y-se-posicionan-en-el-mercado</t>
        </is>
      </c>
    </row>
    <row r="4">
      <c r="A4" t="n">
        <v>3</v>
      </c>
      <c r="B4" t="inlineStr">
        <is>
          <t>Argentina</t>
        </is>
      </c>
      <c r="C4" t="inlineStr">
        <is>
          <t>YPF Plaza Huincul methanol</t>
        </is>
      </c>
      <c r="D4" t="inlineStr">
        <is>
          <t>YPF</t>
        </is>
      </c>
      <c r="E4" t="inlineStr">
        <is>
          <t>Methanol</t>
        </is>
      </c>
      <c r="F4" t="inlineStr">
        <is>
          <t>Methanol</t>
        </is>
      </c>
      <c r="G4" t="n">
        <v>400</v>
      </c>
      <c r="H4" t="inlineStr">
        <is>
          <t>kt/yr methanol</t>
        </is>
      </c>
      <c r="I4" t="inlineStr">
        <is>
          <t>verified on source page</t>
        </is>
      </c>
      <c r="J4" t="inlineStr">
        <is>
          <t>operating (unverified)</t>
        </is>
      </c>
      <c r="K4" t="inlineStr">
        <is>
          <t>2026</t>
        </is>
      </c>
      <c r="L4" t="inlineStr">
        <is>
          <t>Plaza Huincul</t>
        </is>
      </c>
      <c r="M4" t="inlineStr">
        <is>
          <t>Neuquen</t>
        </is>
      </c>
      <c r="N4" t="n">
        <v>-38.93</v>
      </c>
      <c r="O4" t="n">
        <v>-69.2</v>
      </c>
      <c r="P4" t="inlineStr">
        <is>
          <t>approx (town)</t>
        </is>
      </c>
      <c r="Q4" t="n">
        <v>400</v>
      </c>
      <c r="R4" t="n">
        <v>1.096</v>
      </c>
      <c r="S4" t="inlineStr">
        <is>
          <t>Estimate: 400 kt methanol/yr x 1 mcm per kt methanol / 365, at nameplate</t>
        </is>
      </c>
      <c r="T4" t="inlineStr">
        <is>
          <t>Operating</t>
        </is>
      </c>
      <c r="U4" t="inlineStr">
        <is>
          <t>Argentina's only methanol plant; has been paralysed at times for lack of gas (LM Neuquen).</t>
        </is>
      </c>
      <c r="V4" t="inlineStr">
        <is>
          <t>https://mase.lmneuquen.com/petroleo/las-oportunidades-ypf-el-sector-petroquimico-n663832 ; https://mase.lmneuquen.com/ypf/ypf-paraliza-la-planta-metanol-plaza-huincul-n951875</t>
        </is>
      </c>
    </row>
    <row r="5">
      <c r="A5" t="n">
        <v>4</v>
      </c>
      <c r="B5" t="inlineStr">
        <is>
          <t>Argentina</t>
        </is>
      </c>
      <c r="C5" t="inlineStr">
        <is>
          <t>Acindar Villa Constitucion (DRI)</t>
        </is>
      </c>
      <c r="D5" t="inlineStr">
        <is>
          <t>ArcelorMittal Acindar</t>
        </is>
      </c>
      <c r="E5" t="inlineStr">
        <is>
          <t>Steel DRI</t>
        </is>
      </c>
      <c r="F5" t="inlineStr">
        <is>
          <t>DRI (Midrex), EAF steel</t>
        </is>
      </c>
      <c r="G5" t="n">
        <v>1000</v>
      </c>
      <c r="H5" t="inlineStr">
        <is>
          <t>kt/yr DRI</t>
        </is>
      </c>
      <c r="I5" t="inlineStr">
        <is>
          <t>verified on source page</t>
        </is>
      </c>
      <c r="J5" t="inlineStr">
        <is>
          <t>operating</t>
        </is>
      </c>
      <c r="K5" t="inlineStr">
        <is>
          <t>2025</t>
        </is>
      </c>
      <c r="L5" t="inlineStr">
        <is>
          <t>Villa Constitucion</t>
        </is>
      </c>
      <c r="M5" t="inlineStr">
        <is>
          <t>Santa Fe</t>
        </is>
      </c>
      <c r="N5" t="n">
        <v>-33.249936</v>
      </c>
      <c r="O5" t="n">
        <v>-60.300415</v>
      </c>
      <c r="P5" t="inlineStr">
        <is>
          <t>GEM wiki (plant)</t>
        </is>
      </c>
      <c r="Q5" t="n">
        <v>1000</v>
      </c>
      <c r="R5" t="n">
        <v>0.767</v>
      </c>
      <c r="S5" t="inlineStr">
        <is>
          <t>Estimate: 1,000 kt DRI/HBI/yr x 0.28 mcm per kt DRI/HBI / 365, at nameplate</t>
        </is>
      </c>
      <c r="T5" t="inlineStr">
        <is>
          <t>Operating</t>
        </is>
      </c>
      <c r="U5" t="inlineStr">
        <is>
          <t>USGS 2019 lists 1,000 kt/yr DRI; GEM lists 600 kt/yr iron capacity.</t>
        </is>
      </c>
      <c r="V5" t="inlineStr">
        <is>
          <t>https://pubs.usgs.gov/myb/vol3/2019/myb3-2019-argentina.xlsx ; https://www.gem.wiki/ArcelorMittal_Acindar_steel_plant</t>
        </is>
      </c>
    </row>
    <row r="6">
      <c r="A6" t="n">
        <v>5</v>
      </c>
      <c r="B6" t="inlineStr">
        <is>
          <t>Argentina</t>
        </is>
      </c>
      <c r="C6" t="inlineStr">
        <is>
          <t>TenarisSiderca Campana (DRI)</t>
        </is>
      </c>
      <c r="D6" t="inlineStr">
        <is>
          <t>Tenaris (Techint)</t>
        </is>
      </c>
      <c r="E6" t="inlineStr">
        <is>
          <t>Steel DRI</t>
        </is>
      </c>
      <c r="F6" t="inlineStr">
        <is>
          <t>DRI (Midrex), EAF steel, seamless pipe</t>
        </is>
      </c>
      <c r="G6" t="n">
        <v>670</v>
      </c>
      <c r="H6" t="inlineStr">
        <is>
          <t>kt/yr DRI</t>
        </is>
      </c>
      <c r="I6" t="inlineStr">
        <is>
          <t>verified on source page</t>
        </is>
      </c>
      <c r="J6" t="inlineStr">
        <is>
          <t>operating</t>
        </is>
      </c>
      <c r="K6" t="inlineStr">
        <is>
          <t>2025</t>
        </is>
      </c>
      <c r="L6" t="inlineStr">
        <is>
          <t>Campana</t>
        </is>
      </c>
      <c r="M6" t="inlineStr">
        <is>
          <t>Buenos Aires</t>
        </is>
      </c>
      <c r="N6" t="n">
        <v>-34.152554</v>
      </c>
      <c r="O6" t="n">
        <v>-58.977388</v>
      </c>
      <c r="P6" t="inlineStr">
        <is>
          <t>GEM wiki (plant)</t>
        </is>
      </c>
      <c r="Q6" t="n">
        <v>670</v>
      </c>
      <c r="R6" t="n">
        <v>0.514</v>
      </c>
      <c r="S6" t="inlineStr">
        <is>
          <t>Estimate: 670 kt DRI/HBI/yr x 0.28 mcm per kt DRI/HBI / 365, at nameplate</t>
        </is>
      </c>
      <c r="T6" t="inlineStr">
        <is>
          <t>Operating</t>
        </is>
      </c>
      <c r="U6" t="inlineStr">
        <is>
          <t>USGS 2019 lists 670 kt/yr DRI (Techint Group plant, Buenos Aires Province); GEM lists 960 kt/yr iron capacity.</t>
        </is>
      </c>
      <c r="V6" t="inlineStr">
        <is>
          <t>https://pubs.usgs.gov/myb/vol3/2019/myb3-2019-argentina.xlsx ; https://www.gem.wiki/TenarisSiderca_Seamless_Tubes_Mill_steel_plant</t>
        </is>
      </c>
    </row>
    <row r="7">
      <c r="A7" t="n">
        <v>6</v>
      </c>
      <c r="B7" t="inlineStr">
        <is>
          <t>Argentina</t>
        </is>
      </c>
      <c r="C7" t="inlineStr">
        <is>
          <t>Cementos Avellaneda (2 plants)</t>
        </is>
      </c>
      <c r="D7" t="inlineStr">
        <is>
          <t>Cementos Avellaneda (Molins / Votorantim)</t>
        </is>
      </c>
      <c r="E7" t="inlineStr">
        <is>
          <t>Cement</t>
        </is>
      </c>
      <c r="F7" t="inlineStr">
        <is>
          <t>Cement</t>
        </is>
      </c>
      <c r="G7" t="n">
        <v>2000</v>
      </c>
      <c r="H7" t="inlineStr">
        <is>
          <t>kt/yr cement</t>
        </is>
      </c>
      <c r="I7" t="inlineStr">
        <is>
          <t>verified on source page</t>
        </is>
      </c>
      <c r="J7" t="inlineStr">
        <is>
          <t>operating</t>
        </is>
      </c>
      <c r="K7" t="inlineStr">
        <is>
          <t>2019</t>
        </is>
      </c>
      <c r="L7" t="inlineStr">
        <is>
          <t>Olavarria, La Calera</t>
        </is>
      </c>
      <c r="M7" t="inlineStr">
        <is>
          <t>Buenos Aires, San Luis</t>
        </is>
      </c>
      <c r="N7" t="n">
        <v>-36.89</v>
      </c>
      <c r="O7" t="n">
        <v>-60.32</v>
      </c>
      <c r="P7" t="inlineStr">
        <is>
          <t>approx (main plant)</t>
        </is>
      </c>
      <c r="S7" t="inlineStr">
        <is>
          <t>No estimate (see notes)</t>
        </is>
      </c>
      <c r="T7" t="inlineStr">
        <is>
          <t>Operating</t>
        </is>
      </c>
      <c r="U7" t="inlineStr">
        <is>
          <t>Kiln fuel mix (gas / petcoke / coal) not confirmed in sources found, so no gas estimate.</t>
        </is>
      </c>
      <c r="V7" t="inlineStr">
        <is>
          <t>https://pubs.usgs.gov/myb/vol3/2019/myb3-2019-argentina.xlsx</t>
        </is>
      </c>
    </row>
    <row r="8">
      <c r="A8" t="n">
        <v>7</v>
      </c>
      <c r="B8" t="inlineStr">
        <is>
          <t>Argentina</t>
        </is>
      </c>
      <c r="C8" t="inlineStr">
        <is>
          <t>Holcim Argentina cement plants (3)</t>
        </is>
      </c>
      <c r="D8" t="inlineStr">
        <is>
          <t>Holcim</t>
        </is>
      </c>
      <c r="E8" t="inlineStr">
        <is>
          <t>Cement</t>
        </is>
      </c>
      <c r="F8" t="inlineStr">
        <is>
          <t>Cement</t>
        </is>
      </c>
      <c r="G8" t="n">
        <v>4800</v>
      </c>
      <c r="H8" t="inlineStr">
        <is>
          <t>kt/yr cement</t>
        </is>
      </c>
      <c r="I8" t="inlineStr">
        <is>
          <t>verified on source page</t>
        </is>
      </c>
      <c r="J8" t="inlineStr">
        <is>
          <t>operating</t>
        </is>
      </c>
      <c r="K8" t="inlineStr">
        <is>
          <t>2019</t>
        </is>
      </c>
      <c r="L8" t="inlineStr">
        <is>
          <t>Malagueno and others</t>
        </is>
      </c>
      <c r="M8" t="inlineStr">
        <is>
          <t>Cordoba, Jujuy, Mendoza</t>
        </is>
      </c>
      <c r="N8" t="n">
        <v>-31.47</v>
      </c>
      <c r="O8" t="n">
        <v>-64.36</v>
      </c>
      <c r="P8" t="inlineStr">
        <is>
          <t>approx (main plant)</t>
        </is>
      </c>
      <c r="S8" t="inlineStr">
        <is>
          <t>No estimate (see notes)</t>
        </is>
      </c>
      <c r="T8" t="inlineStr">
        <is>
          <t>Operating</t>
        </is>
      </c>
      <c r="U8" t="inlineStr">
        <is>
          <t>Kiln fuel mix (gas / petcoke / coal) not confirmed in sources found, so no gas estimate.</t>
        </is>
      </c>
      <c r="V8" t="inlineStr">
        <is>
          <t>https://pubs.usgs.gov/myb/vol3/2019/myb3-2019-argentina.xlsx</t>
        </is>
      </c>
    </row>
    <row r="9">
      <c r="A9" t="n">
        <v>8</v>
      </c>
      <c r="B9" t="inlineStr">
        <is>
          <t>Argentina</t>
        </is>
      </c>
      <c r="C9" t="inlineStr">
        <is>
          <t>Loma Negra cement plants (6)</t>
        </is>
      </c>
      <c r="D9" t="inlineStr">
        <is>
          <t>Loma Negra (InterCement)</t>
        </is>
      </c>
      <c r="E9" t="inlineStr">
        <is>
          <t>Cement</t>
        </is>
      </c>
      <c r="F9" t="inlineStr">
        <is>
          <t>Cement</t>
        </is>
      </c>
      <c r="G9" t="n">
        <v>7000</v>
      </c>
      <c r="H9" t="inlineStr">
        <is>
          <t>kt/yr cement</t>
        </is>
      </c>
      <c r="I9" t="inlineStr">
        <is>
          <t>verified on source page</t>
        </is>
      </c>
      <c r="J9" t="inlineStr">
        <is>
          <t>operating</t>
        </is>
      </c>
      <c r="K9" t="inlineStr">
        <is>
          <t>2019</t>
        </is>
      </c>
      <c r="L9" t="inlineStr">
        <is>
          <t>Olavarria and others</t>
        </is>
      </c>
      <c r="M9" t="inlineStr">
        <is>
          <t>Buenos Aires + 5 provinces</t>
        </is>
      </c>
      <c r="N9" t="n">
        <v>-36.89</v>
      </c>
      <c r="O9" t="n">
        <v>-60.32</v>
      </c>
      <c r="P9" t="inlineStr">
        <is>
          <t>approx (main plant)</t>
        </is>
      </c>
      <c r="S9" t="inlineStr">
        <is>
          <t>No estimate (see notes)</t>
        </is>
      </c>
      <c r="T9" t="inlineStr">
        <is>
          <t>Operating</t>
        </is>
      </c>
      <c r="U9" t="inlineStr">
        <is>
          <t>Kiln fuel mix (gas / petcoke / coal) not confirmed in sources found, so no gas estimate.</t>
        </is>
      </c>
      <c r="V9" t="inlineStr">
        <is>
          <t>https://pubs.usgs.gov/myb/vol3/2019/myb3-2019-argentina.xlsx</t>
        </is>
      </c>
    </row>
    <row r="10">
      <c r="A10" t="n">
        <v>9</v>
      </c>
      <c r="B10" t="inlineStr">
        <is>
          <t>Argentina</t>
        </is>
      </c>
      <c r="C10" t="inlineStr">
        <is>
          <t>Dow Bahia Blanca crackers (PBB Polisur)</t>
        </is>
      </c>
      <c r="D10" t="inlineStr">
        <is>
          <t>Dow</t>
        </is>
      </c>
      <c r="E10" t="inlineStr">
        <is>
          <t>Petrochemical</t>
        </is>
      </c>
      <c r="F10" t="inlineStr">
        <is>
          <t>Ethylene, polyethylene</t>
        </is>
      </c>
      <c r="G10" t="n">
        <v>765</v>
      </c>
      <c r="H10" t="inlineStr">
        <is>
          <t>kt/yr ethylene</t>
        </is>
      </c>
      <c r="I10" t="inlineStr">
        <is>
          <t>verified on source page</t>
        </is>
      </c>
      <c r="J10" t="inlineStr">
        <is>
          <t>operating</t>
        </is>
      </c>
      <c r="K10" t="inlineStr">
        <is>
          <t>2026</t>
        </is>
      </c>
      <c r="L10" t="inlineStr">
        <is>
          <t>Bahia Blanca</t>
        </is>
      </c>
      <c r="M10" t="inlineStr">
        <is>
          <t>Buenos Aires</t>
        </is>
      </c>
      <c r="N10" t="n">
        <v>-38.765</v>
      </c>
      <c r="O10" t="n">
        <v>-62.255</v>
      </c>
      <c r="P10" t="inlineStr">
        <is>
          <t>approx (site)</t>
        </is>
      </c>
      <c r="S10" t="inlineStr">
        <is>
          <t>No estimate (see notes)</t>
        </is>
      </c>
      <c r="T10" t="inlineStr">
        <is>
          <t>Operating</t>
        </is>
      </c>
      <c r="U10" t="inlineStr">
        <is>
          <t>Two ethane-fed crackers. Ethane (an NGL) feed, not pipeline methane, so no gas estimate.</t>
        </is>
      </c>
      <c r="V10" t="inlineStr">
        <is>
          <t>https://www.plastemart.com/news-plastics-information/Dow-reduces-run-rates-at-Argentina-cracker-amid-Govt-imposed-natural-gas-reductions/27178</t>
        </is>
      </c>
    </row>
    <row r="11">
      <c r="A11" t="n">
        <v>10</v>
      </c>
      <c r="B11" t="inlineStr">
        <is>
          <t>Bolivia</t>
        </is>
      </c>
      <c r="C11" t="inlineStr">
        <is>
          <t>YPFB Planta de Amoniaco y Urea (Bulo Bulo)</t>
        </is>
      </c>
      <c r="D11" t="inlineStr">
        <is>
          <t>YPFB</t>
        </is>
      </c>
      <c r="E11" t="inlineStr">
        <is>
          <t>Ammonia/urea</t>
        </is>
      </c>
      <c r="F11" t="inlineStr">
        <is>
          <t>Ammonia, urea (2,100 t/d)</t>
        </is>
      </c>
      <c r="G11" t="n">
        <v>1200</v>
      </c>
      <c r="H11" t="inlineStr">
        <is>
          <t>t/d ammonia</t>
        </is>
      </c>
      <c r="I11" t="inlineStr">
        <is>
          <t>verified on source page</t>
        </is>
      </c>
      <c r="J11" t="inlineStr">
        <is>
          <t>operating (intermittent)</t>
        </is>
      </c>
      <c r="K11" t="inlineStr">
        <is>
          <t>2026</t>
        </is>
      </c>
      <c r="L11" t="inlineStr">
        <is>
          <t>Bulo Bulo</t>
        </is>
      </c>
      <c r="M11" t="inlineStr">
        <is>
          <t>Cochabamba</t>
        </is>
      </c>
      <c r="N11" t="n">
        <v>-17.27</v>
      </c>
      <c r="O11" t="n">
        <v>-64.37</v>
      </c>
      <c r="P11" t="inlineStr">
        <is>
          <t>approx (town)</t>
        </is>
      </c>
      <c r="Q11" t="n">
        <v>420</v>
      </c>
      <c r="R11" t="n">
        <v>1.151</v>
      </c>
      <c r="S11" t="inlineStr">
        <is>
          <t>Estimate: 420 kt ammonia/yr (1200 t/d x 350 d) x 1 mcm per kt ammonia / 365, at nameplate</t>
        </is>
      </c>
      <c r="T11" t="inlineStr">
        <is>
          <t>Operating</t>
        </is>
      </c>
      <c r="U11" t="inlineStr">
        <is>
          <t>Repeated stoppages since 2017 start-up; restarted 2026 after maintenance.</t>
        </is>
      </c>
      <c r="V11" t="inlineStr">
        <is>
          <t>https://portfolio-pplus.com/SiteMains/Details/822 ; https://eju.tv/?p=1154153</t>
        </is>
      </c>
    </row>
    <row r="12">
      <c r="A12" t="n">
        <v>11</v>
      </c>
      <c r="B12" t="inlineStr">
        <is>
          <t>Bolivia</t>
        </is>
      </c>
      <c r="C12" t="inlineStr">
        <is>
          <t>COBOCE Irpa Irpa cement plant</t>
        </is>
      </c>
      <c r="D12" t="inlineStr">
        <is>
          <t>Cooperativa Boliviana de Cemento (COBOCE)</t>
        </is>
      </c>
      <c r="E12" t="inlineStr">
        <is>
          <t>Cement</t>
        </is>
      </c>
      <c r="F12" t="inlineStr">
        <is>
          <t>Cement</t>
        </is>
      </c>
      <c r="G12" t="n">
        <v>825</v>
      </c>
      <c r="H12" t="inlineStr">
        <is>
          <t>kt/yr cement</t>
        </is>
      </c>
      <c r="I12" t="inlineStr">
        <is>
          <t>verified on source page</t>
        </is>
      </c>
      <c r="J12" t="inlineStr">
        <is>
          <t>operating</t>
        </is>
      </c>
      <c r="K12" t="inlineStr">
        <is>
          <t>2019</t>
        </is>
      </c>
      <c r="L12" t="inlineStr">
        <is>
          <t>Irpa Irpa (Capinota)</t>
        </is>
      </c>
      <c r="M12" t="inlineStr">
        <is>
          <t>Cochabamba</t>
        </is>
      </c>
      <c r="N12" t="n">
        <v>-17.72</v>
      </c>
      <c r="O12" t="n">
        <v>-66.26000000000001</v>
      </c>
      <c r="P12" t="inlineStr">
        <is>
          <t>approx (main plant)</t>
        </is>
      </c>
      <c r="Q12" t="n">
        <v>825</v>
      </c>
      <c r="R12" t="n">
        <v>0.181</v>
      </c>
      <c r="S12" t="inlineStr">
        <is>
          <t>Estimate: 825 kt cement/yr x 0.08 mcm per kt cement / 365, at nameplate</t>
        </is>
      </c>
      <c r="T12" t="inlineStr">
        <is>
          <t>Operating</t>
        </is>
      </c>
      <c r="U12" t="inlineStr">
        <is>
          <t>Gas-fired (Bolivian cement makers are among the main industrial gas users hit by the 2017 gas tariff rise).</t>
        </is>
      </c>
      <c r="V12" t="inlineStr">
        <is>
          <t>https://pubs.usgs.gov/myb/vol3/2019/myb3-2019-bolivia.xlsx ; https://correodelsur.com/economia/20170823/fancesa-la-segunda-mas--afectada-por-el-tarifazo.html</t>
        </is>
      </c>
    </row>
    <row r="13">
      <c r="A13" t="n">
        <v>12</v>
      </c>
      <c r="B13" t="inlineStr">
        <is>
          <t>Bolivia</t>
        </is>
      </c>
      <c r="C13" t="inlineStr">
        <is>
          <t>FANCESA cement plants</t>
        </is>
      </c>
      <c r="D13" t="inlineStr">
        <is>
          <t>Fabrica Nacional de Cemento (FANCESA)</t>
        </is>
      </c>
      <c r="E13" t="inlineStr">
        <is>
          <t>Cement</t>
        </is>
      </c>
      <c r="F13" t="inlineStr">
        <is>
          <t>Cement</t>
        </is>
      </c>
      <c r="G13" t="n">
        <v>1100</v>
      </c>
      <c r="H13" t="inlineStr">
        <is>
          <t>kt/yr cement</t>
        </is>
      </c>
      <c r="I13" t="inlineStr">
        <is>
          <t>verified on source page</t>
        </is>
      </c>
      <c r="J13" t="inlineStr">
        <is>
          <t>operating</t>
        </is>
      </c>
      <c r="K13" t="inlineStr">
        <is>
          <t>2019</t>
        </is>
      </c>
      <c r="L13" t="inlineStr">
        <is>
          <t>Sucre</t>
        </is>
      </c>
      <c r="M13" t="inlineStr">
        <is>
          <t>Chuquisaca</t>
        </is>
      </c>
      <c r="N13" t="n">
        <v>-19.05</v>
      </c>
      <c r="O13" t="n">
        <v>-65.26000000000001</v>
      </c>
      <c r="P13" t="inlineStr">
        <is>
          <t>approx (main plant)</t>
        </is>
      </c>
      <c r="Q13" t="n">
        <v>1100</v>
      </c>
      <c r="R13" t="n">
        <v>0.241</v>
      </c>
      <c r="S13" t="inlineStr">
        <is>
          <t>Estimate: 1,100 kt cement/yr x 0.08 mcm per kt cement / 365, at nameplate</t>
        </is>
      </c>
      <c r="T13" t="inlineStr">
        <is>
          <t>Operating</t>
        </is>
      </c>
      <c r="U13" t="inlineStr">
        <is>
          <t>Gas-fired (Bolivian cement makers are among the main industrial gas users hit by the 2017 gas tariff rise).</t>
        </is>
      </c>
      <c r="V13" t="inlineStr">
        <is>
          <t>https://pubs.usgs.gov/myb/vol3/2019/myb3-2019-bolivia.xlsx ; https://correodelsur.com/economia/20170823/fancesa-la-segunda-mas--afectada-por-el-tarifazo.html</t>
        </is>
      </c>
    </row>
    <row r="14">
      <c r="A14" t="n">
        <v>13</v>
      </c>
      <c r="B14" t="inlineStr">
        <is>
          <t>Bolivia</t>
        </is>
      </c>
      <c r="C14" t="inlineStr">
        <is>
          <t>Itacamba cement plant</t>
        </is>
      </c>
      <c r="D14" t="inlineStr">
        <is>
          <t>Itacamba Cemento</t>
        </is>
      </c>
      <c r="E14" t="inlineStr">
        <is>
          <t>Cement</t>
        </is>
      </c>
      <c r="F14" t="inlineStr">
        <is>
          <t>Cement</t>
        </is>
      </c>
      <c r="G14" t="n">
        <v>200</v>
      </c>
      <c r="H14" t="inlineStr">
        <is>
          <t>kt/yr cement</t>
        </is>
      </c>
      <c r="I14" t="inlineStr">
        <is>
          <t>verified on source page</t>
        </is>
      </c>
      <c r="J14" t="inlineStr">
        <is>
          <t>operating</t>
        </is>
      </c>
      <c r="K14" t="inlineStr">
        <is>
          <t>2019</t>
        </is>
      </c>
      <c r="L14" t="inlineStr">
        <is>
          <t>Puerto Suarez area</t>
        </is>
      </c>
      <c r="M14" t="inlineStr">
        <is>
          <t>Santa Cruz</t>
        </is>
      </c>
      <c r="N14" t="n">
        <v>-18.95</v>
      </c>
      <c r="O14" t="n">
        <v>-57.8</v>
      </c>
      <c r="P14" t="inlineStr">
        <is>
          <t>approx (main plant)</t>
        </is>
      </c>
      <c r="Q14" t="n">
        <v>200</v>
      </c>
      <c r="R14" t="n">
        <v>0.044</v>
      </c>
      <c r="S14" t="inlineStr">
        <is>
          <t>Estimate: 200 kt cement/yr x 0.08 mcm per kt cement / 365, at nameplate</t>
        </is>
      </c>
      <c r="T14" t="inlineStr">
        <is>
          <t>Operating</t>
        </is>
      </c>
      <c r="U14" t="inlineStr">
        <is>
          <t>Gas-fired (Bolivian cement makers are among the main industrial gas users hit by the 2017 gas tariff rise).</t>
        </is>
      </c>
      <c r="V14" t="inlineStr">
        <is>
          <t>https://pubs.usgs.gov/myb/vol3/2019/myb3-2019-bolivia.xlsx ; https://correodelsur.com/economia/20170823/fancesa-la-segunda-mas--afectada-por-el-tarifazo.html</t>
        </is>
      </c>
    </row>
    <row r="15">
      <c r="A15" t="n">
        <v>14</v>
      </c>
      <c r="B15" t="inlineStr">
        <is>
          <t>Bolivia</t>
        </is>
      </c>
      <c r="C15" t="inlineStr">
        <is>
          <t>SOBOCE cement plants (4)</t>
        </is>
      </c>
      <c r="D15" t="inlineStr">
        <is>
          <t>Sociedad Boliviana de Cemento (SOBOCE)</t>
        </is>
      </c>
      <c r="E15" t="inlineStr">
        <is>
          <t>Cement</t>
        </is>
      </c>
      <c r="F15" t="inlineStr">
        <is>
          <t>Cement</t>
        </is>
      </c>
      <c r="G15" t="n">
        <v>1800</v>
      </c>
      <c r="H15" t="inlineStr">
        <is>
          <t>kt/yr cement</t>
        </is>
      </c>
      <c r="I15" t="inlineStr">
        <is>
          <t>verified on source page</t>
        </is>
      </c>
      <c r="J15" t="inlineStr">
        <is>
          <t>operating</t>
        </is>
      </c>
      <c r="K15" t="inlineStr">
        <is>
          <t>2019</t>
        </is>
      </c>
      <c r="L15" t="inlineStr">
        <is>
          <t>Viacha, El Puente, Emisa, Warnes</t>
        </is>
      </c>
      <c r="M15" t="inlineStr">
        <is>
          <t>La Paz / Tarija / Oruro / Santa Cruz</t>
        </is>
      </c>
      <c r="N15" t="n">
        <v>-16.65</v>
      </c>
      <c r="O15" t="n">
        <v>-68.3</v>
      </c>
      <c r="P15" t="inlineStr">
        <is>
          <t>approx (main plant)</t>
        </is>
      </c>
      <c r="Q15" t="n">
        <v>1800</v>
      </c>
      <c r="R15" t="n">
        <v>0.395</v>
      </c>
      <c r="S15" t="inlineStr">
        <is>
          <t>Estimate: 1,800 kt cement/yr x 0.08 mcm per kt cement / 365, at nameplate</t>
        </is>
      </c>
      <c r="T15" t="inlineStr">
        <is>
          <t>Operating</t>
        </is>
      </c>
      <c r="U15" t="inlineStr">
        <is>
          <t>Gas-fired (Bolivian cement makers are among the main industrial gas users hit by the 2017 gas tariff rise).</t>
        </is>
      </c>
      <c r="V15" t="inlineStr">
        <is>
          <t>https://pubs.usgs.gov/myb/vol3/2019/myb3-2019-bolivia.xlsx ; https://correodelsur.com/economia/20170823/fancesa-la-segunda-mas--afectada-por-el-tarifazo.html</t>
        </is>
      </c>
    </row>
    <row r="16">
      <c r="A16" t="n">
        <v>15</v>
      </c>
      <c r="B16" t="inlineStr">
        <is>
          <t>Brazil</t>
        </is>
      </c>
      <c r="C16" t="inlineStr">
        <is>
          <t>ANSA - Araucaria Nitrogenados</t>
        </is>
      </c>
      <c r="D16" t="inlineStr">
        <is>
          <t>Petrobras</t>
        </is>
      </c>
      <c r="E16" t="inlineStr">
        <is>
          <t>Ammonia/urea</t>
        </is>
      </c>
      <c r="F16" t="inlineStr">
        <is>
          <t>Ammonia, urea (1,975 t/d), ARLA 32</t>
        </is>
      </c>
      <c r="G16" t="n">
        <v>475</v>
      </c>
      <c r="H16" t="inlineStr">
        <is>
          <t>kt/yr ammonia</t>
        </is>
      </c>
      <c r="I16" t="inlineStr">
        <is>
          <t>verified on source page</t>
        </is>
      </c>
      <c r="J16" t="inlineStr">
        <is>
          <t>operating</t>
        </is>
      </c>
      <c r="K16" t="inlineStr">
        <is>
          <t>2026-04</t>
        </is>
      </c>
      <c r="L16" t="inlineStr">
        <is>
          <t>Araucaria</t>
        </is>
      </c>
      <c r="M16" t="inlineStr">
        <is>
          <t>Parana</t>
        </is>
      </c>
      <c r="N16" t="n">
        <v>-25.59</v>
      </c>
      <c r="O16" t="n">
        <v>-49.4</v>
      </c>
      <c r="P16" t="inlineStr">
        <is>
          <t>approx (site)</t>
        </is>
      </c>
      <c r="S16" t="inlineStr">
        <is>
          <t>No estimate (see notes)</t>
        </is>
      </c>
      <c r="T16" t="inlineStr">
        <is>
          <t>Operating</t>
        </is>
      </c>
      <c r="U16" t="inlineStr">
        <is>
          <t>Feedstock is asphalt residue from the REPAR refinery, not natural gas, so no gas estimate. First urea 30-Apr-2026 after idling since 2020.</t>
        </is>
      </c>
      <c r="V16" t="inlineStr">
        <is>
          <t>https://www.poder360.com.br/poder-infra/petrobras-inicia-producao-de-ureia-em-usina-desativada-ha-6-anos/ ; https://www.gov.br/casacivil/pt-br/assuntos/noticias/2026/maio/petrobras-inicia-producao-de-ureia-na-ansa-em-araucaria-pr ; https://www.gazetadopovo.com.br/parana/petrobras-vai-retomar-operacoes-em-fabrica-de-fertilizantes-no-parana/</t>
        </is>
      </c>
    </row>
    <row r="17">
      <c r="A17" t="n">
        <v>16</v>
      </c>
      <c r="B17" t="inlineStr">
        <is>
          <t>Brazil</t>
        </is>
      </c>
      <c r="C17" t="inlineStr">
        <is>
          <t>FAFEN-BA (Camacari)</t>
        </is>
      </c>
      <c r="D17" t="inlineStr">
        <is>
          <t>Petrobras</t>
        </is>
      </c>
      <c r="E17" t="inlineStr">
        <is>
          <t>Ammonia/urea</t>
        </is>
      </c>
      <c r="F17" t="inlineStr">
        <is>
          <t>Ammonia, urea (1,300 t/d), ARLA 32</t>
        </is>
      </c>
      <c r="G17" t="n">
        <v>1300</v>
      </c>
      <c r="H17" t="inlineStr">
        <is>
          <t>t/d ammonia</t>
        </is>
      </c>
      <c r="I17" t="inlineStr">
        <is>
          <t>verified on source page</t>
        </is>
      </c>
      <c r="J17" t="inlineStr">
        <is>
          <t>operating</t>
        </is>
      </c>
      <c r="K17" t="inlineStr">
        <is>
          <t>2026-01</t>
        </is>
      </c>
      <c r="L17" t="inlineStr">
        <is>
          <t>Camacari</t>
        </is>
      </c>
      <c r="M17" t="inlineStr">
        <is>
          <t>Bahia</t>
        </is>
      </c>
      <c r="N17" t="n">
        <v>-12.69</v>
      </c>
      <c r="O17" t="n">
        <v>-38.32</v>
      </c>
      <c r="P17" t="inlineStr">
        <is>
          <t>approx (site)</t>
        </is>
      </c>
      <c r="Q17" t="n">
        <v>455</v>
      </c>
      <c r="R17" t="n">
        <v>1.247</v>
      </c>
      <c r="S17" t="inlineStr">
        <is>
          <t>Estimate: 455 kt ammonia/yr (1300 t/d x 350 d) x 1 mcm per kt ammonia / 365, at nameplate</t>
        </is>
      </c>
      <c r="T17" t="inlineStr">
        <is>
          <t>Operating</t>
        </is>
      </c>
      <c r="U17" t="inlineStr">
        <is>
          <t>Resumed Jan-2026 after Unigel lease/hibernation.</t>
        </is>
      </c>
      <c r="V17" t="inlineStr">
        <is>
          <t>https://agfeed.com.br/negocios/com-fabricas-reativadas-petrobras-volta-de-vez-ao-mercado-de-fertilizantes-e-quer-mais/ ; https://jornalcff.com.br/petrobras-retoma-producao-da-fafen-em-camacari-e-reforca-oferta-nacional-de-fertilizantes/</t>
        </is>
      </c>
    </row>
    <row r="18">
      <c r="A18" t="n">
        <v>17</v>
      </c>
      <c r="B18" t="inlineStr">
        <is>
          <t>Brazil</t>
        </is>
      </c>
      <c r="C18" t="inlineStr">
        <is>
          <t>FAFEN-SE (Laranjeiras)</t>
        </is>
      </c>
      <c r="D18" t="inlineStr">
        <is>
          <t>Petrobras</t>
        </is>
      </c>
      <c r="E18" t="inlineStr">
        <is>
          <t>Ammonia/urea</t>
        </is>
      </c>
      <c r="F18" t="inlineStr">
        <is>
          <t>Ammonia (~1,250 t/d), urea</t>
        </is>
      </c>
      <c r="G18" t="n">
        <v>1800</v>
      </c>
      <c r="H18" t="inlineStr">
        <is>
          <t>t/d urea</t>
        </is>
      </c>
      <c r="I18" t="inlineStr">
        <is>
          <t>urea verified; ammonia basis unverified</t>
        </is>
      </c>
      <c r="J18" t="inlineStr">
        <is>
          <t>operating</t>
        </is>
      </c>
      <c r="K18" t="inlineStr">
        <is>
          <t>2025-12</t>
        </is>
      </c>
      <c r="L18" t="inlineStr">
        <is>
          <t>Laranjeiras</t>
        </is>
      </c>
      <c r="M18" t="inlineStr">
        <is>
          <t>Sergipe</t>
        </is>
      </c>
      <c r="N18" t="n">
        <v>-10.8</v>
      </c>
      <c r="O18" t="n">
        <v>-37.17</v>
      </c>
      <c r="P18" t="inlineStr">
        <is>
          <t>approx (site)</t>
        </is>
      </c>
      <c r="Q18" t="n">
        <v>437.5</v>
      </c>
      <c r="R18" t="n">
        <v>1.199</v>
      </c>
      <c r="S18" t="inlineStr">
        <is>
          <t>Estimate: 438 kt ammonia/yr (1250 t/d x 350 d) x 1 mcm per kt ammonia / 365, at nameplate</t>
        </is>
      </c>
      <c r="T18" t="inlineStr">
        <is>
          <t>Operating</t>
        </is>
      </c>
      <c r="U18" t="inlineStr">
        <is>
          <t>Resumed Dec-2025. Urea 1,800 t/d (Jornal CFF). The ammonia figure used for the gas estimate (1,250 t/d) comes from a search summary of Petrobras's 6-K and is unverified.</t>
        </is>
      </c>
      <c r="V18" t="inlineStr">
        <is>
          <t>https://jornalcff.com.br/petrobras-retoma-producao-da-fafen-em-camacari-e-reforca-oferta-nacional-de-fertilizantes/ ; https://agfeed.com.br/negocios/com-fabricas-reativadas-petrobras-volta-de-vez-ao-mercado-de-fertilizantes-e-quer-mais/ ; https://www.sec.gov/Archives/edgar/data/1119639/000129281425004085/pbr20251127_6k1.htm</t>
        </is>
      </c>
    </row>
    <row r="19">
      <c r="A19" t="n">
        <v>18</v>
      </c>
      <c r="B19" t="inlineStr">
        <is>
          <t>Brazil</t>
        </is>
      </c>
      <c r="C19" t="inlineStr">
        <is>
          <t>UFN-III (Tres Lagoas)</t>
        </is>
      </c>
      <c r="D19" t="inlineStr">
        <is>
          <t>Petrobras</t>
        </is>
      </c>
      <c r="E19" t="inlineStr">
        <is>
          <t>Ammonia/urea</t>
        </is>
      </c>
      <c r="F19" t="inlineStr">
        <is>
          <t>Ammonia, urea (3,600 t/d)</t>
        </is>
      </c>
      <c r="G19" t="n">
        <v>2200</v>
      </c>
      <c r="H19" t="inlineStr">
        <is>
          <t>t/d ammonia</t>
        </is>
      </c>
      <c r="I19" t="inlineStr">
        <is>
          <t>verified on source page</t>
        </is>
      </c>
      <c r="J19" t="inlineStr">
        <is>
          <t>under construction</t>
        </is>
      </c>
      <c r="K19" t="inlineStr">
        <is>
          <t>2026-06</t>
        </is>
      </c>
      <c r="L19" t="inlineStr">
        <is>
          <t>Tres Lagoas</t>
        </is>
      </c>
      <c r="M19" t="inlineStr">
        <is>
          <t>Mato Grosso do Sul</t>
        </is>
      </c>
      <c r="N19" t="n">
        <v>-20.75</v>
      </c>
      <c r="O19" t="n">
        <v>-51.68</v>
      </c>
      <c r="P19" t="inlineStr">
        <is>
          <t>approx (town)</t>
        </is>
      </c>
      <c r="Q19" t="n">
        <v>770</v>
      </c>
      <c r="R19" t="n">
        <v>2.11</v>
      </c>
      <c r="S19" t="inlineStr">
        <is>
          <t>Estimate: 770 kt ammonia/yr (2200 t/d x 350 d) x 1 mcm per kt ammonia / 365, at nameplate</t>
        </is>
      </c>
      <c r="T19" t="inlineStr">
        <is>
          <t>Under construction</t>
        </is>
      </c>
      <c r="U19" t="inlineStr">
        <is>
          <t>Works resumed 2026 (stalled since 2015); commercial operation planned 2028-29.</t>
        </is>
      </c>
      <c r="V19" t="inlineStr">
        <is>
          <t>https://www.band.com.br/agro/noticias/petrobras-retoma-obras-da-ufn-iii-no-mato-grosso-do-sul-com-foco-em-ureia-202606251308</t>
        </is>
      </c>
    </row>
    <row r="20">
      <c r="A20" t="n">
        <v>19</v>
      </c>
      <c r="B20" t="inlineStr">
        <is>
          <t>Brazil</t>
        </is>
      </c>
      <c r="C20" t="inlineStr">
        <is>
          <t>Yara Cubatao</t>
        </is>
      </c>
      <c r="D20" t="inlineStr">
        <is>
          <t>Yara Brasil</t>
        </is>
      </c>
      <c r="E20" t="inlineStr">
        <is>
          <t>Ammonia/urea</t>
        </is>
      </c>
      <c r="F20" t="inlineStr">
        <is>
          <t>Ammonia, nitrogen fertilisers</t>
        </is>
      </c>
      <c r="G20" t="n">
        <v>200</v>
      </c>
      <c r="H20" t="inlineStr">
        <is>
          <t>kt/yr ammonia</t>
        </is>
      </c>
      <c r="I20" t="inlineStr">
        <is>
          <t>verified on source page</t>
        </is>
      </c>
      <c r="J20" t="inlineStr">
        <is>
          <t>operating</t>
        </is>
      </c>
      <c r="K20" t="inlineStr">
        <is>
          <t>2024-12</t>
        </is>
      </c>
      <c r="L20" t="inlineStr">
        <is>
          <t>Cubatao</t>
        </is>
      </c>
      <c r="M20" t="inlineStr">
        <is>
          <t>Sao Paulo</t>
        </is>
      </c>
      <c r="N20" t="n">
        <v>-23.88</v>
      </c>
      <c r="O20" t="n">
        <v>-46.42</v>
      </c>
      <c r="P20" t="inlineStr">
        <is>
          <t>approx (town)</t>
        </is>
      </c>
      <c r="Q20" t="n">
        <v>200</v>
      </c>
      <c r="R20" t="n">
        <v>0.7</v>
      </c>
      <c r="S20" t="inlineStr">
        <is>
          <t>Stated: Company-reported daily gas use (eixos, Dec-2024)</t>
        </is>
      </c>
      <c r="T20" t="inlineStr">
        <is>
          <t>Operating</t>
        </is>
      </c>
      <c r="U20" t="inlineStr">
        <is>
          <t>Yara reports ~0.7 mcm/d of gas use (some biomethane since Dec-2024).</t>
        </is>
      </c>
      <c r="V20" t="inlineStr">
        <is>
          <t>https://eixos.com.br/gas-natural/biogas/yara-inicia-producao-de-amonia-renovavel-e-planeja-fabrica-100-a-biometano/</t>
        </is>
      </c>
    </row>
    <row r="21">
      <c r="A21" t="n">
        <v>20</v>
      </c>
      <c r="B21" t="inlineStr">
        <is>
          <t>Brazil</t>
        </is>
      </c>
      <c r="C21" t="inlineStr">
        <is>
          <t>Hydro Alunorte alumina refinery</t>
        </is>
      </c>
      <c r="D21" t="inlineStr">
        <is>
          <t>Norsk Hydro (91%)</t>
        </is>
      </c>
      <c r="E21" t="inlineStr">
        <is>
          <t>Alumina</t>
        </is>
      </c>
      <c r="F21" t="inlineStr">
        <is>
          <t>Alumina</t>
        </is>
      </c>
      <c r="G21" t="n">
        <v>6400</v>
      </c>
      <c r="H21" t="inlineStr">
        <is>
          <t>kt/yr alumina</t>
        </is>
      </c>
      <c r="I21" t="inlineStr">
        <is>
          <t>verified on source page</t>
        </is>
      </c>
      <c r="J21" t="inlineStr">
        <is>
          <t>operating</t>
        </is>
      </c>
      <c r="K21" t="inlineStr">
        <is>
          <t>2025</t>
        </is>
      </c>
      <c r="L21" t="inlineStr">
        <is>
          <t>Barcarena</t>
        </is>
      </c>
      <c r="M21" t="inlineStr">
        <is>
          <t>Para</t>
        </is>
      </c>
      <c r="N21" t="n">
        <v>-1.53</v>
      </c>
      <c r="O21" t="n">
        <v>-48.62</v>
      </c>
      <c r="P21" t="inlineStr">
        <is>
          <t>approx (town)</t>
        </is>
      </c>
      <c r="Q21" t="n">
        <v>6400</v>
      </c>
      <c r="R21" t="n">
        <v>2.22</v>
      </c>
      <c r="S21" t="inlineStr">
        <is>
          <t>Stated: Contracted 29.5 TBtu/yr (NFE) at 36,370 Btu/m3</t>
        </is>
      </c>
      <c r="T21" t="inlineStr">
        <is>
          <t>Operating</t>
        </is>
      </c>
      <c r="U21" t="inlineStr">
        <is>
          <t>Calcination and part of steam generation switched from fuel oil to gas supplied by NFE's Barcarena LNG terminal (15-yr contract, 29.5 TBtu/yr). Gas start-up and current volumes not confirmed.</t>
        </is>
      </c>
      <c r="V21" t="inlineStr">
        <is>
          <t>https://pubs.usgs.gov/myb/vol3/2019/myb3-2019-brazil.xlsx ; https://eixos.com.br/nfe-e-hydro-fecham-fornecimento-de-gas-natural-para-a-refinaria-da-alunorte-no-para/</t>
        </is>
      </c>
    </row>
    <row r="22">
      <c r="A22" t="n">
        <v>21</v>
      </c>
      <c r="B22" t="inlineStr">
        <is>
          <t>Brazil</t>
        </is>
      </c>
      <c r="C22" t="inlineStr">
        <is>
          <t>AGC Guaratingueta float glass</t>
        </is>
      </c>
      <c r="D22" t="inlineStr">
        <is>
          <t>AGC Vidros do Brasil</t>
        </is>
      </c>
      <c r="E22" t="inlineStr">
        <is>
          <t>Glass</t>
        </is>
      </c>
      <c r="F22" t="inlineStr">
        <is>
          <t>Float (flat) glass</t>
        </is>
      </c>
      <c r="G22" t="n">
        <v>1450</v>
      </c>
      <c r="H22" t="inlineStr">
        <is>
          <t>t/d glass</t>
        </is>
      </c>
      <c r="I22" t="inlineStr">
        <is>
          <t>UNVERIFIED: source pages block automated fetch (figure from a search summary)</t>
        </is>
      </c>
      <c r="J22" t="inlineStr">
        <is>
          <t>operating</t>
        </is>
      </c>
      <c r="K22" t="inlineStr">
        <is>
          <t>2025</t>
        </is>
      </c>
      <c r="L22" t="inlineStr">
        <is>
          <t>Guaratingueta</t>
        </is>
      </c>
      <c r="M22" t="inlineStr">
        <is>
          <t>Sao Paulo</t>
        </is>
      </c>
      <c r="N22" t="n">
        <v>-22.82</v>
      </c>
      <c r="O22" t="n">
        <v>-45.19</v>
      </c>
      <c r="P22" t="inlineStr">
        <is>
          <t>approx (town)</t>
        </is>
      </c>
      <c r="Q22" t="n">
        <v>507.5</v>
      </c>
      <c r="R22" t="n">
        <v>0.236</v>
      </c>
      <c r="S22" t="inlineStr">
        <is>
          <t>Estimate: 508 kt glass/yr (1450 t/d x 350 d) x 0.17 mcm per kt glass / 365, at nameplate</t>
        </is>
      </c>
      <c r="T22" t="inlineStr">
        <is>
          <t>Operating</t>
        </is>
      </c>
      <c r="U22" t="inlineStr">
        <is>
          <t>600 t/d line plus 850 t/d second furnace (2019).</t>
        </is>
      </c>
      <c r="V22" t="inlineStr">
        <is>
          <t>https://www.glass-international.com/news/agc-glass-brazil-plant-begins-production</t>
        </is>
      </c>
    </row>
    <row r="23">
      <c r="A23" t="n">
        <v>22</v>
      </c>
      <c r="B23" t="inlineStr">
        <is>
          <t>Brazil</t>
        </is>
      </c>
      <c r="C23" t="inlineStr">
        <is>
          <t>Cebrace float glass (Jacarei, Cacapava, Barra Velha)</t>
        </is>
      </c>
      <c r="D23" t="inlineStr">
        <is>
          <t>Cebrace (Saint-Gobain / NSG)</t>
        </is>
      </c>
      <c r="E23" t="inlineStr">
        <is>
          <t>Glass</t>
        </is>
      </c>
      <c r="F23" t="inlineStr">
        <is>
          <t>Float (flat) glass</t>
        </is>
      </c>
      <c r="G23" t="n">
        <v>3600</v>
      </c>
      <c r="H23" t="inlineStr">
        <is>
          <t>t/d glass</t>
        </is>
      </c>
      <c r="I23" t="inlineStr">
        <is>
          <t>UNVERIFIED: source pages block automated fetch (figure from a search summary)</t>
        </is>
      </c>
      <c r="J23" t="inlineStr">
        <is>
          <t>operating</t>
        </is>
      </c>
      <c r="K23" t="inlineStr">
        <is>
          <t>2025</t>
        </is>
      </c>
      <c r="L23" t="inlineStr">
        <is>
          <t>Jacarei</t>
        </is>
      </c>
      <c r="M23" t="inlineStr">
        <is>
          <t>Sao Paulo</t>
        </is>
      </c>
      <c r="N23" t="n">
        <v>-23.3</v>
      </c>
      <c r="O23" t="n">
        <v>-45.97</v>
      </c>
      <c r="P23" t="inlineStr">
        <is>
          <t>approx (town)</t>
        </is>
      </c>
      <c r="Q23" t="n">
        <v>1260</v>
      </c>
      <c r="R23" t="n">
        <v>0.587</v>
      </c>
      <c r="S23" t="inlineStr">
        <is>
          <t>Estimate: 1,260 kt glass/yr (3600 t/d x 350 d) x 0.17 mcm per kt glass / 365, at nameplate</t>
        </is>
      </c>
      <c r="T23" t="inlineStr">
        <is>
          <t>Operating</t>
        </is>
      </c>
      <c r="U23" t="inlineStr">
        <is>
          <t>Three sites combined; mapped at Jacarei.</t>
        </is>
      </c>
      <c r="V23" t="inlineStr">
        <is>
          <t>https://www.bnnbloomberg.ca/investment-trends/2026/08/19/homerun-resources-signs-strategic-mou-with-brazils-largest-float-glass-manufacturer/</t>
        </is>
      </c>
    </row>
    <row r="24">
      <c r="A24" t="n">
        <v>23</v>
      </c>
      <c r="B24" t="inlineStr">
        <is>
          <t>Brazil</t>
        </is>
      </c>
      <c r="C24" t="inlineStr">
        <is>
          <t>Guardian Tatui float glass</t>
        </is>
      </c>
      <c r="D24" t="inlineStr">
        <is>
          <t>Guardian Glass</t>
        </is>
      </c>
      <c r="E24" t="inlineStr">
        <is>
          <t>Glass</t>
        </is>
      </c>
      <c r="F24" t="inlineStr">
        <is>
          <t>Float (flat) glass</t>
        </is>
      </c>
      <c r="G24" t="n">
        <v>800</v>
      </c>
      <c r="H24" t="inlineStr">
        <is>
          <t>t/d glass</t>
        </is>
      </c>
      <c r="I24" t="inlineStr">
        <is>
          <t>UNVERIFIED: source pages block automated fetch (figure from a search summary)</t>
        </is>
      </c>
      <c r="J24" t="inlineStr">
        <is>
          <t>operating</t>
        </is>
      </c>
      <c r="K24" t="inlineStr">
        <is>
          <t>2025</t>
        </is>
      </c>
      <c r="L24" t="inlineStr">
        <is>
          <t>Tatui</t>
        </is>
      </c>
      <c r="M24" t="inlineStr">
        <is>
          <t>Sao Paulo</t>
        </is>
      </c>
      <c r="N24" t="n">
        <v>-23.36</v>
      </c>
      <c r="O24" t="n">
        <v>-47.86</v>
      </c>
      <c r="P24" t="inlineStr">
        <is>
          <t>approx (town)</t>
        </is>
      </c>
      <c r="Q24" t="n">
        <v>280</v>
      </c>
      <c r="R24" t="n">
        <v>0.13</v>
      </c>
      <c r="S24" t="inlineStr">
        <is>
          <t>Estimate: 280 kt glass/yr (800 t/d x 350 d) x 0.17 mcm per kt glass / 365, at nameplate</t>
        </is>
      </c>
      <c r="T24" t="inlineStr">
        <is>
          <t>Operating</t>
        </is>
      </c>
      <c r="V24" t="inlineStr">
        <is>
          <t>https://www.en.investe.sp.gov.br/news/post/guardian-invests-us-125-7-million-in-2nd-factory-in-the-country</t>
        </is>
      </c>
    </row>
    <row r="25">
      <c r="A25" t="n">
        <v>24</v>
      </c>
      <c r="B25" t="inlineStr">
        <is>
          <t>Brazil</t>
        </is>
      </c>
      <c r="C25" t="inlineStr">
        <is>
          <t>Vivix Goiana float glass</t>
        </is>
      </c>
      <c r="D25" t="inlineStr">
        <is>
          <t>Vivix Vidros Planos (Grupo Cornelio Brennand)</t>
        </is>
      </c>
      <c r="E25" t="inlineStr">
        <is>
          <t>Glass</t>
        </is>
      </c>
      <c r="F25" t="inlineStr">
        <is>
          <t>Float (flat) glass</t>
        </is>
      </c>
      <c r="G25" t="n">
        <v>1900</v>
      </c>
      <c r="H25" t="inlineStr">
        <is>
          <t>t/d glass</t>
        </is>
      </c>
      <c r="I25" t="inlineStr">
        <is>
          <t>UNVERIFIED: source pages block automated fetch (figure from a search summary)</t>
        </is>
      </c>
      <c r="J25" t="inlineStr">
        <is>
          <t>operating</t>
        </is>
      </c>
      <c r="K25" t="inlineStr">
        <is>
          <t>2025</t>
        </is>
      </c>
      <c r="L25" t="inlineStr">
        <is>
          <t>Goiana</t>
        </is>
      </c>
      <c r="M25" t="inlineStr">
        <is>
          <t>Pernambuco</t>
        </is>
      </c>
      <c r="N25" t="n">
        <v>-7.56</v>
      </c>
      <c r="O25" t="n">
        <v>-35</v>
      </c>
      <c r="P25" t="inlineStr">
        <is>
          <t>approx (town)</t>
        </is>
      </c>
      <c r="Q25" t="n">
        <v>665</v>
      </c>
      <c r="R25" t="n">
        <v>0.31</v>
      </c>
      <c r="S25" t="inlineStr">
        <is>
          <t>Estimate: 665 kt glass/yr (1900 t/d x 350 d) x 0.17 mcm per kt glass / 365, at nameplate</t>
        </is>
      </c>
      <c r="T25" t="inlineStr">
        <is>
          <t>Operating</t>
        </is>
      </c>
      <c r="U25" t="inlineStr">
        <is>
          <t>Second 1,000 t/d furnace due H2-2025.</t>
        </is>
      </c>
      <c r="V25" t="inlineStr">
        <is>
          <t>https://www.glass-international.com/news/vivix-to-construct-brazils-largest-glass-manufacturing-furnace</t>
        </is>
      </c>
    </row>
    <row r="26">
      <c r="A26" t="n">
        <v>25</v>
      </c>
      <c r="B26" t="inlineStr">
        <is>
          <t>Brazil</t>
        </is>
      </c>
      <c r="C26" t="inlineStr">
        <is>
          <t>Carmelo Fior ceramic tiles</t>
        </is>
      </c>
      <c r="D26" t="inlineStr">
        <is>
          <t>Carmelo Fior</t>
        </is>
      </c>
      <c r="E26" t="inlineStr">
        <is>
          <t>Ceramics</t>
        </is>
      </c>
      <c r="F26" t="inlineStr">
        <is>
          <t>Ceramic floor and wall tiles</t>
        </is>
      </c>
      <c r="G26" t="n">
        <v>96.59999999999999</v>
      </c>
      <c r="H26" t="inlineStr">
        <is>
          <t>million m2/yr (2024 production)</t>
        </is>
      </c>
      <c r="I26" t="inlineStr">
        <is>
          <t>UNVERIFIED: source pages block automated fetch (figure from a search summary)</t>
        </is>
      </c>
      <c r="J26" t="inlineStr">
        <is>
          <t>operating</t>
        </is>
      </c>
      <c r="K26" t="inlineStr">
        <is>
          <t>2024</t>
        </is>
      </c>
      <c r="L26" t="inlineStr">
        <is>
          <t>Santa Gertrudes cluster</t>
        </is>
      </c>
      <c r="M26" t="inlineStr">
        <is>
          <t>Sao Paulo</t>
        </is>
      </c>
      <c r="N26" t="n">
        <v>-22.46</v>
      </c>
      <c r="O26" t="n">
        <v>-47.53</v>
      </c>
      <c r="P26" t="inlineStr">
        <is>
          <t>approx (cluster)</t>
        </is>
      </c>
      <c r="Q26" t="n">
        <v>96.59999999999999</v>
      </c>
      <c r="R26" t="n">
        <v>0.529</v>
      </c>
      <c r="S26" t="inlineStr">
        <is>
          <t>Estimate: 97 million m2/yr x 2 mcm per million m2 / 365, at nameplate</t>
        </is>
      </c>
      <c r="T26" t="inlineStr">
        <is>
          <t>Operating</t>
        </is>
      </c>
      <c r="U26" t="inlineStr">
        <is>
          <t>2024 production (not capacity) per ANFACER / Ceramic World Review; may be several plants.</t>
        </is>
      </c>
      <c r="V26" t="inlineStr">
        <is>
          <t>https://www.anfacer.org.br/noticias/brasil-concentra-4-dos-maiores-produtores-de-ceramica-do-mundo ; https://ceramicworldweb.com/en/economics-and-markets/worlds-top-ceramic-tile-manufacturers-2024</t>
        </is>
      </c>
    </row>
    <row r="27">
      <c r="A27" t="n">
        <v>26</v>
      </c>
      <c r="B27" t="inlineStr">
        <is>
          <t>Brazil</t>
        </is>
      </c>
      <c r="C27" t="inlineStr">
        <is>
          <t>Grupo Cedasa ceramic tiles</t>
        </is>
      </c>
      <c r="D27" t="inlineStr">
        <is>
          <t>Grupo Cedasa</t>
        </is>
      </c>
      <c r="E27" t="inlineStr">
        <is>
          <t>Ceramics</t>
        </is>
      </c>
      <c r="F27" t="inlineStr">
        <is>
          <t>Ceramic floor and wall tiles</t>
        </is>
      </c>
      <c r="G27" t="n">
        <v>60</v>
      </c>
      <c r="H27" t="inlineStr">
        <is>
          <t>million m2/yr (2024 production)</t>
        </is>
      </c>
      <c r="I27" t="inlineStr">
        <is>
          <t>UNVERIFIED: source pages block automated fetch (figure from a search summary)</t>
        </is>
      </c>
      <c r="J27" t="inlineStr">
        <is>
          <t>operating</t>
        </is>
      </c>
      <c r="K27" t="inlineStr">
        <is>
          <t>2024</t>
        </is>
      </c>
      <c r="L27" t="inlineStr">
        <is>
          <t>Santa Gertrudes cluster</t>
        </is>
      </c>
      <c r="M27" t="inlineStr">
        <is>
          <t>Sao Paulo</t>
        </is>
      </c>
      <c r="N27" t="n">
        <v>-22.45</v>
      </c>
      <c r="O27" t="n">
        <v>-47.55</v>
      </c>
      <c r="P27" t="inlineStr">
        <is>
          <t>approx (cluster)</t>
        </is>
      </c>
      <c r="Q27" t="n">
        <v>60</v>
      </c>
      <c r="R27" t="n">
        <v>0.329</v>
      </c>
      <c r="S27" t="inlineStr">
        <is>
          <t>Estimate: 60 million m2/yr x 2 mcm per million m2 / 365, at nameplate</t>
        </is>
      </c>
      <c r="T27" t="inlineStr">
        <is>
          <t>Operating</t>
        </is>
      </c>
      <c r="U27" t="inlineStr">
        <is>
          <t>2024 production (not capacity) per ANFACER / Ceramic World Review; may be several plants.</t>
        </is>
      </c>
      <c r="V27" t="inlineStr">
        <is>
          <t>https://www.anfacer.org.br/noticias/brasil-concentra-4-dos-maiores-produtores-de-ceramica-do-mundo ; https://ceramicworldweb.com/en/economics-and-markets/worlds-top-ceramic-tile-manufacturers-2024</t>
        </is>
      </c>
    </row>
    <row r="28">
      <c r="A28" t="n">
        <v>27</v>
      </c>
      <c r="B28" t="inlineStr">
        <is>
          <t>Brazil</t>
        </is>
      </c>
      <c r="C28" t="inlineStr">
        <is>
          <t>Grupo Fragnani ceramic tiles</t>
        </is>
      </c>
      <c r="D28" t="inlineStr">
        <is>
          <t>Grupo Fragnani</t>
        </is>
      </c>
      <c r="E28" t="inlineStr">
        <is>
          <t>Ceramics</t>
        </is>
      </c>
      <c r="F28" t="inlineStr">
        <is>
          <t>Ceramic floor and wall tiles</t>
        </is>
      </c>
      <c r="G28" t="n">
        <v>70.3</v>
      </c>
      <c r="H28" t="inlineStr">
        <is>
          <t>million m2/yr (2024 production)</t>
        </is>
      </c>
      <c r="I28" t="inlineStr">
        <is>
          <t>UNVERIFIED: source pages block automated fetch (figure from a search summary)</t>
        </is>
      </c>
      <c r="J28" t="inlineStr">
        <is>
          <t>operating</t>
        </is>
      </c>
      <c r="K28" t="inlineStr">
        <is>
          <t>2024</t>
        </is>
      </c>
      <c r="L28" t="inlineStr">
        <is>
          <t>Cordeiropolis (Santa Gertrudes cluster)</t>
        </is>
      </c>
      <c r="M28" t="inlineStr">
        <is>
          <t>Sao Paulo</t>
        </is>
      </c>
      <c r="N28" t="n">
        <v>-22.48</v>
      </c>
      <c r="O28" t="n">
        <v>-47.45</v>
      </c>
      <c r="P28" t="inlineStr">
        <is>
          <t>approx (cluster)</t>
        </is>
      </c>
      <c r="Q28" t="n">
        <v>70.3</v>
      </c>
      <c r="R28" t="n">
        <v>0.385</v>
      </c>
      <c r="S28" t="inlineStr">
        <is>
          <t>Estimate: 70 million m2/yr x 2 mcm per million m2 / 365, at nameplate</t>
        </is>
      </c>
      <c r="T28" t="inlineStr">
        <is>
          <t>Operating</t>
        </is>
      </c>
      <c r="U28" t="inlineStr">
        <is>
          <t>2024 production (not capacity) per ANFACER / Ceramic World Review; may be several plants.</t>
        </is>
      </c>
      <c r="V28" t="inlineStr">
        <is>
          <t>https://www.anfacer.org.br/noticias/brasil-concentra-4-dos-maiores-produtores-de-ceramica-do-mundo ; https://ceramicworldweb.com/en/economics-and-markets/worlds-top-ceramic-tile-manufacturers-2024</t>
        </is>
      </c>
    </row>
    <row r="29">
      <c r="A29" t="n">
        <v>28</v>
      </c>
      <c r="B29" t="inlineStr">
        <is>
          <t>Brazil</t>
        </is>
      </c>
      <c r="C29" t="inlineStr">
        <is>
          <t>Portobello ceramic tiles</t>
        </is>
      </c>
      <c r="D29" t="inlineStr">
        <is>
          <t>Portobello</t>
        </is>
      </c>
      <c r="E29" t="inlineStr">
        <is>
          <t>Ceramics</t>
        </is>
      </c>
      <c r="F29" t="inlineStr">
        <is>
          <t>Ceramic floor and wall tiles</t>
        </is>
      </c>
      <c r="G29" t="n">
        <v>42</v>
      </c>
      <c r="H29" t="inlineStr">
        <is>
          <t>million m2/yr (2024 production)</t>
        </is>
      </c>
      <c r="I29" t="inlineStr">
        <is>
          <t>UNVERIFIED: source pages block automated fetch (figure from a search summary)</t>
        </is>
      </c>
      <c r="J29" t="inlineStr">
        <is>
          <t>operating</t>
        </is>
      </c>
      <c r="K29" t="inlineStr">
        <is>
          <t>2024</t>
        </is>
      </c>
      <c r="L29" t="inlineStr">
        <is>
          <t>Tijucas (Criciuma/SC cluster)</t>
        </is>
      </c>
      <c r="M29" t="inlineStr">
        <is>
          <t>Santa Catarina</t>
        </is>
      </c>
      <c r="N29" t="n">
        <v>-27.24</v>
      </c>
      <c r="O29" t="n">
        <v>-48.63</v>
      </c>
      <c r="P29" t="inlineStr">
        <is>
          <t>approx (cluster)</t>
        </is>
      </c>
      <c r="Q29" t="n">
        <v>42</v>
      </c>
      <c r="R29" t="n">
        <v>0.23</v>
      </c>
      <c r="S29" t="inlineStr">
        <is>
          <t>Estimate: 42 million m2/yr x 2 mcm per million m2 / 365, at nameplate</t>
        </is>
      </c>
      <c r="T29" t="inlineStr">
        <is>
          <t>Operating</t>
        </is>
      </c>
      <c r="U29" t="inlineStr">
        <is>
          <t>2024 production (not capacity) per ANFACER / Ceramic World Review; may be several plants.</t>
        </is>
      </c>
      <c r="V29" t="inlineStr">
        <is>
          <t>https://www.anfacer.org.br/noticias/brasil-concentra-4-dos-maiores-produtores-de-ceramica-do-mundo ; https://ceramicworldweb.com/en/economics-and-markets/worlds-top-ceramic-tile-manufacturers-2024</t>
        </is>
      </c>
    </row>
    <row r="30">
      <c r="A30" t="n">
        <v>29</v>
      </c>
      <c r="B30" t="inlineStr">
        <is>
          <t>Brazil</t>
        </is>
      </c>
      <c r="C30" t="inlineStr">
        <is>
          <t>Braskem Duque de Caxias (gas-chemical complex)</t>
        </is>
      </c>
      <c r="D30" t="inlineStr">
        <is>
          <t>Braskem</t>
        </is>
      </c>
      <c r="E30" t="inlineStr">
        <is>
          <t>Petrochemical</t>
        </is>
      </c>
      <c r="F30" t="inlineStr">
        <is>
          <t>Ethylene, polyethylene</t>
        </is>
      </c>
      <c r="G30" t="n">
        <v>520</v>
      </c>
      <c r="H30" t="inlineStr">
        <is>
          <t>kt/yr ethylene</t>
        </is>
      </c>
      <c r="I30" t="inlineStr">
        <is>
          <t>UNVERIFIED: source page blocks automated fetch</t>
        </is>
      </c>
      <c r="J30" t="inlineStr">
        <is>
          <t>operating</t>
        </is>
      </c>
      <c r="K30" t="inlineStr">
        <is>
          <t>2025</t>
        </is>
      </c>
      <c r="L30" t="inlineStr">
        <is>
          <t>Duque de Caxias</t>
        </is>
      </c>
      <c r="M30" t="inlineStr">
        <is>
          <t>Rio de Janeiro</t>
        </is>
      </c>
      <c r="N30" t="n">
        <v>-22.7</v>
      </c>
      <c r="O30" t="n">
        <v>-43.27</v>
      </c>
      <c r="P30" t="inlineStr">
        <is>
          <t>approx (site)</t>
        </is>
      </c>
      <c r="S30" t="inlineStr">
        <is>
          <t>No estimate (see notes)</t>
        </is>
      </c>
      <c r="T30" t="inlineStr">
        <is>
          <t>Operating</t>
        </is>
      </c>
      <c r="U30" t="inlineStr">
        <is>
          <t>Ethane/propane from Petrobras gas processing; +220 kt/yr expansion agreed. No methane-based gas estimate.</t>
        </is>
      </c>
      <c r="V30" t="inlineStr">
        <is>
          <t>https://acionista.com.br/braskem-brkm5-faz-acordo-com-petrobras-para-expandir-producao-no-rj/</t>
        </is>
      </c>
    </row>
    <row r="31">
      <c r="A31" t="n">
        <v>30</v>
      </c>
      <c r="B31" t="inlineStr">
        <is>
          <t>Chile</t>
        </is>
      </c>
      <c r="C31" t="inlineStr">
        <is>
          <t>Methanex Cabo Negro (Chile I and Chile IV)</t>
        </is>
      </c>
      <c r="D31" t="inlineStr">
        <is>
          <t>Methanex</t>
        </is>
      </c>
      <c r="E31" t="inlineStr">
        <is>
          <t>Methanol</t>
        </is>
      </c>
      <c r="F31" t="inlineStr">
        <is>
          <t>Methanol</t>
        </is>
      </c>
      <c r="G31" t="n">
        <v>1700</v>
      </c>
      <c r="H31" t="inlineStr">
        <is>
          <t>kt/yr methanol</t>
        </is>
      </c>
      <c r="I31" t="inlineStr">
        <is>
          <t>verified on source page</t>
        </is>
      </c>
      <c r="J31" t="inlineStr">
        <is>
          <t>operating</t>
        </is>
      </c>
      <c r="K31" t="inlineStr">
        <is>
          <t>2025</t>
        </is>
      </c>
      <c r="L31" t="inlineStr">
        <is>
          <t>Cabo Negro, Punta Arenas</t>
        </is>
      </c>
      <c r="M31" t="inlineStr">
        <is>
          <t>Magallanes</t>
        </is>
      </c>
      <c r="N31" t="n">
        <v>-52.95</v>
      </c>
      <c r="O31" t="n">
        <v>-70.8</v>
      </c>
      <c r="P31" t="inlineStr">
        <is>
          <t>approx (site)</t>
        </is>
      </c>
      <c r="Q31" t="n">
        <v>1700</v>
      </c>
      <c r="R31" t="n">
        <v>4.658</v>
      </c>
      <c r="S31" t="inlineStr">
        <is>
          <t>Estimate: 1,700 kt methanol/yr x 1 mcm per kt methanol / 365, at nameplate</t>
        </is>
      </c>
      <c r="T31" t="inlineStr">
        <is>
          <t>Operating</t>
        </is>
      </c>
      <c r="U31" t="inlineStr">
        <is>
          <t>Two plants; gas from Chile and Argentina; Chile I ran through the southern winter in 2025 for the first time in 15+ years.</t>
        </is>
      </c>
      <c r="V31" t="inlineStr">
        <is>
          <t>https://pubs.usgs.gov/myb/vol3/2019/myb3-2019-chile.xlsx ; https://www.methanex.com/wp-content/uploads/2025-AIF.pdf</t>
        </is>
      </c>
    </row>
    <row r="32">
      <c r="A32" t="n">
        <v>31</v>
      </c>
      <c r="B32" t="inlineStr">
        <is>
          <t>Colombia</t>
        </is>
      </c>
      <c r="C32" t="inlineStr">
        <is>
          <t>Ceramica Italia (Cucuta)</t>
        </is>
      </c>
      <c r="D32" t="inlineStr">
        <is>
          <t>Ceramica Italia</t>
        </is>
      </c>
      <c r="E32" t="inlineStr">
        <is>
          <t>Ceramics</t>
        </is>
      </c>
      <c r="F32" t="inlineStr">
        <is>
          <t>Ceramic and porcelain tiles</t>
        </is>
      </c>
      <c r="G32" t="n">
        <v>1.1</v>
      </c>
      <c r="H32" t="inlineStr">
        <is>
          <t>million m2/month (production)</t>
        </is>
      </c>
      <c r="I32" t="inlineStr">
        <is>
          <t>verified (1.1 million m2/month on the cited page)</t>
        </is>
      </c>
      <c r="J32" t="inlineStr">
        <is>
          <t>operating</t>
        </is>
      </c>
      <c r="K32" t="inlineStr">
        <is>
          <t>2024</t>
        </is>
      </c>
      <c r="L32" t="inlineStr">
        <is>
          <t>Cucuta</t>
        </is>
      </c>
      <c r="M32" t="inlineStr">
        <is>
          <t>Norte de Santander</t>
        </is>
      </c>
      <c r="N32" t="n">
        <v>7.89</v>
      </c>
      <c r="O32" t="n">
        <v>-72.5</v>
      </c>
      <c r="P32" t="inlineStr">
        <is>
          <t>approx (city)</t>
        </is>
      </c>
      <c r="Q32" t="n">
        <v>13.2</v>
      </c>
      <c r="R32" t="n">
        <v>0.07199999999999999</v>
      </c>
      <c r="S32" t="inlineStr">
        <is>
          <t>Estimate: 13 million m2/yr x 2 mcm per million m2 / 365, at nameplate</t>
        </is>
      </c>
      <c r="T32" t="inlineStr">
        <is>
          <t>Operating</t>
        </is>
      </c>
      <c r="U32" t="inlineStr">
        <is>
          <t>Produces 1.1 million m2 per month (Forbes Colombia), i.e. ~13.2 million m2/yr; a new plant for 1.5 million m2/month was being prepared.</t>
        </is>
      </c>
      <c r="V32" t="inlineStr">
        <is>
          <t>https://forbes.co/negocios/ceramica-italia-la-empresa-de-cucuta-que-quiere-conquistar-el-mercado-de-ee-uu</t>
        </is>
      </c>
    </row>
    <row r="33">
      <c r="A33" t="n">
        <v>32</v>
      </c>
      <c r="B33" t="inlineStr">
        <is>
          <t>Colombia</t>
        </is>
      </c>
      <c r="C33" t="inlineStr">
        <is>
          <t>Corona Sopo - Prestigio II porcelain plant</t>
        </is>
      </c>
      <c r="D33" t="inlineStr">
        <is>
          <t>Organizacion Corona</t>
        </is>
      </c>
      <c r="E33" t="inlineStr">
        <is>
          <t>Ceramics</t>
        </is>
      </c>
      <c r="F33" t="inlineStr">
        <is>
          <t>Porcelain tiles</t>
        </is>
      </c>
      <c r="G33" t="n">
        <v>0.45</v>
      </c>
      <c r="H33" t="inlineStr">
        <is>
          <t>million m2/month (added capacity, low end of 0.45-0.5)</t>
        </is>
      </c>
      <c r="I33" t="inlineStr">
        <is>
          <t>verified (450,000-500,000 m2/month on the cited page)</t>
        </is>
      </c>
      <c r="J33" t="inlineStr">
        <is>
          <t>operating</t>
        </is>
      </c>
      <c r="K33" t="inlineStr">
        <is>
          <t>2023</t>
        </is>
      </c>
      <c r="L33" t="inlineStr">
        <is>
          <t>Sopo</t>
        </is>
      </c>
      <c r="M33" t="inlineStr">
        <is>
          <t>Cundinamarca</t>
        </is>
      </c>
      <c r="N33" t="n">
        <v>4.91</v>
      </c>
      <c r="O33" t="n">
        <v>-73.94</v>
      </c>
      <c r="P33" t="inlineStr">
        <is>
          <t>approx (town)</t>
        </is>
      </c>
      <c r="Q33" t="n">
        <v>5.4</v>
      </c>
      <c r="R33" t="n">
        <v>0.03</v>
      </c>
      <c r="S33" t="inlineStr">
        <is>
          <t>Estimate: 5 million m2/yr x 2 mcm per million m2 / 365, at nameplate</t>
        </is>
      </c>
      <c r="T33" t="inlineStr">
        <is>
          <t>Operating</t>
        </is>
      </c>
      <c r="U33" t="inlineStr">
        <is>
          <t>New plant only (450,000-500,000 m2/month of porcelain, +13% of Corona's national floor and wall output); the rest of the Sopo park's capacity is not published.</t>
        </is>
      </c>
      <c r="V33" t="inlineStr">
        <is>
          <t>https://www.semana.com/economia/capsulas/articulo/con-inversion-de-170000-millones-abren-nueva-planta-de-productos-ceramicos-en-sopo/202302/</t>
        </is>
      </c>
    </row>
    <row r="34">
      <c r="A34" t="n">
        <v>33</v>
      </c>
      <c r="B34" t="inlineStr">
        <is>
          <t>Ecuador</t>
        </is>
      </c>
      <c r="C34" t="inlineStr">
        <is>
          <t>Bajo Alto LNG plant</t>
        </is>
      </c>
      <c r="D34" t="inlineStr">
        <is>
          <t>EP Petroecuador</t>
        </is>
      </c>
      <c r="E34" t="inlineStr">
        <is>
          <t>LNG liquefaction</t>
        </is>
      </c>
      <c r="F34" t="inlineStr">
        <is>
          <t>Small-scale LNG (trucked to industry)</t>
        </is>
      </c>
      <c r="G34" t="n">
        <v>200</v>
      </c>
      <c r="H34" t="inlineStr">
        <is>
          <t>t/d LNG</t>
        </is>
      </c>
      <c r="I34" t="inlineStr">
        <is>
          <t>verified on source page</t>
        </is>
      </c>
      <c r="J34" t="inlineStr">
        <is>
          <t>operating (limited to ~55%)</t>
        </is>
      </c>
      <c r="K34" t="inlineStr">
        <is>
          <t>2024</t>
        </is>
      </c>
      <c r="L34" t="inlineStr">
        <is>
          <t>Bajo Alto, El Guabo</t>
        </is>
      </c>
      <c r="M34" t="inlineStr">
        <is>
          <t>El Oro</t>
        </is>
      </c>
      <c r="N34" t="n">
        <v>-3.17</v>
      </c>
      <c r="O34" t="n">
        <v>-79.89</v>
      </c>
      <c r="P34" t="inlineStr">
        <is>
          <t>approx (site)</t>
        </is>
      </c>
      <c r="Q34" t="n">
        <v>70</v>
      </c>
      <c r="R34" t="n">
        <v>0.278</v>
      </c>
      <c r="S34" t="inlineStr">
        <is>
          <t>Estimate: 70 kt LNG/yr (200 t/d x 350 d) x 1.45 mcm per kt LNG / 365, at nameplate</t>
        </is>
      </c>
      <c r="T34" t="inlineStr">
        <is>
          <t>Operating</t>
        </is>
      </c>
      <c r="U34" t="inlineStr">
        <is>
          <t>Liquefies Amistad field gas; LNG trucked to Cuenca ceramics (Graiman, Ecuaceramica, Italpisos, Rialto, Esfel). Capacity limited to ~55% by foundation defects.</t>
        </is>
      </c>
      <c r="V34" t="inlineStr">
        <is>
          <t>https://primicias.ec/noticias/economia/planta-bajo-alto-cierre-riesgo-explosion ; https://elmercurio.com.ec/?p=1029032</t>
        </is>
      </c>
    </row>
    <row r="35">
      <c r="A35" t="n">
        <v>34</v>
      </c>
      <c r="B35" t="inlineStr">
        <is>
          <t>Ecuador</t>
        </is>
      </c>
      <c r="C35" t="inlineStr">
        <is>
          <t>Graiman ceramic tiles</t>
        </is>
      </c>
      <c r="D35" t="inlineStr">
        <is>
          <t>Graiman</t>
        </is>
      </c>
      <c r="E35" t="inlineStr">
        <is>
          <t>Ceramics</t>
        </is>
      </c>
      <c r="F35" t="inlineStr">
        <is>
          <t>Ceramic and porcelain tiles</t>
        </is>
      </c>
      <c r="G35" t="n">
        <v>9.6</v>
      </c>
      <c r="H35" t="inlineStr">
        <is>
          <t>million m2/yr</t>
        </is>
      </c>
      <c r="I35" t="inlineStr">
        <is>
          <t>UNVERIFIED: figure from a search summary; not found on the fetched page</t>
        </is>
      </c>
      <c r="J35" t="inlineStr">
        <is>
          <t>operating</t>
        </is>
      </c>
      <c r="K35" t="inlineStr">
        <is>
          <t>2022</t>
        </is>
      </c>
      <c r="L35" t="inlineStr">
        <is>
          <t>Cuenca</t>
        </is>
      </c>
      <c r="M35" t="inlineStr">
        <is>
          <t>Azuay</t>
        </is>
      </c>
      <c r="N35" t="n">
        <v>-2.88</v>
      </c>
      <c r="O35" t="n">
        <v>-78.97</v>
      </c>
      <c r="P35" t="inlineStr">
        <is>
          <t>approx (city)</t>
        </is>
      </c>
      <c r="Q35" t="n">
        <v>9.6</v>
      </c>
      <c r="R35" t="n">
        <v>0.053</v>
      </c>
      <c r="S35" t="inlineStr">
        <is>
          <t>Estimate: 10 million m2/yr x 2 mcm per million m2 / 365, at nameplate</t>
        </is>
      </c>
      <c r="T35" t="inlineStr">
        <is>
          <t>Operating</t>
        </is>
      </c>
      <c r="U35" t="inlineStr">
        <is>
          <t>Uses LNG from Bajo Alto.</t>
        </is>
      </c>
      <c r="V35" t="inlineStr">
        <is>
          <t>https://www.primicias.ec/economia/empresas/ceramica-graiman-cuenca-empresa-industria-construccion-inmobiliario-inversion-kohler-113910/</t>
        </is>
      </c>
    </row>
    <row r="36">
      <c r="A36" t="n">
        <v>35</v>
      </c>
      <c r="B36" t="inlineStr">
        <is>
          <t>Ecuador</t>
        </is>
      </c>
      <c r="C36" t="inlineStr">
        <is>
          <t>Italpisos ceramic tiles</t>
        </is>
      </c>
      <c r="D36" t="inlineStr">
        <is>
          <t>Italpisos</t>
        </is>
      </c>
      <c r="E36" t="inlineStr">
        <is>
          <t>Ceramics</t>
        </is>
      </c>
      <c r="F36" t="inlineStr">
        <is>
          <t>Ceramic tiles</t>
        </is>
      </c>
      <c r="I36" t="inlineStr">
        <is>
          <t>no capacity found</t>
        </is>
      </c>
      <c r="J36" t="inlineStr">
        <is>
          <t>operating</t>
        </is>
      </c>
      <c r="K36" t="inlineStr">
        <is>
          <t>2024</t>
        </is>
      </c>
      <c r="L36" t="inlineStr">
        <is>
          <t>Cuenca</t>
        </is>
      </c>
      <c r="M36" t="inlineStr">
        <is>
          <t>Azuay</t>
        </is>
      </c>
      <c r="N36" t="n">
        <v>-2.88</v>
      </c>
      <c r="O36" t="n">
        <v>-78.98</v>
      </c>
      <c r="P36" t="inlineStr">
        <is>
          <t>approx (city)</t>
        </is>
      </c>
      <c r="S36" t="inlineStr">
        <is>
          <t>No estimate (see notes)</t>
        </is>
      </c>
      <c r="T36" t="inlineStr">
        <is>
          <t>Operating</t>
        </is>
      </c>
      <c r="U36" t="inlineStr">
        <is>
          <t>Capacity not found. Uses LNG from Bajo Alto.</t>
        </is>
      </c>
      <c r="V36" t="inlineStr">
        <is>
          <t>https://elmercurio.com.ec/?p=1029032</t>
        </is>
      </c>
    </row>
    <row r="37">
      <c r="A37" t="n">
        <v>36</v>
      </c>
      <c r="B37" t="inlineStr">
        <is>
          <t>Jamaica</t>
        </is>
      </c>
      <c r="C37" t="inlineStr">
        <is>
          <t>Jamalco alumina refinery</t>
        </is>
      </c>
      <c r="D37" t="inlineStr">
        <is>
          <t>Jamalco (Century Aluminum 55%, Government 45%)</t>
        </is>
      </c>
      <c r="E37" t="inlineStr">
        <is>
          <t>Alumina</t>
        </is>
      </c>
      <c r="F37" t="inlineStr">
        <is>
          <t>Alumina</t>
        </is>
      </c>
      <c r="G37" t="n">
        <v>1400</v>
      </c>
      <c r="H37" t="inlineStr">
        <is>
          <t>kt/yr alumina</t>
        </is>
      </c>
      <c r="I37" t="inlineStr">
        <is>
          <t>verified on source page</t>
        </is>
      </c>
      <c r="J37" t="inlineStr">
        <is>
          <t>operating</t>
        </is>
      </c>
      <c r="K37" t="inlineStr">
        <is>
          <t>2026-07</t>
        </is>
      </c>
      <c r="L37" t="inlineStr">
        <is>
          <t>Halse Hall, Clarendon</t>
        </is>
      </c>
      <c r="M37" t="inlineStr">
        <is>
          <t>Clarendon</t>
        </is>
      </c>
      <c r="N37" t="n">
        <v>17.94</v>
      </c>
      <c r="O37" t="n">
        <v>-77.23999999999999</v>
      </c>
      <c r="P37" t="inlineStr">
        <is>
          <t>approx (site)</t>
        </is>
      </c>
      <c r="Q37" t="n">
        <v>1400</v>
      </c>
      <c r="R37" t="n">
        <v>0.921</v>
      </c>
      <c r="S37" t="inlineStr">
        <is>
          <t>Estimate: 1,400 kt alumina/yr x 0.24 mcm per kt alumina / 365, at nameplate</t>
        </is>
      </c>
      <c r="T37" t="inlineStr">
        <is>
          <t>Operating</t>
        </is>
      </c>
      <c r="U37" t="inlineStr">
        <is>
          <t>Restarted after Hurricane Melissa (Oct-2025); near full rate by Jul-2026. Steam and power from an LNG-fired CHP (New Fortress) plus a new turbine from Aug-2026 (off-grid).</t>
        </is>
      </c>
      <c r="V37" t="inlineStr">
        <is>
          <t>https://pubs.usgs.gov/myb/vol3/2019/myb3-2019-caribbean.xlsx ; https://investors.centuryaluminum.com/news-events/press-releases/press-release-details/2025/Jamalco-Begins-Restart-Procedures-Following-Hurricane-Melissa/default.aspx ; https://jamaica-gleaner.com/article/business/20260809/jamalco-unplugs-grid-power-turbine-set-save-us28m-year</t>
        </is>
      </c>
    </row>
    <row r="38">
      <c r="A38" t="n">
        <v>37</v>
      </c>
      <c r="B38" t="inlineStr">
        <is>
          <t>Peru</t>
        </is>
      </c>
      <c r="C38" t="inlineStr">
        <is>
          <t>Peru LNG (Pampa Melchorita)</t>
        </is>
      </c>
      <c r="D38" t="inlineStr">
        <is>
          <t>Peru LNG (Hunt Oil operator; MidOcean 35%, SK, Marubeni)</t>
        </is>
      </c>
      <c r="E38" t="inlineStr">
        <is>
          <t>LNG liquefaction</t>
        </is>
      </c>
      <c r="F38" t="inlineStr">
        <is>
          <t>LNG</t>
        </is>
      </c>
      <c r="G38" t="n">
        <v>4.45</v>
      </c>
      <c r="H38" t="inlineStr">
        <is>
          <t>Mt/yr LNG</t>
        </is>
      </c>
      <c r="I38" t="inlineStr">
        <is>
          <t>UNVERIFIED: source pages block automated fetch (4.45 Mt/yr widely published)</t>
        </is>
      </c>
      <c r="J38" t="inlineStr">
        <is>
          <t>operating</t>
        </is>
      </c>
      <c r="K38" t="inlineStr">
        <is>
          <t>2025</t>
        </is>
      </c>
      <c r="L38" t="inlineStr">
        <is>
          <t>Pampa Melchorita (Canete)</t>
        </is>
      </c>
      <c r="M38" t="inlineStr">
        <is>
          <t>Lima</t>
        </is>
      </c>
      <c r="N38" t="n">
        <v>-13.25</v>
      </c>
      <c r="O38" t="n">
        <v>-76.3</v>
      </c>
      <c r="P38" t="inlineStr">
        <is>
          <t>approx (site)</t>
        </is>
      </c>
      <c r="Q38" t="n">
        <v>4450</v>
      </c>
      <c r="R38" t="n">
        <v>17.678</v>
      </c>
      <c r="S38" t="inlineStr">
        <is>
          <t>Estimate: 4,450 kt LNG/yr x 1.45 mcm per kt LNG / 365, at nameplate</t>
        </is>
      </c>
      <c r="T38" t="inlineStr">
        <is>
          <t>Operating</t>
        </is>
      </c>
      <c r="U38" t="inlineStr">
        <is>
          <t>Single train; also supplies trucked LNG to the domestic market.</t>
        </is>
      </c>
      <c r="V38" t="inlineStr">
        <is>
          <t>https://www.nsenergybusiness.com/projects/peru-lng-peru/ ; https://www.businesswire.com/news/home/20241024391520/en/EIG%E2%80%99s-MidOcean-Energy-Completes-Acquisition-of-Additional-15-Interest-in-Peru-LNG-from-Hunt-Oil-Company</t>
        </is>
      </c>
    </row>
    <row r="39">
      <c r="A39" t="n">
        <v>38</v>
      </c>
      <c r="B39" t="inlineStr">
        <is>
          <t>Trinidad and Tobago</t>
        </is>
      </c>
      <c r="C39" t="inlineStr">
        <is>
          <t>Atlantic LNG Train 1</t>
        </is>
      </c>
      <c r="D39" t="inlineStr">
        <is>
          <t>Atlantic LNG (bp, Shell, NGC; restructured 2025)</t>
        </is>
      </c>
      <c r="E39" t="inlineStr">
        <is>
          <t>LNG liquefaction</t>
        </is>
      </c>
      <c r="F39" t="inlineStr">
        <is>
          <t>LNG</t>
        </is>
      </c>
      <c r="G39" t="n">
        <v>3</v>
      </c>
      <c r="H39" t="inlineStr">
        <is>
          <t>Mt/yr LNG</t>
        </is>
      </c>
      <c r="I39" t="inlineStr">
        <is>
          <t>verified on source page</t>
        </is>
      </c>
      <c r="J39" t="inlineStr">
        <is>
          <t>idle</t>
        </is>
      </c>
      <c r="K39" t="inlineStr">
        <is>
          <t>2020-12</t>
        </is>
      </c>
      <c r="L39" t="inlineStr">
        <is>
          <t>Point Fortin</t>
        </is>
      </c>
      <c r="M39" t="inlineStr">
        <is>
          <t>Point Fortin</t>
        </is>
      </c>
      <c r="N39" t="n">
        <v>10.185</v>
      </c>
      <c r="O39" t="n">
        <v>-61.69</v>
      </c>
      <c r="P39" t="inlineStr">
        <is>
          <t>approx (site)</t>
        </is>
      </c>
      <c r="Q39" t="n">
        <v>3000</v>
      </c>
      <c r="R39" t="n">
        <v>11.918</v>
      </c>
      <c r="S39" t="inlineStr">
        <is>
          <t>Estimate: 3,000 kt LNG/yr x 1.45 mcm per kt LNG / 365, at nameplate</t>
        </is>
      </c>
      <c r="T39" t="inlineStr">
        <is>
          <t>Idle</t>
        </is>
      </c>
      <c r="U39" t="inlineStr">
        <is>
          <t>Train 1 mothballed since Dec-2020 for lack of feed gas. Atlantic quotes ~15 Mt/yr for all four trains.</t>
        </is>
      </c>
      <c r="V39" t="inlineStr">
        <is>
          <t>https://pubs.usgs.gov/myb/vol3/2019/myb3-2019-caribbean.xlsx ; https://www.atlanticlng.com/ ; https://argusmedia.com/en/news-and-insights/latest-market-news/1901602-atlantic-lng-close-to-mothballing-20pc-of-capacity</t>
        </is>
      </c>
    </row>
    <row r="40">
      <c r="A40" t="n">
        <v>39</v>
      </c>
      <c r="B40" t="inlineStr">
        <is>
          <t>Trinidad and Tobago</t>
        </is>
      </c>
      <c r="C40" t="inlineStr">
        <is>
          <t>Atlantic LNG Train 2</t>
        </is>
      </c>
      <c r="D40" t="inlineStr">
        <is>
          <t>Atlantic LNG (bp, Shell, NGC)</t>
        </is>
      </c>
      <c r="E40" t="inlineStr">
        <is>
          <t>LNG liquefaction</t>
        </is>
      </c>
      <c r="F40" t="inlineStr">
        <is>
          <t>LNG</t>
        </is>
      </c>
      <c r="G40" t="n">
        <v>3.3</v>
      </c>
      <c r="H40" t="inlineStr">
        <is>
          <t>Mt/yr LNG</t>
        </is>
      </c>
      <c r="I40" t="inlineStr">
        <is>
          <t>USGS lists Trains 2+3 together (6.6 Mt/yr); split equally here</t>
        </is>
      </c>
      <c r="J40" t="inlineStr">
        <is>
          <t>operating</t>
        </is>
      </c>
      <c r="K40" t="inlineStr">
        <is>
          <t>2026</t>
        </is>
      </c>
      <c r="L40" t="inlineStr">
        <is>
          <t>Point Fortin</t>
        </is>
      </c>
      <c r="M40" t="inlineStr">
        <is>
          <t>Point Fortin</t>
        </is>
      </c>
      <c r="N40" t="n">
        <v>10.185</v>
      </c>
      <c r="O40" t="n">
        <v>-61.69</v>
      </c>
      <c r="P40" t="inlineStr">
        <is>
          <t>approx (site)</t>
        </is>
      </c>
      <c r="Q40" t="n">
        <v>3300</v>
      </c>
      <c r="R40" t="n">
        <v>13.11</v>
      </c>
      <c r="S40" t="inlineStr">
        <is>
          <t>Estimate: 3,300 kt LNG/yr x 1.45 mcm per kt LNG / 365, at nameplate</t>
        </is>
      </c>
      <c r="T40" t="inlineStr">
        <is>
          <t>Operating</t>
        </is>
      </c>
      <c r="U40" t="inlineStr">
        <is>
          <t>USGS lists Trains 2 and 3 together (6.6 Mt/yr); split equally here.</t>
        </is>
      </c>
      <c r="V40" t="inlineStr">
        <is>
          <t>https://pubs.usgs.gov/myb/vol3/2019/myb3-2019-caribbean.xlsx ; https://www.atlanticlng.com/</t>
        </is>
      </c>
    </row>
    <row r="41">
      <c r="A41" t="n">
        <v>40</v>
      </c>
      <c r="B41" t="inlineStr">
        <is>
          <t>Trinidad and Tobago</t>
        </is>
      </c>
      <c r="C41" t="inlineStr">
        <is>
          <t>Atlantic LNG Train 3</t>
        </is>
      </c>
      <c r="D41" t="inlineStr">
        <is>
          <t>Atlantic LNG (bp, Shell)</t>
        </is>
      </c>
      <c r="E41" t="inlineStr">
        <is>
          <t>LNG liquefaction</t>
        </is>
      </c>
      <c r="F41" t="inlineStr">
        <is>
          <t>LNG</t>
        </is>
      </c>
      <c r="G41" t="n">
        <v>3.3</v>
      </c>
      <c r="H41" t="inlineStr">
        <is>
          <t>Mt/yr LNG</t>
        </is>
      </c>
      <c r="I41" t="inlineStr">
        <is>
          <t>USGS lists Trains 2+3 together (6.6 Mt/yr); split equally here</t>
        </is>
      </c>
      <c r="J41" t="inlineStr">
        <is>
          <t>operating</t>
        </is>
      </c>
      <c r="K41" t="inlineStr">
        <is>
          <t>2026</t>
        </is>
      </c>
      <c r="L41" t="inlineStr">
        <is>
          <t>Point Fortin</t>
        </is>
      </c>
      <c r="M41" t="inlineStr">
        <is>
          <t>Point Fortin</t>
        </is>
      </c>
      <c r="N41" t="n">
        <v>10.185</v>
      </c>
      <c r="O41" t="n">
        <v>-61.69</v>
      </c>
      <c r="P41" t="inlineStr">
        <is>
          <t>approx (site)</t>
        </is>
      </c>
      <c r="Q41" t="n">
        <v>3300</v>
      </c>
      <c r="R41" t="n">
        <v>13.11</v>
      </c>
      <c r="S41" t="inlineStr">
        <is>
          <t>Estimate: 3,300 kt LNG/yr x 1.45 mcm per kt LNG / 365, at nameplate</t>
        </is>
      </c>
      <c r="T41" t="inlineStr">
        <is>
          <t>Operating</t>
        </is>
      </c>
      <c r="U41" t="inlineStr">
        <is>
          <t>Emergency repair shutdown in Feb-2026 (PGJ).</t>
        </is>
      </c>
      <c r="V41" t="inlineStr">
        <is>
          <t>https://pubs.usgs.gov/myb/vol3/2019/myb3-2019-caribbean.xlsx ; https://www.atlanticlng.com/ ; https://pgjonline.com/news/2026/february/atlantic-lng-shuts-3-mmtpy-train-3-for-emergency-repairs-in-trinidad</t>
        </is>
      </c>
    </row>
    <row r="42">
      <c r="A42" t="n">
        <v>41</v>
      </c>
      <c r="B42" t="inlineStr">
        <is>
          <t>Trinidad and Tobago</t>
        </is>
      </c>
      <c r="C42" t="inlineStr">
        <is>
          <t>Atlantic LNG Train 4</t>
        </is>
      </c>
      <c r="D42" t="inlineStr">
        <is>
          <t>Atlantic LNG (bp, Shell, NGC)</t>
        </is>
      </c>
      <c r="E42" t="inlineStr">
        <is>
          <t>LNG liquefaction</t>
        </is>
      </c>
      <c r="F42" t="inlineStr">
        <is>
          <t>LNG</t>
        </is>
      </c>
      <c r="G42" t="n">
        <v>5.2</v>
      </c>
      <c r="H42" t="inlineStr">
        <is>
          <t>Mt/yr LNG</t>
        </is>
      </c>
      <c r="I42" t="inlineStr">
        <is>
          <t>verified by hand in the USGS table (5,200,000 t/yr)</t>
        </is>
      </c>
      <c r="J42" t="inlineStr">
        <is>
          <t>operating</t>
        </is>
      </c>
      <c r="K42" t="inlineStr">
        <is>
          <t>2026</t>
        </is>
      </c>
      <c r="L42" t="inlineStr">
        <is>
          <t>Point Fortin</t>
        </is>
      </c>
      <c r="M42" t="inlineStr">
        <is>
          <t>Point Fortin</t>
        </is>
      </c>
      <c r="N42" t="n">
        <v>10.185</v>
      </c>
      <c r="O42" t="n">
        <v>-61.69</v>
      </c>
      <c r="P42" t="inlineStr">
        <is>
          <t>approx (site)</t>
        </is>
      </c>
      <c r="Q42" t="n">
        <v>5200</v>
      </c>
      <c r="R42" t="n">
        <v>20.658</v>
      </c>
      <c r="S42" t="inlineStr">
        <is>
          <t>Estimate: 5,200 kt LNG/yr x 1.45 mcm per kt LNG / 365, at nameplate</t>
        </is>
      </c>
      <c r="T42" t="inlineStr">
        <is>
          <t>Operating</t>
        </is>
      </c>
      <c r="V42" t="inlineStr">
        <is>
          <t>https://pubs.usgs.gov/myb/vol3/2019/myb3-2019-caribbean.xlsx ; https://www.atlanticlng.com/</t>
        </is>
      </c>
    </row>
    <row r="43">
      <c r="A43" t="n">
        <v>42</v>
      </c>
      <c r="B43" t="inlineStr">
        <is>
          <t>Trinidad and Tobago</t>
        </is>
      </c>
      <c r="C43" t="inlineStr">
        <is>
          <t>AUM complex - ammonia (MHTL)</t>
        </is>
      </c>
      <c r="D43" t="inlineStr">
        <is>
          <t>Methanol Holdings (Trinidad) Ltd (Proman)</t>
        </is>
      </c>
      <c r="E43" t="inlineStr">
        <is>
          <t>Ammonia/urea</t>
        </is>
      </c>
      <c r="F43" t="inlineStr">
        <is>
          <t>Ammonia, urea, UAN, melamine</t>
        </is>
      </c>
      <c r="G43" t="n">
        <v>650</v>
      </c>
      <c r="H43" t="inlineStr">
        <is>
          <t>kt/yr ammonia</t>
        </is>
      </c>
      <c r="I43" t="inlineStr">
        <is>
          <t>verified on source page</t>
        </is>
      </c>
      <c r="J43" t="inlineStr">
        <is>
          <t>operating</t>
        </is>
      </c>
      <c r="K43" t="inlineStr">
        <is>
          <t>2026-07</t>
        </is>
      </c>
      <c r="L43" t="inlineStr">
        <is>
          <t>Point Lisas</t>
        </is>
      </c>
      <c r="M43" t="inlineStr">
        <is>
          <t>Couva-Tabaquite-Talparo</t>
        </is>
      </c>
      <c r="N43" t="n">
        <v>10.4</v>
      </c>
      <c r="O43" t="n">
        <v>-61.48</v>
      </c>
      <c r="P43" t="inlineStr">
        <is>
          <t>approx (estate)</t>
        </is>
      </c>
      <c r="Q43" t="n">
        <v>650</v>
      </c>
      <c r="R43" t="n">
        <v>1.781</v>
      </c>
      <c r="S43" t="inlineStr">
        <is>
          <t>Estimate: 650 kt ammonia/yr x 1 mcm per kt ammonia / 365, at nameplate</t>
        </is>
      </c>
      <c r="T43" t="inlineStr">
        <is>
          <t>Operating</t>
        </is>
      </c>
      <c r="U43" t="inlineStr">
        <is>
          <t>Ammonia-urea-UAN-melamine complex; urea plant 2,100 t/d (MEEI). Gas counted once, on ammonia.</t>
        </is>
      </c>
      <c r="V43" t="inlineStr">
        <is>
          <t>https://www.energy.gov.tt/our-business/lng-petrochemicals/petrochemicals/ammonia/ ; https://www.energy.gov.tt/our-business/lng-petrochemicals/petrochemicals/urea/ ; https://pubs.usgs.gov/myb/vol3/2019/myb3-2019-caribbean.xlsx ; https://www.icis.com/explore/resources/news/2026/07/02/11222099/insight-trinidad-s-idled-methanol-units-may-restart-with-new-gas-fields/</t>
        </is>
      </c>
    </row>
    <row r="44">
      <c r="A44" t="n">
        <v>43</v>
      </c>
      <c r="B44" t="inlineStr">
        <is>
          <t>Trinidad and Tobago</t>
        </is>
      </c>
      <c r="C44" t="inlineStr">
        <is>
          <t>Caribbean Nitrogen Co (CNC)</t>
        </is>
      </c>
      <c r="D44" t="inlineStr">
        <is>
          <t>Proman / Koch / MAN Ferrostaal / EOG consortium</t>
        </is>
      </c>
      <c r="E44" t="inlineStr">
        <is>
          <t>Ammonia/urea</t>
        </is>
      </c>
      <c r="F44" t="inlineStr">
        <is>
          <t>Ammonia</t>
        </is>
      </c>
      <c r="G44" t="n">
        <v>650</v>
      </c>
      <c r="H44" t="inlineStr">
        <is>
          <t>kt/yr ammonia</t>
        </is>
      </c>
      <c r="I44" t="inlineStr">
        <is>
          <t>verified on source page</t>
        </is>
      </c>
      <c r="J44" t="inlineStr">
        <is>
          <t>operating</t>
        </is>
      </c>
      <c r="K44" t="inlineStr">
        <is>
          <t>2026-07</t>
        </is>
      </c>
      <c r="L44" t="inlineStr">
        <is>
          <t>Point Lisas</t>
        </is>
      </c>
      <c r="M44" t="inlineStr">
        <is>
          <t>Couva-Tabaquite-Talparo</t>
        </is>
      </c>
      <c r="N44" t="n">
        <v>10.4</v>
      </c>
      <c r="O44" t="n">
        <v>-61.48</v>
      </c>
      <c r="P44" t="inlineStr">
        <is>
          <t>approx (estate)</t>
        </is>
      </c>
      <c r="Q44" t="n">
        <v>650</v>
      </c>
      <c r="R44" t="n">
        <v>1.781</v>
      </c>
      <c r="S44" t="inlineStr">
        <is>
          <t>Estimate: 650 kt ammonia/yr x 1 mcm per kt ammonia / 365, at nameplate</t>
        </is>
      </c>
      <c r="T44" t="inlineStr">
        <is>
          <t>Operating</t>
        </is>
      </c>
      <c r="U44" t="inlineStr">
        <is>
          <t>MEEI lists 647,500 t (text) and 650,000 t (table).</t>
        </is>
      </c>
      <c r="V44" t="inlineStr">
        <is>
          <t>https://www.energy.gov.tt/our-business/lng-petrochemicals/petrochemicals/ammonia/ ; https://pubs.usgs.gov/myb/vol3/2019/myb3-2019-caribbean.xlsx ; https://www.icis.com/explore/resources/news/2026/07/02/11222099/insight-trinidad-s-idled-methanol-units-may-restart-with-new-gas-fields/</t>
        </is>
      </c>
    </row>
    <row r="45">
      <c r="A45" t="n">
        <v>44</v>
      </c>
      <c r="B45" t="inlineStr">
        <is>
          <t>Trinidad and Tobago</t>
        </is>
      </c>
      <c r="C45" t="inlineStr">
        <is>
          <t>Nitrogen 2000 (N2000)</t>
        </is>
      </c>
      <c r="D45" t="inlineStr">
        <is>
          <t>Proman / Koch / MAN Ferrostaal / EOG consortium</t>
        </is>
      </c>
      <c r="E45" t="inlineStr">
        <is>
          <t>Ammonia/urea</t>
        </is>
      </c>
      <c r="F45" t="inlineStr">
        <is>
          <t>Ammonia</t>
        </is>
      </c>
      <c r="G45" t="n">
        <v>650</v>
      </c>
      <c r="H45" t="inlineStr">
        <is>
          <t>kt/yr ammonia</t>
        </is>
      </c>
      <c r="I45" t="inlineStr">
        <is>
          <t>verified on source page</t>
        </is>
      </c>
      <c r="J45" t="inlineStr">
        <is>
          <t>operating</t>
        </is>
      </c>
      <c r="K45" t="inlineStr">
        <is>
          <t>2026-07</t>
        </is>
      </c>
      <c r="L45" t="inlineStr">
        <is>
          <t>Point Lisas</t>
        </is>
      </c>
      <c r="M45" t="inlineStr">
        <is>
          <t>Couva-Tabaquite-Talparo</t>
        </is>
      </c>
      <c r="N45" t="n">
        <v>10.4</v>
      </c>
      <c r="O45" t="n">
        <v>-61.48</v>
      </c>
      <c r="P45" t="inlineStr">
        <is>
          <t>approx (estate)</t>
        </is>
      </c>
      <c r="Q45" t="n">
        <v>650</v>
      </c>
      <c r="R45" t="n">
        <v>1.781</v>
      </c>
      <c r="S45" t="inlineStr">
        <is>
          <t>Estimate: 650 kt ammonia/yr x 1 mcm per kt ammonia / 365, at nameplate</t>
        </is>
      </c>
      <c r="T45" t="inlineStr">
        <is>
          <t>Operating</t>
        </is>
      </c>
      <c r="V45" t="inlineStr">
        <is>
          <t>https://www.energy.gov.tt/our-business/lng-petrochemicals/petrochemicals/ammonia/ ; https://pubs.usgs.gov/myb/vol3/2019/myb3-2019-caribbean.xlsx ; https://www.icis.com/explore/resources/news/2026/07/02/11222099/insight-trinidad-s-idled-methanol-units-may-restart-with-new-gas-fields/</t>
        </is>
      </c>
    </row>
    <row r="46">
      <c r="A46" t="n">
        <v>45</v>
      </c>
      <c r="B46" t="inlineStr">
        <is>
          <t>Trinidad and Tobago</t>
        </is>
      </c>
      <c r="C46" t="inlineStr">
        <is>
          <t>Nutrien (PCS) 01</t>
        </is>
      </c>
      <c r="D46" t="inlineStr">
        <is>
          <t>Nutrien</t>
        </is>
      </c>
      <c r="E46" t="inlineStr">
        <is>
          <t>Ammonia/urea</t>
        </is>
      </c>
      <c r="F46" t="inlineStr">
        <is>
          <t>Ammonia</t>
        </is>
      </c>
      <c r="G46" t="n">
        <v>445</v>
      </c>
      <c r="H46" t="inlineStr">
        <is>
          <t>kt/yr ammonia</t>
        </is>
      </c>
      <c r="I46" t="inlineStr">
        <is>
          <t>verified on source page</t>
        </is>
      </c>
      <c r="J46" t="inlineStr">
        <is>
          <t>idle</t>
        </is>
      </c>
      <c r="K46" t="inlineStr">
        <is>
          <t>2025-10</t>
        </is>
      </c>
      <c r="L46" t="inlineStr">
        <is>
          <t>Point Lisas</t>
        </is>
      </c>
      <c r="M46" t="inlineStr">
        <is>
          <t>Couva-Tabaquite-Talparo</t>
        </is>
      </c>
      <c r="N46" t="n">
        <v>10.4</v>
      </c>
      <c r="O46" t="n">
        <v>-61.48</v>
      </c>
      <c r="P46" t="inlineStr">
        <is>
          <t>approx (estate)</t>
        </is>
      </c>
      <c r="Q46" t="n">
        <v>445</v>
      </c>
      <c r="R46" t="n">
        <v>1.219</v>
      </c>
      <c r="S46" t="inlineStr">
        <is>
          <t>Estimate: 445 kt ammonia/yr x 1 mcm per kt ammonia / 365, at nameplate</t>
        </is>
      </c>
      <c r="T46" t="inlineStr">
        <is>
          <t>Idle</t>
        </is>
      </c>
      <c r="U46" t="inlineStr">
        <is>
          <t>Nutrien put all its Trinidad nitrogen operations into controlled shutdown from 23-Oct-2025 (port access and gas supply).</t>
        </is>
      </c>
      <c r="V46" t="inlineStr">
        <is>
          <t>https://www.energy.gov.tt/our-business/lng-petrochemicals/petrochemicals/ammonia/ ; https://www.worldfertilizer.com/nitrogen/22102025/nutrien-commences-shut-down-of-trinidad-nitrogen-operations/</t>
        </is>
      </c>
    </row>
    <row r="47">
      <c r="A47" t="n">
        <v>46</v>
      </c>
      <c r="B47" t="inlineStr">
        <is>
          <t>Trinidad and Tobago</t>
        </is>
      </c>
      <c r="C47" t="inlineStr">
        <is>
          <t>Nutrien (PCS) 02</t>
        </is>
      </c>
      <c r="D47" t="inlineStr">
        <is>
          <t>Nutrien</t>
        </is>
      </c>
      <c r="E47" t="inlineStr">
        <is>
          <t>Ammonia/urea</t>
        </is>
      </c>
      <c r="F47" t="inlineStr">
        <is>
          <t>Ammonia</t>
        </is>
      </c>
      <c r="G47" t="n">
        <v>445</v>
      </c>
      <c r="H47" t="inlineStr">
        <is>
          <t>kt/yr ammonia</t>
        </is>
      </c>
      <c r="I47" t="inlineStr">
        <is>
          <t>verified on source page</t>
        </is>
      </c>
      <c r="J47" t="inlineStr">
        <is>
          <t>idle</t>
        </is>
      </c>
      <c r="K47" t="inlineStr">
        <is>
          <t>2025-10</t>
        </is>
      </c>
      <c r="L47" t="inlineStr">
        <is>
          <t>Point Lisas</t>
        </is>
      </c>
      <c r="M47" t="inlineStr">
        <is>
          <t>Couva-Tabaquite-Talparo</t>
        </is>
      </c>
      <c r="N47" t="n">
        <v>10.4</v>
      </c>
      <c r="O47" t="n">
        <v>-61.48</v>
      </c>
      <c r="P47" t="inlineStr">
        <is>
          <t>approx (estate)</t>
        </is>
      </c>
      <c r="Q47" t="n">
        <v>445</v>
      </c>
      <c r="R47" t="n">
        <v>1.219</v>
      </c>
      <c r="S47" t="inlineStr">
        <is>
          <t>Estimate: 445 kt ammonia/yr x 1 mcm per kt ammonia / 365, at nameplate</t>
        </is>
      </c>
      <c r="T47" t="inlineStr">
        <is>
          <t>Idle</t>
        </is>
      </c>
      <c r="U47" t="inlineStr">
        <is>
          <t>As Nutrien 01.</t>
        </is>
      </c>
      <c r="V47" t="inlineStr">
        <is>
          <t>https://www.energy.gov.tt/our-business/lng-petrochemicals/petrochemicals/ammonia/ ; https://www.worldfertilizer.com/nitrogen/22102025/nutrien-commences-shut-down-of-trinidad-nitrogen-operations/</t>
        </is>
      </c>
    </row>
    <row r="48">
      <c r="A48" t="n">
        <v>47</v>
      </c>
      <c r="B48" t="inlineStr">
        <is>
          <t>Trinidad and Tobago</t>
        </is>
      </c>
      <c r="C48" t="inlineStr">
        <is>
          <t>Nutrien (PCS) 03</t>
        </is>
      </c>
      <c r="D48" t="inlineStr">
        <is>
          <t>Nutrien</t>
        </is>
      </c>
      <c r="E48" t="inlineStr">
        <is>
          <t>Ammonia/urea</t>
        </is>
      </c>
      <c r="F48" t="inlineStr">
        <is>
          <t>Ammonia</t>
        </is>
      </c>
      <c r="G48" t="n">
        <v>250</v>
      </c>
      <c r="H48" t="inlineStr">
        <is>
          <t>kt/yr ammonia</t>
        </is>
      </c>
      <c r="I48" t="inlineStr">
        <is>
          <t>verified on source page</t>
        </is>
      </c>
      <c r="J48" t="inlineStr">
        <is>
          <t>idle</t>
        </is>
      </c>
      <c r="K48" t="inlineStr">
        <is>
          <t>2025-10</t>
        </is>
      </c>
      <c r="L48" t="inlineStr">
        <is>
          <t>Point Lisas</t>
        </is>
      </c>
      <c r="M48" t="inlineStr">
        <is>
          <t>Couva-Tabaquite-Talparo</t>
        </is>
      </c>
      <c r="N48" t="n">
        <v>10.4</v>
      </c>
      <c r="O48" t="n">
        <v>-61.48</v>
      </c>
      <c r="P48" t="inlineStr">
        <is>
          <t>approx (estate)</t>
        </is>
      </c>
      <c r="Q48" t="n">
        <v>250</v>
      </c>
      <c r="R48" t="n">
        <v>0.6850000000000001</v>
      </c>
      <c r="S48" t="inlineStr">
        <is>
          <t>Estimate: 250 kt ammonia/yr x 1 mcm per kt ammonia / 365, at nameplate</t>
        </is>
      </c>
      <c r="T48" t="inlineStr">
        <is>
          <t>Idle</t>
        </is>
      </c>
      <c r="U48" t="inlineStr">
        <is>
          <t>As Nutrien 01.</t>
        </is>
      </c>
      <c r="V48" t="inlineStr">
        <is>
          <t>https://www.energy.gov.tt/our-business/lng-petrochemicals/petrochemicals/ammonia/ ; https://www.worldfertilizer.com/nitrogen/22102025/nutrien-commences-shut-down-of-trinidad-nitrogen-operations/</t>
        </is>
      </c>
    </row>
    <row r="49">
      <c r="A49" t="n">
        <v>48</v>
      </c>
      <c r="B49" t="inlineStr">
        <is>
          <t>Trinidad and Tobago</t>
        </is>
      </c>
      <c r="C49" t="inlineStr">
        <is>
          <t>Nutrien (PCS) 04</t>
        </is>
      </c>
      <c r="D49" t="inlineStr">
        <is>
          <t>Nutrien</t>
        </is>
      </c>
      <c r="E49" t="inlineStr">
        <is>
          <t>Ammonia/urea</t>
        </is>
      </c>
      <c r="F49" t="inlineStr">
        <is>
          <t>Ammonia, urea (2,023 t/d), UAN</t>
        </is>
      </c>
      <c r="G49" t="n">
        <v>650</v>
      </c>
      <c r="H49" t="inlineStr">
        <is>
          <t>kt/yr ammonia</t>
        </is>
      </c>
      <c r="I49" t="inlineStr">
        <is>
          <t>verified on source page</t>
        </is>
      </c>
      <c r="J49" t="inlineStr">
        <is>
          <t>idle</t>
        </is>
      </c>
      <c r="K49" t="inlineStr">
        <is>
          <t>2025-10</t>
        </is>
      </c>
      <c r="L49" t="inlineStr">
        <is>
          <t>Point Lisas</t>
        </is>
      </c>
      <c r="M49" t="inlineStr">
        <is>
          <t>Couva-Tabaquite-Talparo</t>
        </is>
      </c>
      <c r="N49" t="n">
        <v>10.4</v>
      </c>
      <c r="O49" t="n">
        <v>-61.48</v>
      </c>
      <c r="P49" t="inlineStr">
        <is>
          <t>approx (estate)</t>
        </is>
      </c>
      <c r="Q49" t="n">
        <v>650</v>
      </c>
      <c r="R49" t="n">
        <v>1.781</v>
      </c>
      <c r="S49" t="inlineStr">
        <is>
          <t>Estimate: 650 kt ammonia/yr x 1 mcm per kt ammonia / 365, at nameplate</t>
        </is>
      </c>
      <c r="T49" t="inlineStr">
        <is>
          <t>Idle</t>
        </is>
      </c>
      <c r="U49" t="inlineStr">
        <is>
          <t>As Nutrien 01.</t>
        </is>
      </c>
      <c r="V49" t="inlineStr">
        <is>
          <t>https://www.energy.gov.tt/our-business/lng-petrochemicals/petrochemicals/ammonia/ ; https://www.worldfertilizer.com/nitrogen/22102025/nutrien-commences-shut-down-of-trinidad-nitrogen-operations/</t>
        </is>
      </c>
    </row>
    <row r="50">
      <c r="A50" t="n">
        <v>49</v>
      </c>
      <c r="B50" t="inlineStr">
        <is>
          <t>Trinidad and Tobago</t>
        </is>
      </c>
      <c r="C50" t="inlineStr">
        <is>
          <t>Point Lisas Nitrogen Ltd (PLNL)</t>
        </is>
      </c>
      <c r="D50" t="inlineStr">
        <is>
          <t>Koch Fertilizer / CF Industries (50/50 per USGS 2019)</t>
        </is>
      </c>
      <c r="E50" t="inlineStr">
        <is>
          <t>Ammonia/urea</t>
        </is>
      </c>
      <c r="F50" t="inlineStr">
        <is>
          <t>Ammonia</t>
        </is>
      </c>
      <c r="G50" t="n">
        <v>650</v>
      </c>
      <c r="H50" t="inlineStr">
        <is>
          <t>kt/yr ammonia</t>
        </is>
      </c>
      <c r="I50" t="inlineStr">
        <is>
          <t>verified on source page</t>
        </is>
      </c>
      <c r="J50" t="inlineStr">
        <is>
          <t>operating</t>
        </is>
      </c>
      <c r="K50" t="inlineStr">
        <is>
          <t>2026-07</t>
        </is>
      </c>
      <c r="L50" t="inlineStr">
        <is>
          <t>Point Lisas</t>
        </is>
      </c>
      <c r="M50" t="inlineStr">
        <is>
          <t>Couva-Tabaquite-Talparo</t>
        </is>
      </c>
      <c r="N50" t="n">
        <v>10.4</v>
      </c>
      <c r="O50" t="n">
        <v>-61.48</v>
      </c>
      <c r="P50" t="inlineStr">
        <is>
          <t>approx (estate)</t>
        </is>
      </c>
      <c r="Q50" t="n">
        <v>650</v>
      </c>
      <c r="R50" t="n">
        <v>1.781</v>
      </c>
      <c r="S50" t="inlineStr">
        <is>
          <t>Estimate: 650 kt ammonia/yr x 1 mcm per kt ammonia / 365, at nameplate</t>
        </is>
      </c>
      <c r="T50" t="inlineStr">
        <is>
          <t>Operating</t>
        </is>
      </c>
      <c r="U50" t="inlineStr">
        <is>
          <t>PLNL signed a short-term 2026 gas contract (ICIS, Jul-2026). Ownership as listed by USGS (2019).</t>
        </is>
      </c>
      <c r="V50" t="inlineStr">
        <is>
          <t>https://www.energy.gov.tt/our-business/lng-petrochemicals/petrochemicals/ammonia/ ; https://pubs.usgs.gov/myb/vol3/2019/myb3-2019-caribbean.xlsx ; https://www.icis.com/explore/resources/news/2026/07/02/11222099/insight-trinidad-s-idled-methanol-units-may-restart-with-new-gas-fields/</t>
        </is>
      </c>
    </row>
    <row r="51">
      <c r="A51" t="n">
        <v>50</v>
      </c>
      <c r="B51" t="inlineStr">
        <is>
          <t>Trinidad and Tobago</t>
        </is>
      </c>
      <c r="C51" t="inlineStr">
        <is>
          <t>Tringen I</t>
        </is>
      </c>
      <c r="D51" t="inlineStr">
        <is>
          <t>Trinidad Nitrogen Co (Government 51%, Yara 49%)</t>
        </is>
      </c>
      <c r="E51" t="inlineStr">
        <is>
          <t>Ammonia/urea</t>
        </is>
      </c>
      <c r="F51" t="inlineStr">
        <is>
          <t>Ammonia</t>
        </is>
      </c>
      <c r="G51" t="n">
        <v>500</v>
      </c>
      <c r="H51" t="inlineStr">
        <is>
          <t>kt/yr ammonia</t>
        </is>
      </c>
      <c r="I51" t="inlineStr">
        <is>
          <t>verified on source page</t>
        </is>
      </c>
      <c r="J51" t="inlineStr">
        <is>
          <t>operating</t>
        </is>
      </c>
      <c r="K51" t="inlineStr">
        <is>
          <t>2026-07</t>
        </is>
      </c>
      <c r="L51" t="inlineStr">
        <is>
          <t>Point Lisas</t>
        </is>
      </c>
      <c r="M51" t="inlineStr">
        <is>
          <t>Couva-Tabaquite-Talparo</t>
        </is>
      </c>
      <c r="N51" t="n">
        <v>10.4</v>
      </c>
      <c r="O51" t="n">
        <v>-61.48</v>
      </c>
      <c r="P51" t="inlineStr">
        <is>
          <t>approx (estate)</t>
        </is>
      </c>
      <c r="Q51" t="n">
        <v>500</v>
      </c>
      <c r="R51" t="n">
        <v>1.37</v>
      </c>
      <c r="S51" t="inlineStr">
        <is>
          <t>Estimate: 500 kt ammonia/yr x 1 mcm per kt ammonia / 365, at nameplate</t>
        </is>
      </c>
      <c r="T51" t="inlineStr">
        <is>
          <t>Operating</t>
        </is>
      </c>
      <c r="U51" t="inlineStr">
        <is>
          <t>Yara/Tringen signed a short-term 2026 gas contract and kept operating (ICIS, Jul-2026).</t>
        </is>
      </c>
      <c r="V51" t="inlineStr">
        <is>
          <t>https://www.energy.gov.tt/our-business/lng-petrochemicals/petrochemicals/ammonia/ ; https://pubs.usgs.gov/myb/vol3/2019/myb3-2019-caribbean.xlsx ; https://www.icis.com/explore/resources/news/2026/07/02/11222099/insight-trinidad-s-idled-methanol-units-may-restart-with-new-gas-fields/</t>
        </is>
      </c>
    </row>
    <row r="52">
      <c r="A52" t="n">
        <v>51</v>
      </c>
      <c r="B52" t="inlineStr">
        <is>
          <t>Trinidad and Tobago</t>
        </is>
      </c>
      <c r="C52" t="inlineStr">
        <is>
          <t>Tringen II</t>
        </is>
      </c>
      <c r="D52" t="inlineStr">
        <is>
          <t>Trinidad Nitrogen Co (Government 51%, Yara 49%)</t>
        </is>
      </c>
      <c r="E52" t="inlineStr">
        <is>
          <t>Ammonia/urea</t>
        </is>
      </c>
      <c r="F52" t="inlineStr">
        <is>
          <t>Ammonia</t>
        </is>
      </c>
      <c r="G52" t="n">
        <v>495</v>
      </c>
      <c r="H52" t="inlineStr">
        <is>
          <t>kt/yr ammonia</t>
        </is>
      </c>
      <c r="I52" t="inlineStr">
        <is>
          <t>verified on source page</t>
        </is>
      </c>
      <c r="J52" t="inlineStr">
        <is>
          <t>operating</t>
        </is>
      </c>
      <c r="K52" t="inlineStr">
        <is>
          <t>2026-07</t>
        </is>
      </c>
      <c r="L52" t="inlineStr">
        <is>
          <t>Point Lisas</t>
        </is>
      </c>
      <c r="M52" t="inlineStr">
        <is>
          <t>Couva-Tabaquite-Talparo</t>
        </is>
      </c>
      <c r="N52" t="n">
        <v>10.4</v>
      </c>
      <c r="O52" t="n">
        <v>-61.48</v>
      </c>
      <c r="P52" t="inlineStr">
        <is>
          <t>approx (estate)</t>
        </is>
      </c>
      <c r="Q52" t="n">
        <v>495</v>
      </c>
      <c r="R52" t="n">
        <v>1.356</v>
      </c>
      <c r="S52" t="inlineStr">
        <is>
          <t>Estimate: 495 kt ammonia/yr x 1 mcm per kt ammonia / 365, at nameplate</t>
        </is>
      </c>
      <c r="T52" t="inlineStr">
        <is>
          <t>Operating</t>
        </is>
      </c>
      <c r="U52" t="inlineStr">
        <is>
          <t>As Tringen I.</t>
        </is>
      </c>
      <c r="V52" t="inlineStr">
        <is>
          <t>https://www.energy.gov.tt/our-business/lng-petrochemicals/petrochemicals/ammonia/ ; https://pubs.usgs.gov/myb/vol3/2019/myb3-2019-caribbean.xlsx ; https://www.icis.com/explore/resources/news/2026/07/02/11222099/insight-trinidad-s-idled-methanol-units-may-restart-with-new-gas-fields/</t>
        </is>
      </c>
    </row>
    <row r="53">
      <c r="A53" t="n">
        <v>52</v>
      </c>
      <c r="B53" t="inlineStr">
        <is>
          <t>Trinidad and Tobago</t>
        </is>
      </c>
      <c r="C53" t="inlineStr">
        <is>
          <t>Yara Trinidad Ltd (Hydro Agri)</t>
        </is>
      </c>
      <c r="D53" t="inlineStr">
        <is>
          <t>Yara International</t>
        </is>
      </c>
      <c r="E53" t="inlineStr">
        <is>
          <t>Ammonia/urea</t>
        </is>
      </c>
      <c r="F53" t="inlineStr">
        <is>
          <t>Ammonia</t>
        </is>
      </c>
      <c r="G53" t="n">
        <v>285</v>
      </c>
      <c r="H53" t="inlineStr">
        <is>
          <t>kt/yr ammonia</t>
        </is>
      </c>
      <c r="I53" t="inlineStr">
        <is>
          <t>verified on source page</t>
        </is>
      </c>
      <c r="J53" t="inlineStr">
        <is>
          <t>closed</t>
        </is>
      </c>
      <c r="K53" t="inlineStr">
        <is>
          <t>2019-11</t>
        </is>
      </c>
      <c r="L53" t="inlineStr">
        <is>
          <t>Point Lisas</t>
        </is>
      </c>
      <c r="M53" t="inlineStr">
        <is>
          <t>Couva-Tabaquite-Talparo</t>
        </is>
      </c>
      <c r="N53" t="n">
        <v>10.4</v>
      </c>
      <c r="O53" t="n">
        <v>-61.48</v>
      </c>
      <c r="P53" t="inlineStr">
        <is>
          <t>approx (estate)</t>
        </is>
      </c>
      <c r="Q53" t="n">
        <v>285</v>
      </c>
      <c r="R53" t="n">
        <v>0.781</v>
      </c>
      <c r="S53" t="inlineStr">
        <is>
          <t>Estimate: 285 kt ammonia/yr x 1 mcm per kt ammonia / 365, at nameplate</t>
        </is>
      </c>
      <c r="T53" t="inlineStr">
        <is>
          <t>Closed</t>
        </is>
      </c>
      <c r="U53" t="inlineStr">
        <is>
          <t>Oldest plant (1959). Closed by Yara in Nov-2019.</t>
        </is>
      </c>
      <c r="V53" t="inlineStr">
        <is>
          <t>https://www.energy.gov.tt/our-business/lng-petrochemicals/petrochemicals/ammonia/ ; https://www.worldfertilizer.com/project-news/14112019/yara-closes-ammonia-plant-in-trinidad/</t>
        </is>
      </c>
    </row>
    <row r="54">
      <c r="A54" t="n">
        <v>53</v>
      </c>
      <c r="B54" t="inlineStr">
        <is>
          <t>Trinidad and Tobago</t>
        </is>
      </c>
      <c r="C54" t="inlineStr">
        <is>
          <t>Atlas</t>
        </is>
      </c>
      <c r="D54" t="inlineStr">
        <is>
          <t>Methanex 63.1%, bp 36.9%</t>
        </is>
      </c>
      <c r="E54" t="inlineStr">
        <is>
          <t>Methanol</t>
        </is>
      </c>
      <c r="F54" t="inlineStr">
        <is>
          <t>Methanol</t>
        </is>
      </c>
      <c r="G54" t="n">
        <v>1825</v>
      </c>
      <c r="H54" t="inlineStr">
        <is>
          <t>kt/yr methanol</t>
        </is>
      </c>
      <c r="I54" t="inlineStr">
        <is>
          <t>verified on source page</t>
        </is>
      </c>
      <c r="J54" t="inlineStr">
        <is>
          <t>idle</t>
        </is>
      </c>
      <c r="K54" t="inlineStr">
        <is>
          <t>2024-09</t>
        </is>
      </c>
      <c r="L54" t="inlineStr">
        <is>
          <t>Point Lisas</t>
        </is>
      </c>
      <c r="M54" t="inlineStr">
        <is>
          <t>Couva-Tabaquite-Talparo</t>
        </is>
      </c>
      <c r="N54" t="n">
        <v>10.4</v>
      </c>
      <c r="O54" t="n">
        <v>-61.48</v>
      </c>
      <c r="P54" t="inlineStr">
        <is>
          <t>approx (estate)</t>
        </is>
      </c>
      <c r="Q54" t="n">
        <v>1825</v>
      </c>
      <c r="R54" t="n">
        <v>5</v>
      </c>
      <c r="S54" t="inlineStr">
        <is>
          <t>Estimate: 1,825 kt methanol/yr x 1 mcm per kt methanol / 365, at nameplate</t>
        </is>
      </c>
      <c r="T54" t="inlineStr">
        <is>
          <t>Idle</t>
        </is>
      </c>
      <c r="U54" t="inlineStr">
        <is>
          <t>Idled Sep-2024 when its 20-year gas contract expired. USGS (2019) lists 1,700 kt/yr.</t>
        </is>
      </c>
      <c r="V54" t="inlineStr">
        <is>
          <t>https://www.energy.gov.tt/our-business/lng-petrochemicals/petrochemicals/methanol/ ; https://pubs.usgs.gov/myb/vol3/2019/myb3-2019-caribbean.xlsx ; https://www.nasdaq.com/press-release/methanex-provides-update-trinidad-and-tobago-operations-2026-06-29</t>
        </is>
      </c>
    </row>
    <row r="55">
      <c r="A55" t="n">
        <v>54</v>
      </c>
      <c r="B55" t="inlineStr">
        <is>
          <t>Trinidad and Tobago</t>
        </is>
      </c>
      <c r="C55" t="inlineStr">
        <is>
          <t>Caribbean Gas Chemical Ltd (CGCL) methanol + DME</t>
        </is>
      </c>
      <c r="D55" t="inlineStr">
        <is>
          <t>CGCL (Mitsubishi Gas Chemical-led consortium)</t>
        </is>
      </c>
      <c r="E55" t="inlineStr">
        <is>
          <t>Methanol</t>
        </is>
      </c>
      <c r="F55" t="inlineStr">
        <is>
          <t>Methanol, DME (20 kt/yr)</t>
        </is>
      </c>
      <c r="G55" t="n">
        <v>1000</v>
      </c>
      <c r="H55" t="inlineStr">
        <is>
          <t>kt/yr methanol</t>
        </is>
      </c>
      <c r="I55" t="inlineStr">
        <is>
          <t>verified on source page</t>
        </is>
      </c>
      <c r="J55" t="inlineStr">
        <is>
          <t>operating (unverified)</t>
        </is>
      </c>
      <c r="K55" t="inlineStr">
        <is>
          <t>2020</t>
        </is>
      </c>
      <c r="L55" t="inlineStr">
        <is>
          <t>La Brea</t>
        </is>
      </c>
      <c r="M55" t="inlineStr">
        <is>
          <t>Siparia</t>
        </is>
      </c>
      <c r="N55" t="n">
        <v>10.24</v>
      </c>
      <c r="O55" t="n">
        <v>-61.62</v>
      </c>
      <c r="P55" t="inlineStr">
        <is>
          <t>approx (town)</t>
        </is>
      </c>
      <c r="Q55" t="n">
        <v>1000</v>
      </c>
      <c r="R55" t="n">
        <v>2.74</v>
      </c>
      <c r="S55" t="inlineStr">
        <is>
          <t>Estimate: 1,000 kt methanol/yr x 1 mcm per kt methanol / 365, at nameplate</t>
        </is>
      </c>
      <c r="T55" t="inlineStr">
        <is>
          <t>Operating</t>
        </is>
      </c>
      <c r="U55" t="inlineStr">
        <is>
          <t>Start-up 2020 (MEEI). Current status not confirmed.</t>
        </is>
      </c>
      <c r="V55" t="inlineStr">
        <is>
          <t>https://www.energy.gov.tt/our-business/lng-petrochemicals/petrochemicals/methanol/</t>
        </is>
      </c>
    </row>
    <row r="56">
      <c r="A56" t="n">
        <v>55</v>
      </c>
      <c r="B56" t="inlineStr">
        <is>
          <t>Trinidad and Tobago</t>
        </is>
      </c>
      <c r="C56" t="inlineStr">
        <is>
          <t>Caribbean Methanol Co (CMC, M2)</t>
        </is>
      </c>
      <c r="D56" t="inlineStr">
        <is>
          <t>Methanol Holdings (Trinidad) Ltd (Proman)</t>
        </is>
      </c>
      <c r="E56" t="inlineStr">
        <is>
          <t>Methanol</t>
        </is>
      </c>
      <c r="F56" t="inlineStr">
        <is>
          <t>Methanol</t>
        </is>
      </c>
      <c r="G56" t="n">
        <v>550</v>
      </c>
      <c r="H56" t="inlineStr">
        <is>
          <t>kt/yr methanol</t>
        </is>
      </c>
      <c r="I56" t="inlineStr">
        <is>
          <t>verified on source page</t>
        </is>
      </c>
      <c r="J56" t="inlineStr">
        <is>
          <t>operating</t>
        </is>
      </c>
      <c r="K56" t="inlineStr">
        <is>
          <t>2026-07</t>
        </is>
      </c>
      <c r="L56" t="inlineStr">
        <is>
          <t>Point Lisas</t>
        </is>
      </c>
      <c r="M56" t="inlineStr">
        <is>
          <t>Couva-Tabaquite-Talparo</t>
        </is>
      </c>
      <c r="N56" t="n">
        <v>10.4</v>
      </c>
      <c r="O56" t="n">
        <v>-61.48</v>
      </c>
      <c r="P56" t="inlineStr">
        <is>
          <t>approx (estate)</t>
        </is>
      </c>
      <c r="Q56" t="n">
        <v>550</v>
      </c>
      <c r="R56" t="n">
        <v>1.507</v>
      </c>
      <c r="S56" t="inlineStr">
        <is>
          <t>Estimate: 550 kt methanol/yr x 1 mcm per kt methanol / 365, at nameplate</t>
        </is>
      </c>
      <c r="T56" t="inlineStr">
        <is>
          <t>Operating</t>
        </is>
      </c>
      <c r="U56" t="inlineStr">
        <is>
          <t>Proman signed short-term 2026 gas contracts (ICIS); individual unit status not confirmed.</t>
        </is>
      </c>
      <c r="V56" t="inlineStr">
        <is>
          <t>https://www.energy.gov.tt/our-business/lng-petrochemicals/petrochemicals/methanol/ ; https://pubs.usgs.gov/myb/vol3/2019/myb3-2019-caribbean.xlsx ; https://www.icis.com/explore/resources/news/2026/07/02/11222099/insight-trinidad-s-idled-methanol-units-may-restart-with-new-gas-fields/</t>
        </is>
      </c>
    </row>
    <row r="57">
      <c r="A57" t="n">
        <v>56</v>
      </c>
      <c r="B57" t="inlineStr">
        <is>
          <t>Trinidad and Tobago</t>
        </is>
      </c>
      <c r="C57" t="inlineStr">
        <is>
          <t>M5000 (M5)</t>
        </is>
      </c>
      <c r="D57" t="inlineStr">
        <is>
          <t>Methanol Holdings (Trinidad) Ltd (Proman)</t>
        </is>
      </c>
      <c r="E57" t="inlineStr">
        <is>
          <t>Methanol</t>
        </is>
      </c>
      <c r="F57" t="inlineStr">
        <is>
          <t>Methanol</t>
        </is>
      </c>
      <c r="G57" t="n">
        <v>1890</v>
      </c>
      <c r="H57" t="inlineStr">
        <is>
          <t>kt/yr methanol</t>
        </is>
      </c>
      <c r="I57" t="inlineStr">
        <is>
          <t>verified on source page</t>
        </is>
      </c>
      <c r="J57" t="inlineStr">
        <is>
          <t>operating</t>
        </is>
      </c>
      <c r="K57" t="inlineStr">
        <is>
          <t>2026-07</t>
        </is>
      </c>
      <c r="L57" t="inlineStr">
        <is>
          <t>Point Lisas</t>
        </is>
      </c>
      <c r="M57" t="inlineStr">
        <is>
          <t>Couva-Tabaquite-Talparo</t>
        </is>
      </c>
      <c r="N57" t="n">
        <v>10.4</v>
      </c>
      <c r="O57" t="n">
        <v>-61.48</v>
      </c>
      <c r="P57" t="inlineStr">
        <is>
          <t>approx (estate)</t>
        </is>
      </c>
      <c r="Q57" t="n">
        <v>1890</v>
      </c>
      <c r="R57" t="n">
        <v>5.178</v>
      </c>
      <c r="S57" t="inlineStr">
        <is>
          <t>Estimate: 1,890 kt methanol/yr x 1 mcm per kt methanol / 365, at nameplate</t>
        </is>
      </c>
      <c r="T57" t="inlineStr">
        <is>
          <t>Operating</t>
        </is>
      </c>
      <c r="U57" t="inlineStr">
        <is>
          <t>As CMC.</t>
        </is>
      </c>
      <c r="V57" t="inlineStr">
        <is>
          <t>https://www.energy.gov.tt/our-business/lng-petrochemicals/petrochemicals/methanol/ ; https://pubs.usgs.gov/myb/vol3/2019/myb3-2019-caribbean.xlsx ; https://www.icis.com/explore/resources/news/2026/07/02/11222099/insight-trinidad-s-idled-methanol-units-may-restart-with-new-gas-fields/</t>
        </is>
      </c>
    </row>
    <row r="58">
      <c r="A58" t="n">
        <v>57</v>
      </c>
      <c r="B58" t="inlineStr">
        <is>
          <t>Trinidad and Tobago</t>
        </is>
      </c>
      <c r="C58" t="inlineStr">
        <is>
          <t>Methanol IV (M4)</t>
        </is>
      </c>
      <c r="D58" t="inlineStr">
        <is>
          <t>Methanol Holdings (Trinidad) Ltd (Proman)</t>
        </is>
      </c>
      <c r="E58" t="inlineStr">
        <is>
          <t>Methanol</t>
        </is>
      </c>
      <c r="F58" t="inlineStr">
        <is>
          <t>Methanol</t>
        </is>
      </c>
      <c r="G58" t="n">
        <v>580</v>
      </c>
      <c r="H58" t="inlineStr">
        <is>
          <t>kt/yr methanol</t>
        </is>
      </c>
      <c r="I58" t="inlineStr">
        <is>
          <t>verified on source page</t>
        </is>
      </c>
      <c r="J58" t="inlineStr">
        <is>
          <t>operating</t>
        </is>
      </c>
      <c r="K58" t="inlineStr">
        <is>
          <t>2026-07</t>
        </is>
      </c>
      <c r="L58" t="inlineStr">
        <is>
          <t>Point Lisas</t>
        </is>
      </c>
      <c r="M58" t="inlineStr">
        <is>
          <t>Couva-Tabaquite-Talparo</t>
        </is>
      </c>
      <c r="N58" t="n">
        <v>10.4</v>
      </c>
      <c r="O58" t="n">
        <v>-61.48</v>
      </c>
      <c r="P58" t="inlineStr">
        <is>
          <t>approx (estate)</t>
        </is>
      </c>
      <c r="Q58" t="n">
        <v>580</v>
      </c>
      <c r="R58" t="n">
        <v>1.589</v>
      </c>
      <c r="S58" t="inlineStr">
        <is>
          <t>Estimate: 580 kt methanol/yr x 1 mcm per kt methanol / 365, at nameplate</t>
        </is>
      </c>
      <c r="T58" t="inlineStr">
        <is>
          <t>Operating</t>
        </is>
      </c>
      <c r="U58" t="inlineStr">
        <is>
          <t>As CMC.</t>
        </is>
      </c>
      <c r="V58" t="inlineStr">
        <is>
          <t>https://www.energy.gov.tt/our-business/lng-petrochemicals/petrochemicals/methanol/ ; https://pubs.usgs.gov/myb/vol3/2019/myb3-2019-caribbean.xlsx ; https://www.icis.com/explore/resources/news/2026/07/02/11222099/insight-trinidad-s-idled-methanol-units-may-restart-with-new-gas-fields/</t>
        </is>
      </c>
    </row>
    <row r="59">
      <c r="A59" t="n">
        <v>58</v>
      </c>
      <c r="B59" t="inlineStr">
        <is>
          <t>Trinidad and Tobago</t>
        </is>
      </c>
      <c r="C59" t="inlineStr">
        <is>
          <t>TTMC I (M1)</t>
        </is>
      </c>
      <c r="D59" t="inlineStr">
        <is>
          <t>Methanol Holdings (Trinidad) Ltd (Proman)</t>
        </is>
      </c>
      <c r="E59" t="inlineStr">
        <is>
          <t>Methanol</t>
        </is>
      </c>
      <c r="F59" t="inlineStr">
        <is>
          <t>Methanol</t>
        </is>
      </c>
      <c r="G59" t="n">
        <v>480</v>
      </c>
      <c r="H59" t="inlineStr">
        <is>
          <t>kt/yr methanol</t>
        </is>
      </c>
      <c r="I59" t="inlineStr">
        <is>
          <t>verified on source page</t>
        </is>
      </c>
      <c r="J59" t="inlineStr">
        <is>
          <t>idle</t>
        </is>
      </c>
      <c r="K59" t="inlineStr">
        <is>
          <t>2016</t>
        </is>
      </c>
      <c r="L59" t="inlineStr">
        <is>
          <t>Point Lisas</t>
        </is>
      </c>
      <c r="M59" t="inlineStr">
        <is>
          <t>Couva-Tabaquite-Talparo</t>
        </is>
      </c>
      <c r="N59" t="n">
        <v>10.4</v>
      </c>
      <c r="O59" t="n">
        <v>-61.48</v>
      </c>
      <c r="P59" t="inlineStr">
        <is>
          <t>approx (estate)</t>
        </is>
      </c>
      <c r="Q59" t="n">
        <v>480</v>
      </c>
      <c r="R59" t="n">
        <v>1.315</v>
      </c>
      <c r="S59" t="inlineStr">
        <is>
          <t>Estimate: 480 kt methanol/yr x 1 mcm per kt methanol / 365, at nameplate</t>
        </is>
      </c>
      <c r="T59" t="inlineStr">
        <is>
          <t>Idle</t>
        </is>
      </c>
      <c r="U59" t="inlineStr">
        <is>
          <t>Idle since 2016; no longer in production tables (search summary of ICIS, Jul-2026 - unverified).</t>
        </is>
      </c>
      <c r="V59" t="inlineStr">
        <is>
          <t>https://www.energy.gov.tt/our-business/lng-petrochemicals/petrochemicals/methanol/ ; https://www.icis.com/explore/resources/news/2026/07/02/11222099/insight-trinidad-s-idled-methanol-units-may-restart-with-new-gas-fields/</t>
        </is>
      </c>
    </row>
    <row r="60">
      <c r="A60" t="n">
        <v>59</v>
      </c>
      <c r="B60" t="inlineStr">
        <is>
          <t>Trinidad and Tobago</t>
        </is>
      </c>
      <c r="C60" t="inlineStr">
        <is>
          <t>TTMC II (M3)</t>
        </is>
      </c>
      <c r="D60" t="inlineStr">
        <is>
          <t>Methanol Holdings (Trinidad) Ltd (Proman)</t>
        </is>
      </c>
      <c r="E60" t="inlineStr">
        <is>
          <t>Methanol</t>
        </is>
      </c>
      <c r="F60" t="inlineStr">
        <is>
          <t>Methanol</t>
        </is>
      </c>
      <c r="G60" t="n">
        <v>570</v>
      </c>
      <c r="H60" t="inlineStr">
        <is>
          <t>kt/yr methanol</t>
        </is>
      </c>
      <c r="I60" t="inlineStr">
        <is>
          <t>verified on source page</t>
        </is>
      </c>
      <c r="J60" t="inlineStr">
        <is>
          <t>operating</t>
        </is>
      </c>
      <c r="K60" t="inlineStr">
        <is>
          <t>2026-07</t>
        </is>
      </c>
      <c r="L60" t="inlineStr">
        <is>
          <t>Point Lisas</t>
        </is>
      </c>
      <c r="M60" t="inlineStr">
        <is>
          <t>Couva-Tabaquite-Talparo</t>
        </is>
      </c>
      <c r="N60" t="n">
        <v>10.4</v>
      </c>
      <c r="O60" t="n">
        <v>-61.48</v>
      </c>
      <c r="P60" t="inlineStr">
        <is>
          <t>approx (estate)</t>
        </is>
      </c>
      <c r="Q60" t="n">
        <v>570</v>
      </c>
      <c r="R60" t="n">
        <v>1.562</v>
      </c>
      <c r="S60" t="inlineStr">
        <is>
          <t>Estimate: 570 kt methanol/yr x 1 mcm per kt methanol / 365, at nameplate</t>
        </is>
      </c>
      <c r="T60" t="inlineStr">
        <is>
          <t>Operating</t>
        </is>
      </c>
      <c r="U60" t="inlineStr">
        <is>
          <t>As CMC.</t>
        </is>
      </c>
      <c r="V60" t="inlineStr">
        <is>
          <t>https://www.energy.gov.tt/our-business/lng-petrochemicals/petrochemicals/methanol/ ; https://www.icis.com/explore/resources/news/2026/07/02/11222099/insight-trinidad-s-idled-methanol-units-may-restart-with-new-gas-fields/</t>
        </is>
      </c>
    </row>
    <row r="61">
      <c r="A61" t="n">
        <v>60</v>
      </c>
      <c r="B61" t="inlineStr">
        <is>
          <t>Trinidad and Tobago</t>
        </is>
      </c>
      <c r="C61" t="inlineStr">
        <is>
          <t>Titan</t>
        </is>
      </c>
      <c r="D61" t="inlineStr">
        <is>
          <t>Methanex</t>
        </is>
      </c>
      <c r="E61" t="inlineStr">
        <is>
          <t>Methanol</t>
        </is>
      </c>
      <c r="F61" t="inlineStr">
        <is>
          <t>Methanol</t>
        </is>
      </c>
      <c r="G61" t="n">
        <v>850</v>
      </c>
      <c r="H61" t="inlineStr">
        <is>
          <t>kt/yr methanol</t>
        </is>
      </c>
      <c r="I61" t="inlineStr">
        <is>
          <t>verified on source page</t>
        </is>
      </c>
      <c r="J61" t="inlineStr">
        <is>
          <t>idle</t>
        </is>
      </c>
      <c r="K61" t="inlineStr">
        <is>
          <t>2026-06</t>
        </is>
      </c>
      <c r="L61" t="inlineStr">
        <is>
          <t>Point Lisas</t>
        </is>
      </c>
      <c r="M61" t="inlineStr">
        <is>
          <t>Couva-Tabaquite-Talparo</t>
        </is>
      </c>
      <c r="N61" t="n">
        <v>10.4</v>
      </c>
      <c r="O61" t="n">
        <v>-61.48</v>
      </c>
      <c r="P61" t="inlineStr">
        <is>
          <t>approx (estate)</t>
        </is>
      </c>
      <c r="Q61" t="n">
        <v>850</v>
      </c>
      <c r="R61" t="n">
        <v>2.329</v>
      </c>
      <c r="S61" t="inlineStr">
        <is>
          <t>Estimate: 850 kt methanol/yr x 1 mcm per kt methanol / 365, at nameplate</t>
        </is>
      </c>
      <c r="T61" t="inlineStr">
        <is>
          <t>Idle</t>
        </is>
      </c>
      <c r="U61" t="inlineStr">
        <is>
          <t>Methanex idled Titan indefinitely on 29-Jun-2026 after failing to agree a new NGC gas contract. Methanex quotes ~860-875 kt/yr.</t>
        </is>
      </c>
      <c r="V61" t="inlineStr">
        <is>
          <t>https://www.energy.gov.tt/our-business/lng-petrochemicals/petrochemicals/methanol/ ; https://www.nasdaq.com/press-release/methanex-provides-update-trinidad-and-tobago-operations-2026-06-29</t>
        </is>
      </c>
    </row>
    <row r="62">
      <c r="A62" t="n">
        <v>61</v>
      </c>
      <c r="B62" t="inlineStr">
        <is>
          <t>Trinidad and Tobago</t>
        </is>
      </c>
      <c r="C62" t="inlineStr">
        <is>
          <t>Nu-Iron Unlimited DRI plant</t>
        </is>
      </c>
      <c r="D62" t="inlineStr">
        <is>
          <t>Nucor</t>
        </is>
      </c>
      <c r="E62" t="inlineStr">
        <is>
          <t>Steel DRI</t>
        </is>
      </c>
      <c r="F62" t="inlineStr">
        <is>
          <t>Direct reduced iron (Midrex)</t>
        </is>
      </c>
      <c r="G62" t="n">
        <v>2000</v>
      </c>
      <c r="H62" t="inlineStr">
        <is>
          <t>kt/yr DRI</t>
        </is>
      </c>
      <c r="I62" t="inlineStr">
        <is>
          <t>verified on source page</t>
        </is>
      </c>
      <c r="J62" t="inlineStr">
        <is>
          <t>operating</t>
        </is>
      </c>
      <c r="K62" t="inlineStr">
        <is>
          <t>2025</t>
        </is>
      </c>
      <c r="L62" t="inlineStr">
        <is>
          <t>Point Lisas</t>
        </is>
      </c>
      <c r="M62" t="inlineStr">
        <is>
          <t>Couva-Tabaquite-Talparo</t>
        </is>
      </c>
      <c r="N62" t="n">
        <v>10.399138</v>
      </c>
      <c r="O62" t="n">
        <v>-61.486326</v>
      </c>
      <c r="P62" t="inlineStr">
        <is>
          <t>GEM wiki (plant)</t>
        </is>
      </c>
      <c r="Q62" t="n">
        <v>2000</v>
      </c>
      <c r="R62" t="n">
        <v>1.534</v>
      </c>
      <c r="S62" t="inlineStr">
        <is>
          <t>Estimate: 2,000 kt DRI/HBI/yr x 0.28 mcm per kt DRI/HBI / 365, at nameplate</t>
        </is>
      </c>
      <c r="T62" t="inlineStr">
        <is>
          <t>Operating</t>
        </is>
      </c>
      <c r="U62" t="inlineStr">
        <is>
          <t>Nucor quotes 2 million (short) tons/yr; ~70% utilisation of its raw-materials segment in 2025.</t>
        </is>
      </c>
      <c r="V62" t="inlineStr">
        <is>
          <t>https://www.gem.wiki/Nu-Iron_Unlimited_Point_Lisas_DRI_plant ; https://www.sec.gov/Archives/edgar/data/73309/000119312526071575/nue-20251231.htm</t>
        </is>
      </c>
    </row>
    <row r="63">
      <c r="A63" t="n">
        <v>62</v>
      </c>
      <c r="B63" t="inlineStr">
        <is>
          <t>Trinidad and Tobago</t>
        </is>
      </c>
      <c r="C63" t="inlineStr">
        <is>
          <t>Point Lisas steel plant (ex-ArcelorMittal Point Lisas)</t>
        </is>
      </c>
      <c r="D63" t="inlineStr">
        <is>
          <t>TT Iron Steel Co (ex-ArcelorMittal)</t>
        </is>
      </c>
      <c r="E63" t="inlineStr">
        <is>
          <t>Steel DRI</t>
        </is>
      </c>
      <c r="F63" t="inlineStr">
        <is>
          <t>DRI (3 Midrex modules), EAF steel</t>
        </is>
      </c>
      <c r="G63" t="n">
        <v>2200</v>
      </c>
      <c r="H63" t="inlineStr">
        <is>
          <t>kt/yr DRI</t>
        </is>
      </c>
      <c r="I63" t="inlineStr">
        <is>
          <t>verified on source page</t>
        </is>
      </c>
      <c r="J63" t="inlineStr">
        <is>
          <t>idle</t>
        </is>
      </c>
      <c r="K63" t="inlineStr">
        <is>
          <t>2016-03</t>
        </is>
      </c>
      <c r="L63" t="inlineStr">
        <is>
          <t>Point Lisas</t>
        </is>
      </c>
      <c r="M63" t="inlineStr">
        <is>
          <t>Couva-Tabaquite-Talparo</t>
        </is>
      </c>
      <c r="N63" t="n">
        <v>10.403605</v>
      </c>
      <c r="O63" t="n">
        <v>-61.482939</v>
      </c>
      <c r="P63" t="inlineStr">
        <is>
          <t>GEM wiki (plant)</t>
        </is>
      </c>
      <c r="Q63" t="n">
        <v>2200</v>
      </c>
      <c r="R63" t="n">
        <v>1.688</v>
      </c>
      <c r="S63" t="inlineStr">
        <is>
          <t>Estimate: 2,200 kt DRI/HBI/yr x 0.28 mcm per kt DRI/HBI / 365, at nameplate</t>
        </is>
      </c>
      <c r="T63" t="inlineStr">
        <is>
          <t>Idle</t>
        </is>
      </c>
      <c r="U63" t="inlineStr">
        <is>
          <t>Shut Mar-2016; sold to TT Iron &amp; Steel, restart (and later hydrogen conversion) announced but not confirmed.</t>
        </is>
      </c>
      <c r="V63" t="inlineStr">
        <is>
          <t>https://www.gem.wiki/ArcelorMittal_Point_Lisas_steel_plant</t>
        </is>
      </c>
    </row>
    <row r="64">
      <c r="A64" t="n">
        <v>63</v>
      </c>
      <c r="B64" t="inlineStr">
        <is>
          <t>Trinidad and Tobago</t>
        </is>
      </c>
      <c r="C64" t="inlineStr">
        <is>
          <t>Trinidad Cement Ltd (TCL) Claxton Bay</t>
        </is>
      </c>
      <c r="D64" t="inlineStr">
        <is>
          <t>Trinidad Cement Ltd (CEMEX 69.8%)</t>
        </is>
      </c>
      <c r="E64" t="inlineStr">
        <is>
          <t>Cement</t>
        </is>
      </c>
      <c r="F64" t="inlineStr">
        <is>
          <t>Cement</t>
        </is>
      </c>
      <c r="G64" t="n">
        <v>2500</v>
      </c>
      <c r="H64" t="inlineStr">
        <is>
          <t>kt/yr cement</t>
        </is>
      </c>
      <c r="I64" t="inlineStr">
        <is>
          <t>verified on source page</t>
        </is>
      </c>
      <c r="J64" t="inlineStr">
        <is>
          <t>operating</t>
        </is>
      </c>
      <c r="K64" t="inlineStr">
        <is>
          <t>2026</t>
        </is>
      </c>
      <c r="L64" t="inlineStr">
        <is>
          <t>Claxton Bay</t>
        </is>
      </c>
      <c r="M64" t="inlineStr">
        <is>
          <t>Couva-Tabaquite-Talparo</t>
        </is>
      </c>
      <c r="N64" t="n">
        <v>10.345</v>
      </c>
      <c r="O64" t="n">
        <v>-61.46</v>
      </c>
      <c r="P64" t="inlineStr">
        <is>
          <t>approx (town)</t>
        </is>
      </c>
      <c r="Q64" t="n">
        <v>2500</v>
      </c>
      <c r="R64" t="n">
        <v>0.548</v>
      </c>
      <c r="S64" t="inlineStr">
        <is>
          <t>Estimate: 2,500 kt cement/yr x 0.08 mcm per kt cement / 365, at nameplate</t>
        </is>
      </c>
      <c r="T64" t="inlineStr">
        <is>
          <t>Operating</t>
        </is>
      </c>
      <c r="U64" t="inlineStr">
        <is>
          <t>Gas-fired: MEEI gas utilisation reports a 'Cement Manufacture' sector (~10 MMscf/d in 2026).</t>
        </is>
      </c>
      <c r="V64" t="inlineStr">
        <is>
          <t>https://pubs.usgs.gov/myb/vol3/2019/myb3-2019-caribbean.xlsx ; https://www.energy.gov.tt/</t>
        </is>
      </c>
    </row>
    <row r="65">
      <c r="A65" t="n">
        <v>64</v>
      </c>
      <c r="B65" t="inlineStr">
        <is>
          <t>Venezuela</t>
        </is>
      </c>
      <c r="C65" t="inlineStr">
        <is>
          <t>Ana Maria Campos complex (El Tablazo)</t>
        </is>
      </c>
      <c r="D65" t="inlineStr">
        <is>
          <t>Pequiven (state)</t>
        </is>
      </c>
      <c r="E65" t="inlineStr">
        <is>
          <t>Ammonia/urea</t>
        </is>
      </c>
      <c r="F65" t="inlineStr">
        <is>
          <t>Ammonia, urea</t>
        </is>
      </c>
      <c r="G65" t="n">
        <v>300</v>
      </c>
      <c r="H65" t="inlineStr">
        <is>
          <t>kt/yr ammonia</t>
        </is>
      </c>
      <c r="I65" t="inlineStr">
        <is>
          <t>verified on source page</t>
        </is>
      </c>
      <c r="J65" t="inlineStr">
        <is>
          <t>operating (low utilisation)</t>
        </is>
      </c>
      <c r="K65" t="inlineStr">
        <is>
          <t>2022</t>
        </is>
      </c>
      <c r="L65" t="inlineStr">
        <is>
          <t>Los Puertos de Altagracia</t>
        </is>
      </c>
      <c r="M65" t="inlineStr">
        <is>
          <t>Zulia</t>
        </is>
      </c>
      <c r="N65" t="n">
        <v>10.75</v>
      </c>
      <c r="O65" t="n">
        <v>-71.53</v>
      </c>
      <c r="P65" t="inlineStr">
        <is>
          <t>approx (complex)</t>
        </is>
      </c>
      <c r="Q65" t="n">
        <v>300</v>
      </c>
      <c r="R65" t="n">
        <v>0.822</v>
      </c>
      <c r="S65" t="inlineStr">
        <is>
          <t>Estimate: 300 kt ammonia/yr x 1 mcm per kt ammonia / 365, at nameplate</t>
        </is>
      </c>
      <c r="T65" t="inlineStr">
        <is>
          <t>Operating</t>
        </is>
      </c>
      <c r="U65" t="inlineStr">
        <is>
          <t>USGS 2022 'Nitrogen, ammonia' capacity. BCInsight (Jan-2026) cites 2.4 Mt/yr ammonia and 3.0 Mt/yr urea across the three complexes.</t>
        </is>
      </c>
      <c r="V65" t="inlineStr">
        <is>
          <t>https://pubs.usgs.gov/myb/vol3/2022/myb3-2022-venezuela.xlsx ; https://www.bcinsight.crugroup.com/2026/01/16/us-intervention-spotlights-venezuela-fertilizer-assets/</t>
        </is>
      </c>
    </row>
    <row r="66">
      <c r="A66" t="n">
        <v>65</v>
      </c>
      <c r="B66" t="inlineStr">
        <is>
          <t>Venezuela</t>
        </is>
      </c>
      <c r="C66" t="inlineStr">
        <is>
          <t>Jose Antonio Anzoategui complex (FertiNitro)</t>
        </is>
      </c>
      <c r="D66" t="inlineStr">
        <is>
          <t>Pequiven (state)</t>
        </is>
      </c>
      <c r="E66" t="inlineStr">
        <is>
          <t>Ammonia/urea</t>
        </is>
      </c>
      <c r="F66" t="inlineStr">
        <is>
          <t>Ammonia, urea</t>
        </is>
      </c>
      <c r="G66" t="n">
        <v>1200</v>
      </c>
      <c r="H66" t="inlineStr">
        <is>
          <t>kt/yr ammonia</t>
        </is>
      </c>
      <c r="I66" t="inlineStr">
        <is>
          <t>verified on source page</t>
        </is>
      </c>
      <c r="J66" t="inlineStr">
        <is>
          <t>operating (low utilisation)</t>
        </is>
      </c>
      <c r="K66" t="inlineStr">
        <is>
          <t>2022</t>
        </is>
      </c>
      <c r="L66" t="inlineStr">
        <is>
          <t>Jose</t>
        </is>
      </c>
      <c r="M66" t="inlineStr">
        <is>
          <t>Anzoategui</t>
        </is>
      </c>
      <c r="N66" t="n">
        <v>10.1</v>
      </c>
      <c r="O66" t="n">
        <v>-64.84999999999999</v>
      </c>
      <c r="P66" t="inlineStr">
        <is>
          <t>approx (complex)</t>
        </is>
      </c>
      <c r="Q66" t="n">
        <v>1200</v>
      </c>
      <c r="R66" t="n">
        <v>3.288</v>
      </c>
      <c r="S66" t="inlineStr">
        <is>
          <t>Estimate: 1,200 kt ammonia/yr x 1 mcm per kt ammonia / 365, at nameplate</t>
        </is>
      </c>
      <c r="T66" t="inlineStr">
        <is>
          <t>Operating</t>
        </is>
      </c>
      <c r="U66" t="inlineStr">
        <is>
          <t>FertiNitro: two ammonia trains (3,600 t/d) and two urea trains (4,400 t/d) per press reports. Urea exports to Brazil in 2025-26. USGS 2022 'Nitrogen, ammonia' capacity. BCInsight (Jan-2026) cites 2.4 Mt/yr ammonia and 3.0 Mt/yr urea across the three complexes.</t>
        </is>
      </c>
      <c r="V66" t="inlineStr">
        <is>
          <t>https://pubs.usgs.gov/myb/vol3/2022/myb3-2022-venezuela.xlsx ; https://www.bcinsight.crugroup.com/2026/01/16/us-intervention-spotlights-venezuela-fertilizer-assets/</t>
        </is>
      </c>
    </row>
    <row r="67">
      <c r="A67" t="n">
        <v>66</v>
      </c>
      <c r="B67" t="inlineStr">
        <is>
          <t>Venezuela</t>
        </is>
      </c>
      <c r="C67" t="inlineStr">
        <is>
          <t>Moron complex</t>
        </is>
      </c>
      <c r="D67" t="inlineStr">
        <is>
          <t>Pequiven (state)</t>
        </is>
      </c>
      <c r="E67" t="inlineStr">
        <is>
          <t>Ammonia/urea</t>
        </is>
      </c>
      <c r="F67" t="inlineStr">
        <is>
          <t>Ammonia, urea</t>
        </is>
      </c>
      <c r="G67" t="n">
        <v>200</v>
      </c>
      <c r="H67" t="inlineStr">
        <is>
          <t>kt/yr ammonia</t>
        </is>
      </c>
      <c r="I67" t="inlineStr">
        <is>
          <t>verified on source page</t>
        </is>
      </c>
      <c r="J67" t="inlineStr">
        <is>
          <t>operating (low utilisation)</t>
        </is>
      </c>
      <c r="K67" t="inlineStr">
        <is>
          <t>2022</t>
        </is>
      </c>
      <c r="L67" t="inlineStr">
        <is>
          <t>Moron</t>
        </is>
      </c>
      <c r="M67" t="inlineStr">
        <is>
          <t>Carabobo</t>
        </is>
      </c>
      <c r="N67" t="n">
        <v>10.48</v>
      </c>
      <c r="O67" t="n">
        <v>-68.2</v>
      </c>
      <c r="P67" t="inlineStr">
        <is>
          <t>approx (complex)</t>
        </is>
      </c>
      <c r="Q67" t="n">
        <v>200</v>
      </c>
      <c r="R67" t="n">
        <v>0.548</v>
      </c>
      <c r="S67" t="inlineStr">
        <is>
          <t>Estimate: 200 kt ammonia/yr x 1 mcm per kt ammonia / 365, at nameplate</t>
        </is>
      </c>
      <c r="T67" t="inlineStr">
        <is>
          <t>Operating</t>
        </is>
      </c>
      <c r="U67" t="inlineStr">
        <is>
          <t>USGS 2022 'Nitrogen, ammonia' capacity. BCInsight (Jan-2026) cites 2.4 Mt/yr ammonia and 3.0 Mt/yr urea across the three complexes.</t>
        </is>
      </c>
      <c r="V67" t="inlineStr">
        <is>
          <t>https://pubs.usgs.gov/myb/vol3/2022/myb3-2022-venezuela.xlsx ; https://www.bcinsight.crugroup.com/2026/01/16/us-intervention-spotlights-venezuela-fertilizer-assets/</t>
        </is>
      </c>
    </row>
    <row r="68">
      <c r="A68" t="n">
        <v>67</v>
      </c>
      <c r="B68" t="inlineStr">
        <is>
          <t>Venezuela</t>
        </is>
      </c>
      <c r="C68" t="inlineStr">
        <is>
          <t>Metor methanol</t>
        </is>
      </c>
      <c r="D68" t="inlineStr">
        <is>
          <t>Metor (Pequiven 37.5%, Mitsubishi / MGC 47.5%)</t>
        </is>
      </c>
      <c r="E68" t="inlineStr">
        <is>
          <t>Methanol</t>
        </is>
      </c>
      <c r="F68" t="inlineStr">
        <is>
          <t>Methanol</t>
        </is>
      </c>
      <c r="G68" t="n">
        <v>1600</v>
      </c>
      <c r="H68" t="inlineStr">
        <is>
          <t>kt/yr methanol</t>
        </is>
      </c>
      <c r="I68" t="inlineStr">
        <is>
          <t>UNVERIFIED: source page blocks automated fetch (figure from a search summary)</t>
        </is>
      </c>
      <c r="J68" t="inlineStr">
        <is>
          <t>operating (unverified)</t>
        </is>
      </c>
      <c r="K68" t="inlineStr">
        <is>
          <t>2020</t>
        </is>
      </c>
      <c r="L68" t="inlineStr">
        <is>
          <t>Jose</t>
        </is>
      </c>
      <c r="M68" t="inlineStr">
        <is>
          <t>Anzoategui</t>
        </is>
      </c>
      <c r="N68" t="n">
        <v>10.1</v>
      </c>
      <c r="O68" t="n">
        <v>-64.86</v>
      </c>
      <c r="P68" t="inlineStr">
        <is>
          <t>approx (complex)</t>
        </is>
      </c>
      <c r="Q68" t="n">
        <v>1600</v>
      </c>
      <c r="R68" t="n">
        <v>4.384</v>
      </c>
      <c r="S68" t="inlineStr">
        <is>
          <t>Estimate: 1,600 kt methanol/yr x 1 mcm per kt methanol / 365, at nameplate</t>
        </is>
      </c>
      <c r="T68" t="inlineStr">
        <is>
          <t>Operating</t>
        </is>
      </c>
      <c r="V68" t="inlineStr">
        <is>
          <t>https://www.argusmedia.com/en/news/2139932-eni-pequiven-restart-venezuelan-methanol-plant</t>
        </is>
      </c>
    </row>
    <row r="69">
      <c r="A69" t="n">
        <v>68</v>
      </c>
      <c r="B69" t="inlineStr">
        <is>
          <t>Venezuela</t>
        </is>
      </c>
      <c r="C69" t="inlineStr">
        <is>
          <t>Supermetanol</t>
        </is>
      </c>
      <c r="D69" t="inlineStr">
        <is>
          <t>Supermetanol (Pequiven 50%, Eni 50%)</t>
        </is>
      </c>
      <c r="E69" t="inlineStr">
        <is>
          <t>Methanol</t>
        </is>
      </c>
      <c r="F69" t="inlineStr">
        <is>
          <t>Methanol</t>
        </is>
      </c>
      <c r="G69" t="n">
        <v>800</v>
      </c>
      <c r="H69" t="inlineStr">
        <is>
          <t>kt/yr methanol</t>
        </is>
      </c>
      <c r="I69" t="inlineStr">
        <is>
          <t>UNVERIFIED: source page blocks automated fetch (figure from a search summary)</t>
        </is>
      </c>
      <c r="J69" t="inlineStr">
        <is>
          <t>operating (unverified)</t>
        </is>
      </c>
      <c r="K69" t="inlineStr">
        <is>
          <t>2020</t>
        </is>
      </c>
      <c r="L69" t="inlineStr">
        <is>
          <t>Jose</t>
        </is>
      </c>
      <c r="M69" t="inlineStr">
        <is>
          <t>Anzoategui</t>
        </is>
      </c>
      <c r="N69" t="n">
        <v>10.1</v>
      </c>
      <c r="O69" t="n">
        <v>-64.86</v>
      </c>
      <c r="P69" t="inlineStr">
        <is>
          <t>approx (complex)</t>
        </is>
      </c>
      <c r="Q69" t="n">
        <v>800</v>
      </c>
      <c r="R69" t="n">
        <v>2.192</v>
      </c>
      <c r="S69" t="inlineStr">
        <is>
          <t>Estimate: 800 kt methanol/yr x 1 mcm per kt methanol / 365, at nameplate</t>
        </is>
      </c>
      <c r="T69" t="inlineStr">
        <is>
          <t>Operating</t>
        </is>
      </c>
      <c r="U69" t="inlineStr">
        <is>
          <t>Restarted Sep-2020 after a 2019-20 outage (Argus).</t>
        </is>
      </c>
      <c r="V69" t="inlineStr">
        <is>
          <t>https://www.argusmedia.com/en/news/2139932-eni-pequiven-restart-venezuelan-methanol-plant</t>
        </is>
      </c>
    </row>
    <row r="70">
      <c r="A70" t="n">
        <v>69</v>
      </c>
      <c r="B70" t="inlineStr">
        <is>
          <t>Venezuela</t>
        </is>
      </c>
      <c r="C70" t="inlineStr">
        <is>
          <t>Briqven HBI plant</t>
        </is>
      </c>
      <c r="D70" t="inlineStr">
        <is>
          <t>Briquetera de Venezuela (CVG)</t>
        </is>
      </c>
      <c r="E70" t="inlineStr">
        <is>
          <t>Steel DRI</t>
        </is>
      </c>
      <c r="F70" t="inlineStr">
        <is>
          <t>Hot-briquetted iron</t>
        </is>
      </c>
      <c r="G70" t="n">
        <v>440</v>
      </c>
      <c r="H70" t="inlineStr">
        <is>
          <t>kt/yr HBI</t>
        </is>
      </c>
      <c r="I70" t="inlineStr">
        <is>
          <t>verified on source page</t>
        </is>
      </c>
      <c r="J70" t="inlineStr">
        <is>
          <t>operating (low utilisation)</t>
        </is>
      </c>
      <c r="K70" t="inlineStr">
        <is>
          <t>2022</t>
        </is>
      </c>
      <c r="L70" t="inlineStr">
        <is>
          <t>Ciudad Guayana (Matanzas)</t>
        </is>
      </c>
      <c r="M70" t="inlineStr">
        <is>
          <t>Bolivar</t>
        </is>
      </c>
      <c r="N70" t="n">
        <v>8.279999999999999</v>
      </c>
      <c r="O70" t="n">
        <v>-62.8</v>
      </c>
      <c r="P70" t="inlineStr">
        <is>
          <t>approx (Matanzas)</t>
        </is>
      </c>
      <c r="Q70" t="n">
        <v>440</v>
      </c>
      <c r="R70" t="n">
        <v>0.338</v>
      </c>
      <c r="S70" t="inlineStr">
        <is>
          <t>Estimate: 440 kt DRI/HBI/yr x 0.28 mcm per kt DRI/HBI / 365, at nameplate</t>
        </is>
      </c>
      <c r="T70" t="inlineStr">
        <is>
          <t>Operating</t>
        </is>
      </c>
      <c r="V70" t="inlineStr">
        <is>
          <t>https://pubs.usgs.gov/myb/vol3/2022/myb3-2022-venezuela.xlsx</t>
        </is>
      </c>
    </row>
    <row r="71">
      <c r="A71" t="n">
        <v>70</v>
      </c>
      <c r="B71" t="inlineStr">
        <is>
          <t>Venezuela</t>
        </is>
      </c>
      <c r="C71" t="inlineStr">
        <is>
          <t>Comsigua HBI plant</t>
        </is>
      </c>
      <c r="D71" t="inlineStr">
        <is>
          <t>Complejo Siderurgico de Guayana (CVG)</t>
        </is>
      </c>
      <c r="E71" t="inlineStr">
        <is>
          <t>Steel DRI</t>
        </is>
      </c>
      <c r="F71" t="inlineStr">
        <is>
          <t>Hot-briquetted iron</t>
        </is>
      </c>
      <c r="G71" t="n">
        <v>1000</v>
      </c>
      <c r="H71" t="inlineStr">
        <is>
          <t>kt/yr HBI</t>
        </is>
      </c>
      <c r="I71" t="inlineStr">
        <is>
          <t>verified on source page</t>
        </is>
      </c>
      <c r="J71" t="inlineStr">
        <is>
          <t>operating (low utilisation)</t>
        </is>
      </c>
      <c r="K71" t="inlineStr">
        <is>
          <t>2022</t>
        </is>
      </c>
      <c r="L71" t="inlineStr">
        <is>
          <t>Ciudad Guayana (Matanzas)</t>
        </is>
      </c>
      <c r="M71" t="inlineStr">
        <is>
          <t>Bolivar</t>
        </is>
      </c>
      <c r="N71" t="n">
        <v>8.297662000000001</v>
      </c>
      <c r="O71" t="n">
        <v>-62.780149</v>
      </c>
      <c r="P71" t="inlineStr">
        <is>
          <t>GEM wiki (plant)</t>
        </is>
      </c>
      <c r="Q71" t="n">
        <v>1000</v>
      </c>
      <c r="R71" t="n">
        <v>0.767</v>
      </c>
      <c r="S71" t="inlineStr">
        <is>
          <t>Estimate: 1,000 kt DRI/HBI/yr x 0.28 mcm per kt DRI/HBI / 365, at nameplate</t>
        </is>
      </c>
      <c r="T71" t="inlineStr">
        <is>
          <t>Operating</t>
        </is>
      </c>
      <c r="U71" t="inlineStr">
        <is>
          <t>Midrex; barely operating per GEM.</t>
        </is>
      </c>
      <c r="V71" t="inlineStr">
        <is>
          <t>https://pubs.usgs.gov/myb/vol3/2022/myb3-2022-venezuela.xlsx ; https://www.gem.wiki/CVG_Comsigua_DRI_plant</t>
        </is>
      </c>
    </row>
    <row r="72">
      <c r="A72" t="n">
        <v>71</v>
      </c>
      <c r="B72" t="inlineStr">
        <is>
          <t>Venezuela</t>
        </is>
      </c>
      <c r="C72" t="inlineStr">
        <is>
          <t>Ferrominera Orinoco HBI plant</t>
        </is>
      </c>
      <c r="D72" t="inlineStr">
        <is>
          <t>CVG Ferrominera Orinoco</t>
        </is>
      </c>
      <c r="E72" t="inlineStr">
        <is>
          <t>Steel DRI</t>
        </is>
      </c>
      <c r="F72" t="inlineStr">
        <is>
          <t>Hot-briquetted iron</t>
        </is>
      </c>
      <c r="G72" t="n">
        <v>1000</v>
      </c>
      <c r="H72" t="inlineStr">
        <is>
          <t>kt/yr HBI</t>
        </is>
      </c>
      <c r="I72" t="inlineStr">
        <is>
          <t>verified on source page</t>
        </is>
      </c>
      <c r="J72" t="inlineStr">
        <is>
          <t>operating (low utilisation)</t>
        </is>
      </c>
      <c r="K72" t="inlineStr">
        <is>
          <t>2022</t>
        </is>
      </c>
      <c r="L72" t="inlineStr">
        <is>
          <t>Ciudad Guayana (Matanzas)</t>
        </is>
      </c>
      <c r="M72" t="inlineStr">
        <is>
          <t>Bolivar</t>
        </is>
      </c>
      <c r="N72" t="n">
        <v>8.279999999999999</v>
      </c>
      <c r="O72" t="n">
        <v>-62.8</v>
      </c>
      <c r="P72" t="inlineStr">
        <is>
          <t>approx (Matanzas)</t>
        </is>
      </c>
      <c r="Q72" t="n">
        <v>1000</v>
      </c>
      <c r="R72" t="n">
        <v>0.767</v>
      </c>
      <c r="S72" t="inlineStr">
        <is>
          <t>Estimate: 1,000 kt DRI/HBI/yr x 0.28 mcm per kt DRI/HBI / 365, at nameplate</t>
        </is>
      </c>
      <c r="T72" t="inlineStr">
        <is>
          <t>Operating</t>
        </is>
      </c>
      <c r="U72" t="inlineStr">
        <is>
          <t>USGS 2022 row 'hot-briquetted iron plant, Puerto Ordaz' under CVG Ferrominera; plant identity not confirmed.</t>
        </is>
      </c>
      <c r="V72" t="inlineStr">
        <is>
          <t>https://pubs.usgs.gov/myb/vol3/2022/myb3-2022-venezuela.xlsx</t>
        </is>
      </c>
    </row>
    <row r="73">
      <c r="A73" t="n">
        <v>72</v>
      </c>
      <c r="B73" t="inlineStr">
        <is>
          <t>Venezuela</t>
        </is>
      </c>
      <c r="C73" t="inlineStr">
        <is>
          <t>Orinoco Iron (Briquetera del Orinoco) HBI</t>
        </is>
      </c>
      <c r="D73" t="inlineStr">
        <is>
          <t>Briquetera del Orinoco C.A. (state)</t>
        </is>
      </c>
      <c r="E73" t="inlineStr">
        <is>
          <t>Steel DRI</t>
        </is>
      </c>
      <c r="F73" t="inlineStr">
        <is>
          <t>Hot-briquetted iron</t>
        </is>
      </c>
      <c r="G73" t="n">
        <v>2200</v>
      </c>
      <c r="H73" t="inlineStr">
        <is>
          <t>kt/yr HBI</t>
        </is>
      </c>
      <c r="I73" t="inlineStr">
        <is>
          <t>verified on source page</t>
        </is>
      </c>
      <c r="J73" t="inlineStr">
        <is>
          <t>operating (low utilisation)</t>
        </is>
      </c>
      <c r="K73" t="inlineStr">
        <is>
          <t>2022</t>
        </is>
      </c>
      <c r="L73" t="inlineStr">
        <is>
          <t>Ciudad Guayana (Matanzas)</t>
        </is>
      </c>
      <c r="M73" t="inlineStr">
        <is>
          <t>Bolivar</t>
        </is>
      </c>
      <c r="N73" t="n">
        <v>8.274965</v>
      </c>
      <c r="O73" t="n">
        <v>-62.819282</v>
      </c>
      <c r="P73" t="inlineStr">
        <is>
          <t>GEM wiki (plant)</t>
        </is>
      </c>
      <c r="Q73" t="n">
        <v>2200</v>
      </c>
      <c r="R73" t="n">
        <v>1.688</v>
      </c>
      <c r="S73" t="inlineStr">
        <is>
          <t>Estimate: 2,200 kt DRI/HBI/yr x 0.28 mcm per kt DRI/HBI / 365, at nameplate</t>
        </is>
      </c>
      <c r="T73" t="inlineStr">
        <is>
          <t>Operating</t>
        </is>
      </c>
      <c r="U73" t="inlineStr">
        <is>
          <t>Finmet process; low utilisation (GEM).</t>
        </is>
      </c>
      <c r="V73" t="inlineStr">
        <is>
          <t>https://pubs.usgs.gov/myb/vol3/2022/myb3-2022-venezuela.xlsx ; https://www.gem.wiki/CVG_Briquetera_del_Orinoco</t>
        </is>
      </c>
    </row>
    <row r="74">
      <c r="A74" t="n">
        <v>73</v>
      </c>
      <c r="B74" t="inlineStr">
        <is>
          <t>Venezuela</t>
        </is>
      </c>
      <c r="C74" t="inlineStr">
        <is>
          <t>SIDOR Ciudad Guayana</t>
        </is>
      </c>
      <c r="D74" t="inlineStr">
        <is>
          <t>Siderurgica del Orinoco Alfredo Maneiro (CVG)</t>
        </is>
      </c>
      <c r="E74" t="inlineStr">
        <is>
          <t>Steel DRI</t>
        </is>
      </c>
      <c r="F74" t="inlineStr">
        <is>
          <t>DRI (Midrex/HyL), EAF steel (4,300 kt/yr), pellets</t>
        </is>
      </c>
      <c r="G74" t="n">
        <v>2680</v>
      </c>
      <c r="H74" t="inlineStr">
        <is>
          <t>kt/yr DRI</t>
        </is>
      </c>
      <c r="I74" t="inlineStr">
        <is>
          <t>verified on source page</t>
        </is>
      </c>
      <c r="J74" t="inlineStr">
        <is>
          <t>idle (mothballed)</t>
        </is>
      </c>
      <c r="K74" t="inlineStr">
        <is>
          <t>2025</t>
        </is>
      </c>
      <c r="L74" t="inlineStr">
        <is>
          <t>Ciudad Guayana (Matanzas)</t>
        </is>
      </c>
      <c r="M74" t="inlineStr">
        <is>
          <t>Bolivar</t>
        </is>
      </c>
      <c r="N74" t="n">
        <v>8.259073000000001</v>
      </c>
      <c r="O74" t="n">
        <v>-62.841126</v>
      </c>
      <c r="P74" t="inlineStr">
        <is>
          <t>GEM wiki (plant)</t>
        </is>
      </c>
      <c r="Q74" t="n">
        <v>2680</v>
      </c>
      <c r="R74" t="n">
        <v>2.056</v>
      </c>
      <c r="S74" t="inlineStr">
        <is>
          <t>Estimate: 2,680 kt DRI/HBI/yr x 0.28 mcm per kt DRI/HBI / 365, at nameplate</t>
        </is>
      </c>
      <c r="T74" t="inlineStr">
        <is>
          <t>Idle</t>
        </is>
      </c>
      <c r="U74" t="inlineStr">
        <is>
          <t>GEM lists 2,680 kt/yr iron (DRI) and 4,080 kt/yr steel capacity as mothballed; USGS 2022 lists 4,300 kt/yr steel. Some reports describe low-rate operation - status uncertain.</t>
        </is>
      </c>
      <c r="V74" t="inlineStr">
        <is>
          <t>https://www.gem.wiki/Sidor_steel_plant ; https://pubs.usgs.gov/myb/vol3/2022/myb3-2022-venezuela.xlsx</t>
        </is>
      </c>
    </row>
    <row r="75">
      <c r="A75" t="n">
        <v>74</v>
      </c>
      <c r="B75" t="inlineStr">
        <is>
          <t>Venezuela</t>
        </is>
      </c>
      <c r="C75" t="inlineStr">
        <is>
          <t>Venprecar / Briqcar HBI plant</t>
        </is>
      </c>
      <c r="D75" t="inlineStr">
        <is>
          <t>Briquetera del Caroni (CVG)</t>
        </is>
      </c>
      <c r="E75" t="inlineStr">
        <is>
          <t>Steel DRI</t>
        </is>
      </c>
      <c r="F75" t="inlineStr">
        <is>
          <t>Hot-briquetted iron</t>
        </is>
      </c>
      <c r="G75" t="n">
        <v>870</v>
      </c>
      <c r="H75" t="inlineStr">
        <is>
          <t>kt/yr HBI</t>
        </is>
      </c>
      <c r="I75" t="inlineStr">
        <is>
          <t>verified on source page</t>
        </is>
      </c>
      <c r="J75" t="inlineStr">
        <is>
          <t>operating (low utilisation)</t>
        </is>
      </c>
      <c r="K75" t="inlineStr">
        <is>
          <t>2022</t>
        </is>
      </c>
      <c r="L75" t="inlineStr">
        <is>
          <t>Ciudad Guayana (Matanzas)</t>
        </is>
      </c>
      <c r="M75" t="inlineStr">
        <is>
          <t>Bolivar</t>
        </is>
      </c>
      <c r="N75" t="n">
        <v>8.290141999999999</v>
      </c>
      <c r="O75" t="n">
        <v>-62.805419</v>
      </c>
      <c r="P75" t="inlineStr">
        <is>
          <t>GEM wiki (plant)</t>
        </is>
      </c>
      <c r="Q75" t="n">
        <v>870</v>
      </c>
      <c r="R75" t="n">
        <v>0.667</v>
      </c>
      <c r="S75" t="inlineStr">
        <is>
          <t>Estimate: 870 kt DRI/HBI/yr x 0.28 mcm per kt DRI/HBI / 365, at nameplate</t>
        </is>
      </c>
      <c r="T75" t="inlineStr">
        <is>
          <t>Operating</t>
        </is>
      </c>
      <c r="U75" t="inlineStr">
        <is>
          <t>GEM lists 820 kt/yr; USGS 2022 lists 870 kt/yr.</t>
        </is>
      </c>
      <c r="V75" t="inlineStr">
        <is>
          <t>https://pubs.usgs.gov/myb/vol3/2022/myb3-2022-venezuela.xlsx ; https://www.gem.wiki/CVG_Briquetera_del_Caron%C3%AD_DRI_plant</t>
        </is>
      </c>
    </row>
    <row r="76">
      <c r="A76" t="n">
        <v>75</v>
      </c>
      <c r="B76" t="inlineStr">
        <is>
          <t>Venezuela</t>
        </is>
      </c>
      <c r="C76" t="inlineStr">
        <is>
          <t>Bauxilum alumina refinery</t>
        </is>
      </c>
      <c r="D76" t="inlineStr">
        <is>
          <t>CVG Bauxilum</t>
        </is>
      </c>
      <c r="E76" t="inlineStr">
        <is>
          <t>Alumina</t>
        </is>
      </c>
      <c r="F76" t="inlineStr">
        <is>
          <t>Alumina</t>
        </is>
      </c>
      <c r="G76" t="n">
        <v>2000</v>
      </c>
      <c r="H76" t="inlineStr">
        <is>
          <t>kt/yr alumina</t>
        </is>
      </c>
      <c r="I76" t="inlineStr">
        <is>
          <t>verified on source page</t>
        </is>
      </c>
      <c r="J76" t="inlineStr">
        <is>
          <t>operating (low utilisation, unverified)</t>
        </is>
      </c>
      <c r="K76" t="inlineStr">
        <is>
          <t>2022</t>
        </is>
      </c>
      <c r="L76" t="inlineStr">
        <is>
          <t>Puerto Ordaz</t>
        </is>
      </c>
      <c r="M76" t="inlineStr">
        <is>
          <t>Bolivar</t>
        </is>
      </c>
      <c r="N76" t="n">
        <v>8.300000000000001</v>
      </c>
      <c r="O76" t="n">
        <v>-62.75</v>
      </c>
      <c r="P76" t="inlineStr">
        <is>
          <t>approx (city)</t>
        </is>
      </c>
      <c r="S76" t="inlineStr">
        <is>
          <t>No estimate (see notes)</t>
        </is>
      </c>
      <c r="T76" t="inlineStr">
        <is>
          <t>Operating</t>
        </is>
      </c>
      <c r="U76" t="inlineStr">
        <is>
          <t>Fuel not confirmed, so no gas estimate.</t>
        </is>
      </c>
      <c r="V76" t="inlineStr">
        <is>
          <t>https://pubs.usgs.gov/myb/vol3/2022/myb3-2022-venezuela.xlsx</t>
        </is>
      </c>
    </row>
    <row r="77">
      <c r="A77" t="n">
        <v>76</v>
      </c>
      <c r="B77" t="inlineStr">
        <is>
          <t>Venezuela</t>
        </is>
      </c>
      <c r="C77" t="inlineStr">
        <is>
          <t>Cerro Azul (Cemento Cerro Azul) cement plant</t>
        </is>
      </c>
      <c r="D77" t="inlineStr">
        <is>
          <t>Corporacion Socialista del Cemento (state)</t>
        </is>
      </c>
      <c r="E77" t="inlineStr">
        <is>
          <t>Cement</t>
        </is>
      </c>
      <c r="F77" t="inlineStr">
        <is>
          <t>Cement</t>
        </is>
      </c>
      <c r="G77" t="n">
        <v>1000</v>
      </c>
      <c r="H77" t="inlineStr">
        <is>
          <t>kt/yr cement</t>
        </is>
      </c>
      <c r="I77" t="inlineStr">
        <is>
          <t>verified on source page</t>
        </is>
      </c>
      <c r="J77" t="inlineStr">
        <is>
          <t>status unverified</t>
        </is>
      </c>
      <c r="K77" t="inlineStr">
        <is>
          <t>2022</t>
        </is>
      </c>
      <c r="L77" t="inlineStr">
        <is>
          <t>Cerro Azul</t>
        </is>
      </c>
      <c r="M77" t="inlineStr">
        <is>
          <t>Monagas</t>
        </is>
      </c>
      <c r="N77" t="n">
        <v>9.85</v>
      </c>
      <c r="O77" t="n">
        <v>-63.25</v>
      </c>
      <c r="P77" t="inlineStr">
        <is>
          <t>approx (town)</t>
        </is>
      </c>
      <c r="S77" t="inlineStr">
        <is>
          <t>No estimate (see notes)</t>
        </is>
      </c>
      <c r="T77" t="inlineStr">
        <is>
          <t>Status unverified</t>
        </is>
      </c>
      <c r="U77" t="inlineStr">
        <is>
          <t>Kiln fuel not confirmed in sources found, so no gas estimate.</t>
        </is>
      </c>
      <c r="V77" t="inlineStr">
        <is>
          <t>https://pubs.usgs.gov/myb/vol3/2022/myb3-2022-venezuela.xlsx</t>
        </is>
      </c>
    </row>
    <row r="78">
      <c r="A78" t="n">
        <v>77</v>
      </c>
      <c r="B78" t="inlineStr">
        <is>
          <t>Venezuela</t>
        </is>
      </c>
      <c r="C78" t="inlineStr">
        <is>
          <t>Cumarebo (Industria Venezolana de Cementos) cement plant</t>
        </is>
      </c>
      <c r="D78" t="inlineStr">
        <is>
          <t>Corporacion Socialista del Cemento (state)</t>
        </is>
      </c>
      <c r="E78" t="inlineStr">
        <is>
          <t>Cement</t>
        </is>
      </c>
      <c r="F78" t="inlineStr">
        <is>
          <t>Cement</t>
        </is>
      </c>
      <c r="G78" t="n">
        <v>1590</v>
      </c>
      <c r="H78" t="inlineStr">
        <is>
          <t>kt/yr cement</t>
        </is>
      </c>
      <c r="I78" t="inlineStr">
        <is>
          <t>verified on source page</t>
        </is>
      </c>
      <c r="J78" t="inlineStr">
        <is>
          <t>status unverified</t>
        </is>
      </c>
      <c r="K78" t="inlineStr">
        <is>
          <t>2022</t>
        </is>
      </c>
      <c r="L78" t="inlineStr">
        <is>
          <t>Puerto Cumarebo</t>
        </is>
      </c>
      <c r="M78" t="inlineStr">
        <is>
          <t>Falcon</t>
        </is>
      </c>
      <c r="N78" t="n">
        <v>11.48</v>
      </c>
      <c r="O78" t="n">
        <v>-69.34999999999999</v>
      </c>
      <c r="P78" t="inlineStr">
        <is>
          <t>approx (town)</t>
        </is>
      </c>
      <c r="S78" t="inlineStr">
        <is>
          <t>No estimate (see notes)</t>
        </is>
      </c>
      <c r="T78" t="inlineStr">
        <is>
          <t>Status unverified</t>
        </is>
      </c>
      <c r="U78" t="inlineStr">
        <is>
          <t>Kiln fuel not confirmed in sources found, so no gas estimate.</t>
        </is>
      </c>
      <c r="V78" t="inlineStr">
        <is>
          <t>https://pubs.usgs.gov/myb/vol3/2022/myb3-2022-venezuela.xlsx</t>
        </is>
      </c>
    </row>
    <row r="79">
      <c r="A79" t="n">
        <v>78</v>
      </c>
      <c r="B79" t="inlineStr">
        <is>
          <t>Venezuela</t>
        </is>
      </c>
      <c r="C79" t="inlineStr">
        <is>
          <t>Guayana (Venezolana de Cementos) cement plant</t>
        </is>
      </c>
      <c r="D79" t="inlineStr">
        <is>
          <t>Corporacion Socialista del Cemento (state)</t>
        </is>
      </c>
      <c r="E79" t="inlineStr">
        <is>
          <t>Cement</t>
        </is>
      </c>
      <c r="F79" t="inlineStr">
        <is>
          <t>Cement</t>
        </is>
      </c>
      <c r="G79" t="n">
        <v>330</v>
      </c>
      <c r="H79" t="inlineStr">
        <is>
          <t>kt/yr cement</t>
        </is>
      </c>
      <c r="I79" t="inlineStr">
        <is>
          <t>verified on source page</t>
        </is>
      </c>
      <c r="J79" t="inlineStr">
        <is>
          <t>status unverified</t>
        </is>
      </c>
      <c r="K79" t="inlineStr">
        <is>
          <t>2022</t>
        </is>
      </c>
      <c r="L79" t="inlineStr">
        <is>
          <t>Ciudad Guayana</t>
        </is>
      </c>
      <c r="M79" t="inlineStr">
        <is>
          <t>Bolivar</t>
        </is>
      </c>
      <c r="N79" t="n">
        <v>8.300000000000001</v>
      </c>
      <c r="O79" t="n">
        <v>-62.7</v>
      </c>
      <c r="P79" t="inlineStr">
        <is>
          <t>approx (town)</t>
        </is>
      </c>
      <c r="S79" t="inlineStr">
        <is>
          <t>No estimate (see notes)</t>
        </is>
      </c>
      <c r="T79" t="inlineStr">
        <is>
          <t>Status unverified</t>
        </is>
      </c>
      <c r="U79" t="inlineStr">
        <is>
          <t>Kiln fuel not confirmed in sources found, so no gas estimate.</t>
        </is>
      </c>
      <c r="V79" t="inlineStr">
        <is>
          <t>https://pubs.usgs.gov/myb/vol3/2022/myb3-2022-venezuela.xlsx</t>
        </is>
      </c>
    </row>
    <row r="80">
      <c r="A80" t="n">
        <v>79</v>
      </c>
      <c r="B80" t="inlineStr">
        <is>
          <t>Venezuela</t>
        </is>
      </c>
      <c r="C80" t="inlineStr">
        <is>
          <t>Lara (Venezolana de Cementos) cement plant</t>
        </is>
      </c>
      <c r="D80" t="inlineStr">
        <is>
          <t>Corporacion Socialista del Cemento (state)</t>
        </is>
      </c>
      <c r="E80" t="inlineStr">
        <is>
          <t>Cement</t>
        </is>
      </c>
      <c r="F80" t="inlineStr">
        <is>
          <t>Cement</t>
        </is>
      </c>
      <c r="G80" t="n">
        <v>490</v>
      </c>
      <c r="H80" t="inlineStr">
        <is>
          <t>kt/yr cement</t>
        </is>
      </c>
      <c r="I80" t="inlineStr">
        <is>
          <t>verified on source page</t>
        </is>
      </c>
      <c r="J80" t="inlineStr">
        <is>
          <t>status unverified</t>
        </is>
      </c>
      <c r="K80" t="inlineStr">
        <is>
          <t>2022</t>
        </is>
      </c>
      <c r="L80" t="inlineStr">
        <is>
          <t>Barquisimeto area</t>
        </is>
      </c>
      <c r="M80" t="inlineStr">
        <is>
          <t>Lara</t>
        </is>
      </c>
      <c r="N80" t="n">
        <v>10.05</v>
      </c>
      <c r="O80" t="n">
        <v>-69.3</v>
      </c>
      <c r="P80" t="inlineStr">
        <is>
          <t>approx (town)</t>
        </is>
      </c>
      <c r="S80" t="inlineStr">
        <is>
          <t>No estimate (see notes)</t>
        </is>
      </c>
      <c r="T80" t="inlineStr">
        <is>
          <t>Status unverified</t>
        </is>
      </c>
      <c r="U80" t="inlineStr">
        <is>
          <t>Kiln fuel not confirmed in sources found, so no gas estimate.</t>
        </is>
      </c>
      <c r="V80" t="inlineStr">
        <is>
          <t>https://pubs.usgs.gov/myb/vol3/2022/myb3-2022-venezuela.xlsx</t>
        </is>
      </c>
    </row>
    <row r="81">
      <c r="A81" t="n">
        <v>80</v>
      </c>
      <c r="B81" t="inlineStr">
        <is>
          <t>Venezuela</t>
        </is>
      </c>
      <c r="C81" t="inlineStr">
        <is>
          <t>Llanadas de Monay (Cemento Andino) cement plant</t>
        </is>
      </c>
      <c r="D81" t="inlineStr">
        <is>
          <t>Corporacion Socialista del Cemento (state)</t>
        </is>
      </c>
      <c r="E81" t="inlineStr">
        <is>
          <t>Cement</t>
        </is>
      </c>
      <c r="F81" t="inlineStr">
        <is>
          <t>Cement</t>
        </is>
      </c>
      <c r="G81" t="n">
        <v>1350</v>
      </c>
      <c r="H81" t="inlineStr">
        <is>
          <t>kt/yr cement</t>
        </is>
      </c>
      <c r="I81" t="inlineStr">
        <is>
          <t>verified on source page</t>
        </is>
      </c>
      <c r="J81" t="inlineStr">
        <is>
          <t>status unverified</t>
        </is>
      </c>
      <c r="K81" t="inlineStr">
        <is>
          <t>2022</t>
        </is>
      </c>
      <c r="L81" t="inlineStr">
        <is>
          <t>Monay</t>
        </is>
      </c>
      <c r="M81" t="inlineStr">
        <is>
          <t>Trujillo</t>
        </is>
      </c>
      <c r="N81" t="n">
        <v>9.550000000000001</v>
      </c>
      <c r="O81" t="n">
        <v>-70.45</v>
      </c>
      <c r="P81" t="inlineStr">
        <is>
          <t>approx (town)</t>
        </is>
      </c>
      <c r="S81" t="inlineStr">
        <is>
          <t>No estimate (see notes)</t>
        </is>
      </c>
      <c r="T81" t="inlineStr">
        <is>
          <t>Status unverified</t>
        </is>
      </c>
      <c r="U81" t="inlineStr">
        <is>
          <t>Kiln fuel not confirmed in sources found, so no gas estimate.</t>
        </is>
      </c>
      <c r="V81" t="inlineStr">
        <is>
          <t>https://pubs.usgs.gov/myb/vol3/2022/myb3-2022-venezuela.xlsx</t>
        </is>
      </c>
    </row>
    <row r="82">
      <c r="A82" t="n">
        <v>81</v>
      </c>
      <c r="B82" t="inlineStr">
        <is>
          <t>Venezuela</t>
        </is>
      </c>
      <c r="C82" t="inlineStr">
        <is>
          <t>Mara (Venezolana de Cementos) cement plant</t>
        </is>
      </c>
      <c r="D82" t="inlineStr">
        <is>
          <t>Corporacion Socialista del Cemento (state)</t>
        </is>
      </c>
      <c r="E82" t="inlineStr">
        <is>
          <t>Cement</t>
        </is>
      </c>
      <c r="F82" t="inlineStr">
        <is>
          <t>Cement</t>
        </is>
      </c>
      <c r="G82" t="n">
        <v>730</v>
      </c>
      <c r="H82" t="inlineStr">
        <is>
          <t>kt/yr cement</t>
        </is>
      </c>
      <c r="I82" t="inlineStr">
        <is>
          <t>verified on source page</t>
        </is>
      </c>
      <c r="J82" t="inlineStr">
        <is>
          <t>status unverified</t>
        </is>
      </c>
      <c r="K82" t="inlineStr">
        <is>
          <t>2022</t>
        </is>
      </c>
      <c r="L82" t="inlineStr">
        <is>
          <t>Mara</t>
        </is>
      </c>
      <c r="M82" t="inlineStr">
        <is>
          <t>Zulia</t>
        </is>
      </c>
      <c r="N82" t="n">
        <v>10.95</v>
      </c>
      <c r="O82" t="n">
        <v>-71.8</v>
      </c>
      <c r="P82" t="inlineStr">
        <is>
          <t>approx (town)</t>
        </is>
      </c>
      <c r="S82" t="inlineStr">
        <is>
          <t>No estimate (see notes)</t>
        </is>
      </c>
      <c r="T82" t="inlineStr">
        <is>
          <t>Status unverified</t>
        </is>
      </c>
      <c r="U82" t="inlineStr">
        <is>
          <t>Kiln fuel not confirmed in sources found, so no gas estimate.</t>
        </is>
      </c>
      <c r="V82" t="inlineStr">
        <is>
          <t>https://pubs.usgs.gov/myb/vol3/2022/myb3-2022-venezuela.xlsx</t>
        </is>
      </c>
    </row>
    <row r="83">
      <c r="A83" t="n">
        <v>82</v>
      </c>
      <c r="B83" t="inlineStr">
        <is>
          <t>Venezuela</t>
        </is>
      </c>
      <c r="C83" t="inlineStr">
        <is>
          <t>Ocumare (Fabrica Nacional de Cementos) cement plant</t>
        </is>
      </c>
      <c r="D83" t="inlineStr">
        <is>
          <t>Corporacion Socialista del Cemento (state)</t>
        </is>
      </c>
      <c r="E83" t="inlineStr">
        <is>
          <t>Cement</t>
        </is>
      </c>
      <c r="F83" t="inlineStr">
        <is>
          <t>Cement</t>
        </is>
      </c>
      <c r="G83" t="n">
        <v>1210</v>
      </c>
      <c r="H83" t="inlineStr">
        <is>
          <t>kt/yr cement</t>
        </is>
      </c>
      <c r="I83" t="inlineStr">
        <is>
          <t>verified on source page</t>
        </is>
      </c>
      <c r="J83" t="inlineStr">
        <is>
          <t>status unverified</t>
        </is>
      </c>
      <c r="K83" t="inlineStr">
        <is>
          <t>2022</t>
        </is>
      </c>
      <c r="L83" t="inlineStr">
        <is>
          <t>Ocumare del Tuy</t>
        </is>
      </c>
      <c r="M83" t="inlineStr">
        <is>
          <t>Miranda</t>
        </is>
      </c>
      <c r="N83" t="n">
        <v>10.12</v>
      </c>
      <c r="O83" t="n">
        <v>-66.78</v>
      </c>
      <c r="P83" t="inlineStr">
        <is>
          <t>approx (town)</t>
        </is>
      </c>
      <c r="S83" t="inlineStr">
        <is>
          <t>No estimate (see notes)</t>
        </is>
      </c>
      <c r="T83" t="inlineStr">
        <is>
          <t>Status unverified</t>
        </is>
      </c>
      <c r="U83" t="inlineStr">
        <is>
          <t>Kiln fuel not confirmed in sources found, so no gas estimate.</t>
        </is>
      </c>
      <c r="V83" t="inlineStr">
        <is>
          <t>https://pubs.usgs.gov/myb/vol3/2022/myb3-2022-venezuela.xlsx</t>
        </is>
      </c>
    </row>
    <row r="84">
      <c r="A84" t="n">
        <v>83</v>
      </c>
      <c r="B84" t="inlineStr">
        <is>
          <t>Venezuela</t>
        </is>
      </c>
      <c r="C84" t="inlineStr">
        <is>
          <t>Pertigalete (Venezolana de Cementos) cement plant</t>
        </is>
      </c>
      <c r="D84" t="inlineStr">
        <is>
          <t>Corporacion Socialista del Cemento (state)</t>
        </is>
      </c>
      <c r="E84" t="inlineStr">
        <is>
          <t>Cement</t>
        </is>
      </c>
      <c r="F84" t="inlineStr">
        <is>
          <t>Cement</t>
        </is>
      </c>
      <c r="G84" t="n">
        <v>2680</v>
      </c>
      <c r="H84" t="inlineStr">
        <is>
          <t>kt/yr cement</t>
        </is>
      </c>
      <c r="I84" t="inlineStr">
        <is>
          <t>verified on source page</t>
        </is>
      </c>
      <c r="J84" t="inlineStr">
        <is>
          <t>status unverified</t>
        </is>
      </c>
      <c r="K84" t="inlineStr">
        <is>
          <t>2022</t>
        </is>
      </c>
      <c r="L84" t="inlineStr">
        <is>
          <t>Pertigalete</t>
        </is>
      </c>
      <c r="M84" t="inlineStr">
        <is>
          <t>Anzoategui</t>
        </is>
      </c>
      <c r="N84" t="n">
        <v>10.24</v>
      </c>
      <c r="O84" t="n">
        <v>-64.56999999999999</v>
      </c>
      <c r="P84" t="inlineStr">
        <is>
          <t>approx (town)</t>
        </is>
      </c>
      <c r="S84" t="inlineStr">
        <is>
          <t>No estimate (see notes)</t>
        </is>
      </c>
      <c r="T84" t="inlineStr">
        <is>
          <t>Status unverified</t>
        </is>
      </c>
      <c r="U84" t="inlineStr">
        <is>
          <t>Kiln fuel not confirmed in sources found, so no gas estimate.</t>
        </is>
      </c>
      <c r="V84" t="inlineStr">
        <is>
          <t>https://pubs.usgs.gov/myb/vol3/2022/myb3-2022-venezuela.xlsx</t>
        </is>
      </c>
    </row>
    <row r="85">
      <c r="A85" t="n">
        <v>84</v>
      </c>
      <c r="B85" t="inlineStr">
        <is>
          <t>Venezuela</t>
        </is>
      </c>
      <c r="C85" t="inlineStr">
        <is>
          <t>San Sebastian (Industria Venezolana de Cementos) cement plant</t>
        </is>
      </c>
      <c r="D85" t="inlineStr">
        <is>
          <t>Corporacion Socialista del Cemento (state)</t>
        </is>
      </c>
      <c r="E85" t="inlineStr">
        <is>
          <t>Cement</t>
        </is>
      </c>
      <c r="F85" t="inlineStr">
        <is>
          <t>Cement</t>
        </is>
      </c>
      <c r="G85" t="n">
        <v>2710</v>
      </c>
      <c r="H85" t="inlineStr">
        <is>
          <t>kt/yr cement</t>
        </is>
      </c>
      <c r="I85" t="inlineStr">
        <is>
          <t>verified on source page</t>
        </is>
      </c>
      <c r="J85" t="inlineStr">
        <is>
          <t>status unverified</t>
        </is>
      </c>
      <c r="K85" t="inlineStr">
        <is>
          <t>2022</t>
        </is>
      </c>
      <c r="L85" t="inlineStr">
        <is>
          <t>San Sebastian de los Reyes</t>
        </is>
      </c>
      <c r="M85" t="inlineStr">
        <is>
          <t>Aragua</t>
        </is>
      </c>
      <c r="N85" t="n">
        <v>9.949999999999999</v>
      </c>
      <c r="O85" t="n">
        <v>-67.18000000000001</v>
      </c>
      <c r="P85" t="inlineStr">
        <is>
          <t>approx (town)</t>
        </is>
      </c>
      <c r="S85" t="inlineStr">
        <is>
          <t>No estimate (see notes)</t>
        </is>
      </c>
      <c r="T85" t="inlineStr">
        <is>
          <t>Status unverified</t>
        </is>
      </c>
      <c r="U85" t="inlineStr">
        <is>
          <t>Kiln fuel not confirmed in sources found, so no gas estimate.</t>
        </is>
      </c>
      <c r="V85" t="inlineStr">
        <is>
          <t>https://pubs.usgs.gov/myb/vol3/2022/myb3-2022-venezuela.xlsx</t>
        </is>
      </c>
    </row>
    <row r="86">
      <c r="A86" t="n">
        <v>85</v>
      </c>
      <c r="B86" t="inlineStr">
        <is>
          <t>Venezuela</t>
        </is>
      </c>
      <c r="C86" t="inlineStr">
        <is>
          <t>Tachira (Fabrica Nacional de Cementos) cement plant</t>
        </is>
      </c>
      <c r="D86" t="inlineStr">
        <is>
          <t>Corporacion Socialista del Cemento (state)</t>
        </is>
      </c>
      <c r="E86" t="inlineStr">
        <is>
          <t>Cement</t>
        </is>
      </c>
      <c r="F86" t="inlineStr">
        <is>
          <t>Cement</t>
        </is>
      </c>
      <c r="G86" t="n">
        <v>220</v>
      </c>
      <c r="H86" t="inlineStr">
        <is>
          <t>kt/yr cement</t>
        </is>
      </c>
      <c r="I86" t="inlineStr">
        <is>
          <t>verified on source page</t>
        </is>
      </c>
      <c r="J86" t="inlineStr">
        <is>
          <t>status unverified</t>
        </is>
      </c>
      <c r="K86" t="inlineStr">
        <is>
          <t>2022</t>
        </is>
      </c>
      <c r="L86" t="inlineStr">
        <is>
          <t>Palmira</t>
        </is>
      </c>
      <c r="M86" t="inlineStr">
        <is>
          <t>Tachira</t>
        </is>
      </c>
      <c r="N86" t="n">
        <v>7.84</v>
      </c>
      <c r="O86" t="n">
        <v>-72.22</v>
      </c>
      <c r="P86" t="inlineStr">
        <is>
          <t>approx (town)</t>
        </is>
      </c>
      <c r="S86" t="inlineStr">
        <is>
          <t>No estimate (see notes)</t>
        </is>
      </c>
      <c r="T86" t="inlineStr">
        <is>
          <t>Status unverified</t>
        </is>
      </c>
      <c r="U86" t="inlineStr">
        <is>
          <t>Kiln fuel not confirmed in sources found, so no gas estimate.</t>
        </is>
      </c>
      <c r="V86" t="inlineStr">
        <is>
          <t>https://pubs.usgs.gov/myb/vol3/2022/myb3-2022-venezuela.xlsx</t>
        </is>
      </c>
    </row>
    <row r="87">
      <c r="A87" t="n">
        <v>86</v>
      </c>
      <c r="B87" t="inlineStr">
        <is>
          <t>Venezuela</t>
        </is>
      </c>
      <c r="C87" t="inlineStr">
        <is>
          <t>Villa del Rosario (Cemento Catatumbo) cement plant</t>
        </is>
      </c>
      <c r="D87" t="inlineStr">
        <is>
          <t>Corporacion Socialista del Cemento (state)</t>
        </is>
      </c>
      <c r="E87" t="inlineStr">
        <is>
          <t>Cement</t>
        </is>
      </c>
      <c r="F87" t="inlineStr">
        <is>
          <t>Cement</t>
        </is>
      </c>
      <c r="G87" t="n">
        <v>650</v>
      </c>
      <c r="H87" t="inlineStr">
        <is>
          <t>kt/yr cement</t>
        </is>
      </c>
      <c r="I87" t="inlineStr">
        <is>
          <t>verified on source page</t>
        </is>
      </c>
      <c r="J87" t="inlineStr">
        <is>
          <t>status unverified</t>
        </is>
      </c>
      <c r="K87" t="inlineStr">
        <is>
          <t>2022</t>
        </is>
      </c>
      <c r="L87" t="inlineStr">
        <is>
          <t>Villa del Rosario</t>
        </is>
      </c>
      <c r="M87" t="inlineStr">
        <is>
          <t>Zulia</t>
        </is>
      </c>
      <c r="N87" t="n">
        <v>10.32</v>
      </c>
      <c r="O87" t="n">
        <v>-72.31</v>
      </c>
      <c r="P87" t="inlineStr">
        <is>
          <t>approx (town)</t>
        </is>
      </c>
      <c r="S87" t="inlineStr">
        <is>
          <t>No estimate (see notes)</t>
        </is>
      </c>
      <c r="T87" t="inlineStr">
        <is>
          <t>Status unverified</t>
        </is>
      </c>
      <c r="U87" t="inlineStr">
        <is>
          <t>Kiln fuel not confirmed in sources found, so no gas estimate.</t>
        </is>
      </c>
      <c r="V87" t="inlineStr">
        <is>
          <t>https://pubs.usgs.gov/myb/vol3/2022/myb3-2022-venezuela.xlsx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country</t>
        </is>
      </c>
      <c r="B1" t="inlineStr">
        <is>
          <t>sector</t>
        </is>
      </c>
      <c r="C1" t="inlineStr">
        <is>
          <t>plants</t>
        </is>
      </c>
      <c r="D1" t="inlineStr">
        <is>
          <t>operating</t>
        </is>
      </c>
      <c r="E1" t="inlineStr">
        <is>
          <t>idle_closed</t>
        </is>
      </c>
      <c r="F1" t="inlineStr">
        <is>
          <t>under_construction</t>
        </is>
      </c>
      <c r="G1" t="inlineStr">
        <is>
          <t>capacity_basis_operating</t>
        </is>
      </c>
      <c r="H1" t="inlineStr">
        <is>
          <t>capacity_basis_unit</t>
        </is>
      </c>
      <c r="I1" t="inlineStr">
        <is>
          <t>gas_mcm_d_operating</t>
        </is>
      </c>
      <c r="J1" t="inlineStr">
        <is>
          <t>gas_mcm_d_idle</t>
        </is>
      </c>
      <c r="K1" t="inlineStr">
        <is>
          <t>gas_mcm_d_under_construction</t>
        </is>
      </c>
    </row>
    <row r="2">
      <c r="A2" t="inlineStr">
        <is>
          <t>Argentina</t>
        </is>
      </c>
      <c r="B2" t="inlineStr">
        <is>
          <t>LNG liquefaction</t>
        </is>
      </c>
      <c r="C2" t="n">
        <v>1</v>
      </c>
      <c r="D2" t="n">
        <v>0</v>
      </c>
      <c r="E2" t="n">
        <v>0</v>
      </c>
      <c r="F2" t="n">
        <v>1</v>
      </c>
      <c r="H2" t="inlineStr">
        <is>
          <t>kt LNG/yr</t>
        </is>
      </c>
      <c r="K2" t="n">
        <v>9.73</v>
      </c>
    </row>
    <row r="3">
      <c r="B3" t="inlineStr">
        <is>
          <t>Ammonia/urea</t>
        </is>
      </c>
      <c r="C3" t="n">
        <v>1</v>
      </c>
      <c r="D3" t="n">
        <v>1</v>
      </c>
      <c r="E3" t="n">
        <v>0</v>
      </c>
      <c r="F3" t="n">
        <v>0</v>
      </c>
      <c r="G3" t="n">
        <v>790</v>
      </c>
      <c r="H3" t="inlineStr">
        <is>
          <t>kt ammonia/yr</t>
        </is>
      </c>
      <c r="I3" t="n">
        <v>2.16</v>
      </c>
    </row>
    <row r="4">
      <c r="B4" t="inlineStr">
        <is>
          <t>Methanol</t>
        </is>
      </c>
      <c r="C4" t="n">
        <v>1</v>
      </c>
      <c r="D4" t="n">
        <v>1</v>
      </c>
      <c r="E4" t="n">
        <v>0</v>
      </c>
      <c r="F4" t="n">
        <v>0</v>
      </c>
      <c r="G4" t="n">
        <v>400</v>
      </c>
      <c r="H4" t="inlineStr">
        <is>
          <t>kt methanol/yr</t>
        </is>
      </c>
      <c r="I4" t="n">
        <v>1.1</v>
      </c>
    </row>
    <row r="5">
      <c r="B5" t="inlineStr">
        <is>
          <t>Steel DRI</t>
        </is>
      </c>
      <c r="C5" t="n">
        <v>2</v>
      </c>
      <c r="D5" t="n">
        <v>2</v>
      </c>
      <c r="E5" t="n">
        <v>0</v>
      </c>
      <c r="F5" t="n">
        <v>0</v>
      </c>
      <c r="G5" t="n">
        <v>1670</v>
      </c>
      <c r="H5" t="inlineStr">
        <is>
          <t>kt DRI/HBI/yr</t>
        </is>
      </c>
      <c r="I5" t="n">
        <v>1.28</v>
      </c>
    </row>
    <row r="6">
      <c r="B6" t="inlineStr">
        <is>
          <t>Cement</t>
        </is>
      </c>
      <c r="C6" t="n">
        <v>3</v>
      </c>
      <c r="D6" t="n">
        <v>3</v>
      </c>
      <c r="E6" t="n">
        <v>0</v>
      </c>
      <c r="F6" t="n">
        <v>0</v>
      </c>
      <c r="H6" t="inlineStr">
        <is>
          <t>kt cement/yr</t>
        </is>
      </c>
    </row>
    <row r="7">
      <c r="B7" t="inlineStr">
        <is>
          <t>Petrochemical</t>
        </is>
      </c>
      <c r="C7" t="n">
        <v>1</v>
      </c>
      <c r="D7" t="n">
        <v>1</v>
      </c>
      <c r="E7" t="n">
        <v>0</v>
      </c>
      <c r="F7" t="n">
        <v>0</v>
      </c>
    </row>
    <row r="8">
      <c r="B8" t="inlineStr">
        <is>
          <t>All sectors</t>
        </is>
      </c>
      <c r="C8" t="n">
        <v>9</v>
      </c>
      <c r="D8" t="n">
        <v>8</v>
      </c>
      <c r="E8" t="n">
        <v>0</v>
      </c>
      <c r="F8" t="n">
        <v>1</v>
      </c>
      <c r="I8" t="n">
        <v>4.54</v>
      </c>
      <c r="K8" t="n">
        <v>9.73</v>
      </c>
    </row>
    <row r="9">
      <c r="A9" t="inlineStr">
        <is>
          <t>Bolivia</t>
        </is>
      </c>
      <c r="B9" t="inlineStr">
        <is>
          <t>Ammonia/urea</t>
        </is>
      </c>
      <c r="C9" t="n">
        <v>1</v>
      </c>
      <c r="D9" t="n">
        <v>1</v>
      </c>
      <c r="E9" t="n">
        <v>0</v>
      </c>
      <c r="F9" t="n">
        <v>0</v>
      </c>
      <c r="G9" t="n">
        <v>420</v>
      </c>
      <c r="H9" t="inlineStr">
        <is>
          <t>kt ammonia/yr</t>
        </is>
      </c>
      <c r="I9" t="n">
        <v>1.15</v>
      </c>
    </row>
    <row r="10">
      <c r="B10" t="inlineStr">
        <is>
          <t>Cement</t>
        </is>
      </c>
      <c r="C10" t="n">
        <v>4</v>
      </c>
      <c r="D10" t="n">
        <v>4</v>
      </c>
      <c r="E10" t="n">
        <v>0</v>
      </c>
      <c r="F10" t="n">
        <v>0</v>
      </c>
      <c r="G10" t="n">
        <v>3925</v>
      </c>
      <c r="H10" t="inlineStr">
        <is>
          <t>kt cement/yr</t>
        </is>
      </c>
      <c r="I10" t="n">
        <v>0.86</v>
      </c>
    </row>
    <row r="11">
      <c r="B11" t="inlineStr">
        <is>
          <t>All sectors</t>
        </is>
      </c>
      <c r="C11" t="n">
        <v>5</v>
      </c>
      <c r="D11" t="n">
        <v>5</v>
      </c>
      <c r="E11" t="n">
        <v>0</v>
      </c>
      <c r="F11" t="n">
        <v>0</v>
      </c>
      <c r="I11" t="n">
        <v>2.01</v>
      </c>
    </row>
    <row r="12">
      <c r="A12" t="inlineStr">
        <is>
          <t>Brazil</t>
        </is>
      </c>
      <c r="B12" t="inlineStr">
        <is>
          <t>Ammonia/urea</t>
        </is>
      </c>
      <c r="C12" t="n">
        <v>5</v>
      </c>
      <c r="D12" t="n">
        <v>4</v>
      </c>
      <c r="E12" t="n">
        <v>0</v>
      </c>
      <c r="F12" t="n">
        <v>1</v>
      </c>
      <c r="G12" t="n">
        <v>1092.5</v>
      </c>
      <c r="H12" t="inlineStr">
        <is>
          <t>kt ammonia/yr</t>
        </is>
      </c>
      <c r="I12" t="n">
        <v>3.15</v>
      </c>
      <c r="K12" t="n">
        <v>2.11</v>
      </c>
    </row>
    <row r="13">
      <c r="B13" t="inlineStr">
        <is>
          <t>Alumina</t>
        </is>
      </c>
      <c r="C13" t="n">
        <v>1</v>
      </c>
      <c r="D13" t="n">
        <v>1</v>
      </c>
      <c r="E13" t="n">
        <v>0</v>
      </c>
      <c r="F13" t="n">
        <v>0</v>
      </c>
      <c r="G13" t="n">
        <v>6400</v>
      </c>
      <c r="H13" t="inlineStr">
        <is>
          <t>kt alumina/yr</t>
        </is>
      </c>
      <c r="I13" t="n">
        <v>2.22</v>
      </c>
    </row>
    <row r="14">
      <c r="B14" t="inlineStr">
        <is>
          <t>Glass</t>
        </is>
      </c>
      <c r="C14" t="n">
        <v>4</v>
      </c>
      <c r="D14" t="n">
        <v>4</v>
      </c>
      <c r="E14" t="n">
        <v>0</v>
      </c>
      <c r="F14" t="n">
        <v>0</v>
      </c>
      <c r="G14" t="n">
        <v>2712.5</v>
      </c>
      <c r="H14" t="inlineStr">
        <is>
          <t>kt glass/yr</t>
        </is>
      </c>
      <c r="I14" t="n">
        <v>1.26</v>
      </c>
    </row>
    <row r="15">
      <c r="B15" t="inlineStr">
        <is>
          <t>Ceramics</t>
        </is>
      </c>
      <c r="C15" t="n">
        <v>4</v>
      </c>
      <c r="D15" t="n">
        <v>4</v>
      </c>
      <c r="E15" t="n">
        <v>0</v>
      </c>
      <c r="F15" t="n">
        <v>0</v>
      </c>
      <c r="G15" t="n">
        <v>268.9</v>
      </c>
      <c r="H15" t="inlineStr">
        <is>
          <t>million m2/yr</t>
        </is>
      </c>
      <c r="I15" t="n">
        <v>1.47</v>
      </c>
    </row>
    <row r="16">
      <c r="B16" t="inlineStr">
        <is>
          <t>Petrochemical</t>
        </is>
      </c>
      <c r="C16" t="n">
        <v>1</v>
      </c>
      <c r="D16" t="n">
        <v>1</v>
      </c>
      <c r="E16" t="n">
        <v>0</v>
      </c>
      <c r="F16" t="n">
        <v>0</v>
      </c>
    </row>
    <row r="17">
      <c r="B17" t="inlineStr">
        <is>
          <t>All sectors</t>
        </is>
      </c>
      <c r="C17" t="n">
        <v>15</v>
      </c>
      <c r="D17" t="n">
        <v>14</v>
      </c>
      <c r="E17" t="n">
        <v>0</v>
      </c>
      <c r="F17" t="n">
        <v>1</v>
      </c>
      <c r="I17" t="n">
        <v>8.1</v>
      </c>
      <c r="K17" t="n">
        <v>2.11</v>
      </c>
    </row>
    <row r="18">
      <c r="A18" t="inlineStr">
        <is>
          <t>Chile</t>
        </is>
      </c>
      <c r="B18" t="inlineStr">
        <is>
          <t>Methanol</t>
        </is>
      </c>
      <c r="C18" t="n">
        <v>1</v>
      </c>
      <c r="D18" t="n">
        <v>1</v>
      </c>
      <c r="E18" t="n">
        <v>0</v>
      </c>
      <c r="F18" t="n">
        <v>0</v>
      </c>
      <c r="G18" t="n">
        <v>1700</v>
      </c>
      <c r="H18" t="inlineStr">
        <is>
          <t>kt methanol/yr</t>
        </is>
      </c>
      <c r="I18" t="n">
        <v>4.66</v>
      </c>
    </row>
    <row r="19">
      <c r="B19" t="inlineStr">
        <is>
          <t>All sectors</t>
        </is>
      </c>
      <c r="C19" t="n">
        <v>1</v>
      </c>
      <c r="D19" t="n">
        <v>1</v>
      </c>
      <c r="E19" t="n">
        <v>0</v>
      </c>
      <c r="F19" t="n">
        <v>0</v>
      </c>
      <c r="I19" t="n">
        <v>4.66</v>
      </c>
    </row>
    <row r="20">
      <c r="A20" t="inlineStr">
        <is>
          <t>Colombia</t>
        </is>
      </c>
      <c r="B20" t="inlineStr">
        <is>
          <t>Ceramics</t>
        </is>
      </c>
      <c r="C20" t="n">
        <v>2</v>
      </c>
      <c r="D20" t="n">
        <v>2</v>
      </c>
      <c r="E20" t="n">
        <v>0</v>
      </c>
      <c r="F20" t="n">
        <v>0</v>
      </c>
      <c r="G20" t="n">
        <v>18.6</v>
      </c>
      <c r="H20" t="inlineStr">
        <is>
          <t>million m2/yr</t>
        </is>
      </c>
      <c r="I20" t="n">
        <v>0.1</v>
      </c>
    </row>
    <row r="21">
      <c r="B21" t="inlineStr">
        <is>
          <t>All sectors</t>
        </is>
      </c>
      <c r="C21" t="n">
        <v>2</v>
      </c>
      <c r="D21" t="n">
        <v>2</v>
      </c>
      <c r="E21" t="n">
        <v>0</v>
      </c>
      <c r="F21" t="n">
        <v>0</v>
      </c>
      <c r="I21" t="n">
        <v>0.1</v>
      </c>
    </row>
    <row r="22">
      <c r="A22" t="inlineStr">
        <is>
          <t>Ecuador</t>
        </is>
      </c>
      <c r="B22" t="inlineStr">
        <is>
          <t>LNG liquefaction</t>
        </is>
      </c>
      <c r="C22" t="n">
        <v>1</v>
      </c>
      <c r="D22" t="n">
        <v>1</v>
      </c>
      <c r="E22" t="n">
        <v>0</v>
      </c>
      <c r="F22" t="n">
        <v>0</v>
      </c>
      <c r="G22" t="n">
        <v>70</v>
      </c>
      <c r="H22" t="inlineStr">
        <is>
          <t>kt LNG/yr</t>
        </is>
      </c>
      <c r="I22" t="n">
        <v>0.28</v>
      </c>
    </row>
    <row r="23">
      <c r="B23" t="inlineStr">
        <is>
          <t>Ceramics</t>
        </is>
      </c>
      <c r="C23" t="n">
        <v>2</v>
      </c>
      <c r="D23" t="n">
        <v>2</v>
      </c>
      <c r="E23" t="n">
        <v>0</v>
      </c>
      <c r="F23" t="n">
        <v>0</v>
      </c>
      <c r="G23" t="n">
        <v>9.6</v>
      </c>
      <c r="H23" t="inlineStr">
        <is>
          <t>million m2/yr</t>
        </is>
      </c>
      <c r="I23" t="n">
        <v>0.05</v>
      </c>
    </row>
    <row r="24">
      <c r="B24" t="inlineStr">
        <is>
          <t>All sectors</t>
        </is>
      </c>
      <c r="C24" t="n">
        <v>3</v>
      </c>
      <c r="D24" t="n">
        <v>3</v>
      </c>
      <c r="E24" t="n">
        <v>0</v>
      </c>
      <c r="F24" t="n">
        <v>0</v>
      </c>
      <c r="I24" t="n">
        <v>0.33</v>
      </c>
    </row>
    <row r="25">
      <c r="A25" t="inlineStr">
        <is>
          <t>Jamaica</t>
        </is>
      </c>
      <c r="B25" t="inlineStr">
        <is>
          <t>Alumina</t>
        </is>
      </c>
      <c r="C25" t="n">
        <v>1</v>
      </c>
      <c r="D25" t="n">
        <v>1</v>
      </c>
      <c r="E25" t="n">
        <v>0</v>
      </c>
      <c r="F25" t="n">
        <v>0</v>
      </c>
      <c r="G25" t="n">
        <v>1400</v>
      </c>
      <c r="H25" t="inlineStr">
        <is>
          <t>kt alumina/yr</t>
        </is>
      </c>
      <c r="I25" t="n">
        <v>0.92</v>
      </c>
    </row>
    <row r="26">
      <c r="B26" t="inlineStr">
        <is>
          <t>All sectors</t>
        </is>
      </c>
      <c r="C26" t="n">
        <v>1</v>
      </c>
      <c r="D26" t="n">
        <v>1</v>
      </c>
      <c r="E26" t="n">
        <v>0</v>
      </c>
      <c r="F26" t="n">
        <v>0</v>
      </c>
      <c r="I26" t="n">
        <v>0.92</v>
      </c>
    </row>
    <row r="27">
      <c r="A27" t="inlineStr">
        <is>
          <t>Peru</t>
        </is>
      </c>
      <c r="B27" t="inlineStr">
        <is>
          <t>LNG liquefaction</t>
        </is>
      </c>
      <c r="C27" t="n">
        <v>1</v>
      </c>
      <c r="D27" t="n">
        <v>1</v>
      </c>
      <c r="E27" t="n">
        <v>0</v>
      </c>
      <c r="F27" t="n">
        <v>0</v>
      </c>
      <c r="G27" t="n">
        <v>4450</v>
      </c>
      <c r="H27" t="inlineStr">
        <is>
          <t>kt LNG/yr</t>
        </is>
      </c>
      <c r="I27" t="n">
        <v>17.68</v>
      </c>
    </row>
    <row r="28">
      <c r="B28" t="inlineStr">
        <is>
          <t>All sectors</t>
        </is>
      </c>
      <c r="C28" t="n">
        <v>1</v>
      </c>
      <c r="D28" t="n">
        <v>1</v>
      </c>
      <c r="E28" t="n">
        <v>0</v>
      </c>
      <c r="F28" t="n">
        <v>0</v>
      </c>
      <c r="I28" t="n">
        <v>17.68</v>
      </c>
    </row>
    <row r="29">
      <c r="A29" t="inlineStr">
        <is>
          <t>Trinidad and Tobago</t>
        </is>
      </c>
      <c r="B29" t="inlineStr">
        <is>
          <t>LNG liquefaction</t>
        </is>
      </c>
      <c r="C29" t="n">
        <v>4</v>
      </c>
      <c r="D29" t="n">
        <v>3</v>
      </c>
      <c r="E29" t="n">
        <v>1</v>
      </c>
      <c r="F29" t="n">
        <v>0</v>
      </c>
      <c r="G29" t="n">
        <v>11800</v>
      </c>
      <c r="H29" t="inlineStr">
        <is>
          <t>kt LNG/yr</t>
        </is>
      </c>
      <c r="I29" t="n">
        <v>46.88</v>
      </c>
      <c r="J29" t="n">
        <v>11.92</v>
      </c>
    </row>
    <row r="30">
      <c r="B30" t="inlineStr">
        <is>
          <t>Ammonia/urea</t>
        </is>
      </c>
      <c r="C30" t="n">
        <v>11</v>
      </c>
      <c r="D30" t="n">
        <v>6</v>
      </c>
      <c r="E30" t="n">
        <v>5</v>
      </c>
      <c r="F30" t="n">
        <v>0</v>
      </c>
      <c r="G30" t="n">
        <v>3595</v>
      </c>
      <c r="H30" t="inlineStr">
        <is>
          <t>kt ammonia/yr</t>
        </is>
      </c>
      <c r="I30" t="n">
        <v>9.85</v>
      </c>
      <c r="J30" t="n">
        <v>4.9</v>
      </c>
    </row>
    <row r="31">
      <c r="B31" t="inlineStr">
        <is>
          <t>Methanol</t>
        </is>
      </c>
      <c r="C31" t="n">
        <v>8</v>
      </c>
      <c r="D31" t="n">
        <v>5</v>
      </c>
      <c r="E31" t="n">
        <v>3</v>
      </c>
      <c r="F31" t="n">
        <v>0</v>
      </c>
      <c r="G31" t="n">
        <v>4590</v>
      </c>
      <c r="H31" t="inlineStr">
        <is>
          <t>kt methanol/yr</t>
        </is>
      </c>
      <c r="I31" t="n">
        <v>12.58</v>
      </c>
      <c r="J31" t="n">
        <v>8.640000000000001</v>
      </c>
    </row>
    <row r="32">
      <c r="B32" t="inlineStr">
        <is>
          <t>Steel DRI</t>
        </is>
      </c>
      <c r="C32" t="n">
        <v>2</v>
      </c>
      <c r="D32" t="n">
        <v>1</v>
      </c>
      <c r="E32" t="n">
        <v>1</v>
      </c>
      <c r="F32" t="n">
        <v>0</v>
      </c>
      <c r="G32" t="n">
        <v>2000</v>
      </c>
      <c r="H32" t="inlineStr">
        <is>
          <t>kt DRI/HBI/yr</t>
        </is>
      </c>
      <c r="I32" t="n">
        <v>1.53</v>
      </c>
      <c r="J32" t="n">
        <v>1.69</v>
      </c>
    </row>
    <row r="33">
      <c r="B33" t="inlineStr">
        <is>
          <t>Cement</t>
        </is>
      </c>
      <c r="C33" t="n">
        <v>1</v>
      </c>
      <c r="D33" t="n">
        <v>1</v>
      </c>
      <c r="E33" t="n">
        <v>0</v>
      </c>
      <c r="F33" t="n">
        <v>0</v>
      </c>
      <c r="G33" t="n">
        <v>2500</v>
      </c>
      <c r="H33" t="inlineStr">
        <is>
          <t>kt cement/yr</t>
        </is>
      </c>
      <c r="I33" t="n">
        <v>0.55</v>
      </c>
    </row>
    <row r="34">
      <c r="B34" t="inlineStr">
        <is>
          <t>All sectors</t>
        </is>
      </c>
      <c r="C34" t="n">
        <v>26</v>
      </c>
      <c r="D34" t="n">
        <v>16</v>
      </c>
      <c r="E34" t="n">
        <v>10</v>
      </c>
      <c r="F34" t="n">
        <v>0</v>
      </c>
      <c r="I34" t="n">
        <v>71.39</v>
      </c>
      <c r="J34" t="n">
        <v>27.15</v>
      </c>
    </row>
    <row r="35">
      <c r="A35" t="inlineStr">
        <is>
          <t>Venezuela</t>
        </is>
      </c>
      <c r="B35" t="inlineStr">
        <is>
          <t>Ammonia/urea</t>
        </is>
      </c>
      <c r="C35" t="n">
        <v>3</v>
      </c>
      <c r="D35" t="n">
        <v>3</v>
      </c>
      <c r="E35" t="n">
        <v>0</v>
      </c>
      <c r="F35" t="n">
        <v>0</v>
      </c>
      <c r="G35" t="n">
        <v>1700</v>
      </c>
      <c r="H35" t="inlineStr">
        <is>
          <t>kt ammonia/yr</t>
        </is>
      </c>
      <c r="I35" t="n">
        <v>4.66</v>
      </c>
    </row>
    <row r="36">
      <c r="B36" t="inlineStr">
        <is>
          <t>Methanol</t>
        </is>
      </c>
      <c r="C36" t="n">
        <v>2</v>
      </c>
      <c r="D36" t="n">
        <v>2</v>
      </c>
      <c r="E36" t="n">
        <v>0</v>
      </c>
      <c r="F36" t="n">
        <v>0</v>
      </c>
      <c r="G36" t="n">
        <v>2400</v>
      </c>
      <c r="H36" t="inlineStr">
        <is>
          <t>kt methanol/yr</t>
        </is>
      </c>
      <c r="I36" t="n">
        <v>6.58</v>
      </c>
    </row>
    <row r="37">
      <c r="B37" t="inlineStr">
        <is>
          <t>Steel DRI</t>
        </is>
      </c>
      <c r="C37" t="n">
        <v>6</v>
      </c>
      <c r="D37" t="n">
        <v>5</v>
      </c>
      <c r="E37" t="n">
        <v>1</v>
      </c>
      <c r="F37" t="n">
        <v>0</v>
      </c>
      <c r="G37" t="n">
        <v>5510</v>
      </c>
      <c r="H37" t="inlineStr">
        <is>
          <t>kt DRI/HBI/yr</t>
        </is>
      </c>
      <c r="I37" t="n">
        <v>4.23</v>
      </c>
      <c r="J37" t="n">
        <v>2.06</v>
      </c>
    </row>
    <row r="38">
      <c r="B38" t="inlineStr">
        <is>
          <t>Alumina</t>
        </is>
      </c>
      <c r="C38" t="n">
        <v>1</v>
      </c>
      <c r="D38" t="n">
        <v>1</v>
      </c>
      <c r="E38" t="n">
        <v>0</v>
      </c>
      <c r="F38" t="n">
        <v>0</v>
      </c>
      <c r="H38" t="inlineStr">
        <is>
          <t>kt alumina/yr</t>
        </is>
      </c>
    </row>
    <row r="39">
      <c r="B39" t="inlineStr">
        <is>
          <t>Cement</t>
        </is>
      </c>
      <c r="C39" t="n">
        <v>11</v>
      </c>
      <c r="D39" t="n">
        <v>0</v>
      </c>
      <c r="E39" t="n">
        <v>0</v>
      </c>
      <c r="F39" t="n">
        <v>0</v>
      </c>
      <c r="H39" t="inlineStr">
        <is>
          <t>kt cement/yr</t>
        </is>
      </c>
    </row>
    <row r="40">
      <c r="B40" t="inlineStr">
        <is>
          <t>All sectors</t>
        </is>
      </c>
      <c r="C40" t="n">
        <v>23</v>
      </c>
      <c r="D40" t="n">
        <v>11</v>
      </c>
      <c r="E40" t="n">
        <v>1</v>
      </c>
      <c r="F40" t="n">
        <v>0</v>
      </c>
      <c r="I40" t="n">
        <v>15.46</v>
      </c>
      <c r="J40" t="n">
        <v>2.06</v>
      </c>
    </row>
    <row r="41">
      <c r="A41" t="inlineStr">
        <is>
          <t>ALL</t>
        </is>
      </c>
      <c r="B41" t="inlineStr">
        <is>
          <t>All sectors</t>
        </is>
      </c>
      <c r="C41" t="n">
        <v>86</v>
      </c>
      <c r="D41" t="n">
        <v>62</v>
      </c>
      <c r="E41" t="n">
        <v>11</v>
      </c>
      <c r="F41" t="n">
        <v>2</v>
      </c>
      <c r="I41" t="n">
        <v>125.19</v>
      </c>
      <c r="J41" t="n">
        <v>29.21</v>
      </c>
      <c r="K41" t="n">
        <v>11.84</v>
      </c>
    </row>
  </sheetData>
  <mergeCells count="10">
    <mergeCell ref="A27:A28"/>
    <mergeCell ref="A12:A17"/>
    <mergeCell ref="A35:A40"/>
    <mergeCell ref="A25:A26"/>
    <mergeCell ref="A29:A34"/>
    <mergeCell ref="A20:A21"/>
    <mergeCell ref="A2:A8"/>
    <mergeCell ref="A18:A19"/>
    <mergeCell ref="A22:A24"/>
    <mergeCell ref="A9:A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2026-10-01T13:47:33Z</dcterms:created>
  <dcterms:modified xmlns:dcterms="http://purl.org/dc/terms/" xmlns:xsi="http://www.w3.org/2001/XMLSchema-instance" xsi:type="dcterms:W3CDTF">2026-10-01T13:47:35Z</dcterms:modified>
</cp:coreProperties>
</file>