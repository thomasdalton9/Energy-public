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oduction" sheetId="3" state="visible" r:id="rId3"/>
    <sheet name="Gas imports" sheetId="4" state="visible" r:id="rId4"/>
    <sheet name="Imports by use" sheetId="5" state="visible" r:id="rId5"/>
    <sheet name="Domestic produ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Chile natural gas imports by use and entry region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 (monthly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Chile domestic gas production (Magallanes) (to Jun/24)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Production'!B1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Production'!$A$2:$A$43</f>
            </numRef>
          </cat>
          <val>
            <numRef>
              <f>'Chart - Production'!$B$2:$B$43</f>
            </numRef>
          </val>
        </ser>
        <ser>
          <idx val="1"/>
          <order val="1"/>
          <tx>
            <strRef>
              <f>'Chart - Production'!C1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Production'!$A$2:$A$43</f>
            </numRef>
          </cat>
          <val>
            <numRef>
              <f>'Chart - Production'!$C$2:$C$43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Imports_kt: natural gas imports in thousand tonnes per month (LNG cargoes plus pipeline gas from Argentina), customs data published by CNE. Imports_mcm_per_day_approx: million m3 per day (monthly average); LNG at 1360 m3 of gas per tonne (a standard conversion; approximate), pipeline gas as published in million m3.</t>
        </is>
      </c>
    </row>
    <row r="4">
      <c r="A4" t="inlineStr">
        <is>
          <t>Source column: 'CNE import workbook (customs)' = CNE's monthly import statistics workbook (importaciones-web.xlsx), used for every month it covers; its pipeline gas (million m3) is converted to tonnes at the workbook's own density, 756 t per million m3. 'CNE Reporte Mensual' = the monthly report's table, used for months after the workbook ends; '(derived)' marks a month the report does not show, derived from a neighbouring month's published change.</t>
        </is>
      </c>
    </row>
    <row r="5">
      <c r="A5" t="inlineStr">
        <is>
          <t>Workbook_kt / Report_kt: the two sources side by side; Workbook_vs_report_pct = Workbook_kt / Report_kt - 1 (fraction) for months in both. MoM_change_published / YoY_change_published: the report's own change on the previous month and on the same month a year earlier (fractions; blank where the report shows n/d).</t>
        </is>
      </c>
    </row>
    <row r="6"/>
    <row r="7">
      <c r="A7" s="1" t="inlineStr">
        <is>
          <t>COVERAGE</t>
        </is>
      </c>
    </row>
    <row r="8">
      <c r="A8" t="inlineStr">
        <is>
          <t>Monthly from January 2021: import workbook to 2026-08, then the monthly report (to 2026-08). 64 months are in both sources; mean absolute difference 0.1% (both are the same customs data; the report rounds to whole kt and its 2021-2025 values are read by OCR).</t>
        </is>
      </c>
    </row>
    <row r="9">
      <c r="A9" t="inlineStr">
        <is>
          <t>Monthly report parsing: the data month lags the report by about two months; it is read from the report's own text where possible ('month stated'), otherwise taken as report month - 2. Method: 'text' = PDF text layer; 'text+ocr' = table from the text layer, data month and origins by OCR; 'ocr' = the whole page by OCR (reports with no text layer); p&lt;n&gt; = PDF page. Report months with no table: 2021-09, 2021-10, 2021-11 (filled from the import workbook).</t>
        </is>
      </c>
    </row>
    <row r="10">
      <c r="A10" t="inlineStr">
        <is>
          <t>Months with no value: none.</t>
        </is>
      </c>
    </row>
    <row r="11">
      <c r="A11" t="inlineStr">
        <is>
          <t>Origins lists the source countries the report names for that month's gas imports.</t>
        </is>
      </c>
    </row>
    <row r="12"/>
    <row r="13">
      <c r="A13" s="1" t="inlineStr">
        <is>
          <t>SOURCE</t>
        </is>
      </c>
    </row>
    <row r="14">
      <c r="A14" t="inlineStr">
        <is>
          <t>Comision Nacional de Energia (CNE): (1) Estadisticas &gt; Hidrocarburo &gt; 'Importaciones' workbook (importaciones-web.xlsx; Camara de Comercio de Santiago customs data), https://www.cne.cl/estadisticas/hidrocarburo/; (2) Reporte Mensual del Sector Energetico, section 'Importaciones y Exportaciones de Combustibles' (Aduana data via COMEX). The Report column holds the report PDF used.</t>
        </is>
      </c>
    </row>
    <row r="15"/>
    <row r="16">
      <c r="A16" s="1" t="inlineStr">
        <is>
          <t>IMPORTS BY USE</t>
        </is>
      </c>
    </row>
    <row r="17">
      <c r="A17" t="inlineStr">
        <is>
          <t>Sheet 'Imports by use' (measured, CNE import workbook): pipeline gas from Argentina for energy use by region of entry - II region (Antofagasta, north), RM-V (Santiago/Valparaiso, central), VIII (Biobio, south) - and for petrochemical use in the Magallanes region (methanol, i.e. Methanex's Cabo Negro plant); LNG by region of the regasification terminal - II region (GNL Mejillones) and V region (GNL Quintero). *_mcm / *_t = as published (million m3; tonnes); *_mcm_per_day = million m3 per day, LNG at 1360 m3/t. The workbook's own pipeline TOTAL column is not used (in some months it leaves out the VIII region); totals here are the sum of the regions.</t>
        </is>
      </c>
    </row>
    <row r="18">
      <c r="A18" t="inlineStr">
        <is>
          <t>This is a split of imports, not of demand: it shows imported gas for petrochemical use, but Methanex also uses domestic Magallanes gas, which is not in it. Coverage: 2021-01 to 2026-08; the workbook is re-read when CNE uploads a new one.</t>
        </is>
      </c>
    </row>
    <row r="19"/>
    <row r="20">
      <c r="A20" s="1" t="inlineStr">
        <is>
          <t>DOMESTIC PRODUCTION</t>
        </is>
      </c>
    </row>
    <row r="21">
      <c r="A21" t="inlineStr">
        <is>
          <t>Sheet 'Domestic production': monthly natural gas production in Chile (all of it in the Magallanes basin), measured, as published by CNE from Ministerio de Energia data: ENAP (state oil company) and CEOP (private operators under Contratos Especiales de Operacion Petrolera). Thousand m3 per month as published; *_mcm_per_day = million m3 per day (monthly average).</t>
        </is>
      </c>
    </row>
    <row r="22">
      <c r="A22" t="inlineStr">
        <is>
          <t>Coverage: 2021-01 to 2024-06 (2021 on). CNE's latest file stops there; the sheet extends when CNE posts a newer 'Produccion_combustibles-&lt;month&gt;-&lt;year&gt;.xlsx'. Where the file repeats a month (Nov 2021 appears twice, identical) the first is kept.</t>
        </is>
      </c>
    </row>
    <row r="23">
      <c r="A23" t="inlineStr">
        <is>
          <t>Source: CNE, Estadisticas &gt; Hidrocarburo &gt; 'Produccion de combustibles' (https://www.cne.cl/estadisticas/hidrocarburo/), sheet 'produccion crudo gas m_energia'. The Source_file column holds the workbook read.</t>
        </is>
      </c>
    </row>
    <row r="24">
      <c r="A24" t="inlineStr">
        <is>
          <t>Not included: gas demand by sector. No official monthly or annual split by sector covering 2021 on was found (CNE's monthly consumption-by-sector file ends Oct 2018; the CNE monthly report, INE and SEC publish none; see discovery_archive/south_america/CHILE_GAS_DEMAND_DISCOVERY*.py).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 - Quintero (central)</t>
        </is>
      </c>
      <c r="C1" t="inlineStr">
        <is>
          <t>LNG - Mejillones (north)</t>
        </is>
      </c>
      <c r="D1" t="inlineStr">
        <is>
          <t>Argentina pipeline - central (energy use)</t>
        </is>
      </c>
      <c r="E1" t="inlineStr">
        <is>
          <t>Argentina pipeline - north (energy use)</t>
        </is>
      </c>
      <c r="F1" t="inlineStr">
        <is>
          <t>Argentina pipeline - Biobio (energy use)</t>
        </is>
      </c>
      <c r="G1" t="inlineStr">
        <is>
          <t>Argentina pipeline - Magallanes (methanol)</t>
        </is>
      </c>
    </row>
    <row r="2">
      <c r="A2" s="2" t="n">
        <v>44197</v>
      </c>
      <c r="B2" t="n">
        <v>2.987</v>
      </c>
      <c r="C2" t="n">
        <v>3.019</v>
      </c>
      <c r="D2" t="n">
        <v>2.112</v>
      </c>
      <c r="E2" t="n">
        <v>0</v>
      </c>
      <c r="F2" t="n">
        <v>0.048</v>
      </c>
      <c r="G2" t="n">
        <v>1.19</v>
      </c>
    </row>
    <row r="3">
      <c r="A3" s="2" t="n">
        <v>44228</v>
      </c>
      <c r="B3" t="n">
        <v>8.298999999999999</v>
      </c>
      <c r="C3" t="n">
        <v>3.13</v>
      </c>
      <c r="D3" t="n">
        <v>6.812</v>
      </c>
      <c r="E3" t="n">
        <v>0</v>
      </c>
      <c r="F3" t="n">
        <v>0.143</v>
      </c>
      <c r="G3" t="n">
        <v>1.163</v>
      </c>
    </row>
    <row r="4">
      <c r="A4" s="2" t="n">
        <v>44256</v>
      </c>
      <c r="B4" t="n">
        <v>11.715</v>
      </c>
      <c r="C4" t="n">
        <v>3.552</v>
      </c>
      <c r="D4" t="n">
        <v>0.581</v>
      </c>
      <c r="E4" t="n">
        <v>0</v>
      </c>
      <c r="F4" t="n">
        <v>0.065</v>
      </c>
      <c r="G4" t="n">
        <v>0.891</v>
      </c>
    </row>
    <row r="5">
      <c r="A5" s="2" t="n">
        <v>44287</v>
      </c>
      <c r="B5" t="n">
        <v>12.208</v>
      </c>
      <c r="C5" t="n">
        <v>3.355</v>
      </c>
      <c r="D5" t="n">
        <v>0.64</v>
      </c>
      <c r="E5" t="n">
        <v>0</v>
      </c>
      <c r="F5" t="n">
        <v>0</v>
      </c>
      <c r="G5" t="n">
        <v>0</v>
      </c>
    </row>
    <row r="6">
      <c r="A6" s="2" t="n">
        <v>44317</v>
      </c>
      <c r="B6" t="n">
        <v>12.38</v>
      </c>
      <c r="C6" t="n">
        <v>2.982</v>
      </c>
      <c r="D6" t="n">
        <v>0</v>
      </c>
      <c r="E6" t="n">
        <v>0</v>
      </c>
      <c r="F6" t="n">
        <v>0</v>
      </c>
      <c r="G6" t="n">
        <v>0</v>
      </c>
    </row>
    <row r="7">
      <c r="A7" s="2" t="n">
        <v>44348</v>
      </c>
      <c r="B7" t="n">
        <v>13.308</v>
      </c>
      <c r="C7" t="n">
        <v>3.573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44378</v>
      </c>
      <c r="B8" t="n">
        <v>9.173999999999999</v>
      </c>
      <c r="C8" t="n">
        <v>2.439</v>
      </c>
      <c r="D8" t="n">
        <v>0.484</v>
      </c>
      <c r="E8" t="n">
        <v>0</v>
      </c>
      <c r="F8" t="n">
        <v>0</v>
      </c>
      <c r="G8" t="n">
        <v>0</v>
      </c>
    </row>
    <row r="9">
      <c r="A9" s="2" t="n">
        <v>44409</v>
      </c>
      <c r="B9" t="n">
        <v>11.705</v>
      </c>
      <c r="C9" t="n">
        <v>4.72</v>
      </c>
      <c r="D9" t="n">
        <v>2.162</v>
      </c>
      <c r="E9" t="n">
        <v>0</v>
      </c>
      <c r="F9" t="n">
        <v>0</v>
      </c>
      <c r="G9" t="n">
        <v>0.097</v>
      </c>
    </row>
    <row r="10">
      <c r="A10" s="2" t="n">
        <v>44440</v>
      </c>
      <c r="B10" t="n">
        <v>11.262</v>
      </c>
      <c r="C10" t="n">
        <v>4.128</v>
      </c>
      <c r="D10" t="n">
        <v>3.625</v>
      </c>
      <c r="E10" t="n">
        <v>0</v>
      </c>
      <c r="F10" t="n">
        <v>0.181</v>
      </c>
      <c r="G10" t="n">
        <v>2.678</v>
      </c>
    </row>
    <row r="11">
      <c r="A11" s="2" t="n">
        <v>44470</v>
      </c>
      <c r="B11" t="n">
        <v>5.452</v>
      </c>
      <c r="C11" t="n">
        <v>2.371</v>
      </c>
      <c r="D11" t="n">
        <v>5.391</v>
      </c>
      <c r="E11" t="n">
        <v>0</v>
      </c>
      <c r="F11" t="n">
        <v>0.324</v>
      </c>
      <c r="G11" t="n">
        <v>2.136</v>
      </c>
    </row>
    <row r="12">
      <c r="A12" s="2" t="n">
        <v>44501</v>
      </c>
      <c r="B12" t="n">
        <v>4.486</v>
      </c>
      <c r="C12" t="n">
        <v>1.377</v>
      </c>
      <c r="D12" t="n">
        <v>8.167999999999999</v>
      </c>
      <c r="E12" t="n">
        <v>0</v>
      </c>
      <c r="F12" t="n">
        <v>0.275</v>
      </c>
      <c r="G12" t="n">
        <v>2.558</v>
      </c>
    </row>
    <row r="13">
      <c r="A13" s="2" t="n">
        <v>44531</v>
      </c>
      <c r="B13" t="n">
        <v>5.484</v>
      </c>
      <c r="C13" t="n">
        <v>2.39</v>
      </c>
      <c r="D13" t="n">
        <v>6.713</v>
      </c>
      <c r="E13" t="n">
        <v>0</v>
      </c>
      <c r="F13" t="n">
        <v>0.399</v>
      </c>
      <c r="G13" t="n">
        <v>3.011</v>
      </c>
    </row>
    <row r="14">
      <c r="A14" s="2" t="n">
        <v>44562</v>
      </c>
      <c r="B14" t="n">
        <v>4.353</v>
      </c>
      <c r="C14" t="n">
        <v>0.953</v>
      </c>
      <c r="D14" t="n">
        <v>7.611</v>
      </c>
      <c r="E14" t="n">
        <v>0</v>
      </c>
      <c r="F14" t="n">
        <v>0.427</v>
      </c>
      <c r="G14" t="n">
        <v>2.341</v>
      </c>
    </row>
    <row r="15">
      <c r="A15" s="2" t="n">
        <v>44593</v>
      </c>
      <c r="B15" t="n">
        <v>4.854</v>
      </c>
      <c r="C15" t="n">
        <v>3.782</v>
      </c>
      <c r="D15" t="n">
        <v>8.345000000000001</v>
      </c>
      <c r="E15" t="n">
        <v>0</v>
      </c>
      <c r="F15" t="n">
        <v>0.358</v>
      </c>
      <c r="G15" t="n">
        <v>2.87</v>
      </c>
    </row>
    <row r="16">
      <c r="A16" s="2" t="n">
        <v>44621</v>
      </c>
      <c r="B16" t="n">
        <v>5.828</v>
      </c>
      <c r="C16" t="n">
        <v>3.005</v>
      </c>
      <c r="D16" t="n">
        <v>6.904</v>
      </c>
      <c r="E16" t="n">
        <v>0</v>
      </c>
      <c r="F16" t="n">
        <v>0.302</v>
      </c>
      <c r="G16" t="n">
        <v>2.508</v>
      </c>
    </row>
    <row r="17">
      <c r="A17" s="2" t="n">
        <v>44652</v>
      </c>
      <c r="B17" t="n">
        <v>4.089</v>
      </c>
      <c r="C17" t="n">
        <v>4.315</v>
      </c>
      <c r="D17" t="n">
        <v>0.79</v>
      </c>
      <c r="E17" t="n">
        <v>0</v>
      </c>
      <c r="F17" t="n">
        <v>0.1</v>
      </c>
      <c r="G17" t="n">
        <v>0</v>
      </c>
    </row>
    <row r="18">
      <c r="A18" s="2" t="n">
        <v>44682</v>
      </c>
      <c r="B18" t="n">
        <v>13.421</v>
      </c>
      <c r="C18" t="n">
        <v>2.69</v>
      </c>
      <c r="D18" t="n">
        <v>4.712</v>
      </c>
      <c r="E18" t="n">
        <v>0</v>
      </c>
      <c r="F18" t="n">
        <v>0.484</v>
      </c>
      <c r="G18" t="n">
        <v>0</v>
      </c>
    </row>
    <row r="19">
      <c r="A19" s="2" t="n">
        <v>44713</v>
      </c>
      <c r="B19" t="n">
        <v>12.717</v>
      </c>
      <c r="C19" t="n">
        <v>1.623</v>
      </c>
      <c r="D19" t="n">
        <v>4.035</v>
      </c>
      <c r="E19" t="n">
        <v>0</v>
      </c>
      <c r="F19" t="n">
        <v>0.697</v>
      </c>
      <c r="G19" t="n">
        <v>0</v>
      </c>
    </row>
    <row r="20">
      <c r="A20" s="2" t="n">
        <v>44743</v>
      </c>
      <c r="B20" t="n">
        <v>7.659</v>
      </c>
      <c r="C20" t="n">
        <v>1.908</v>
      </c>
      <c r="D20" t="n">
        <v>4.558</v>
      </c>
      <c r="E20" t="n">
        <v>0</v>
      </c>
      <c r="F20" t="n">
        <v>0.461</v>
      </c>
      <c r="G20" t="n">
        <v>0</v>
      </c>
    </row>
    <row r="21">
      <c r="A21" s="2" t="n">
        <v>44774</v>
      </c>
      <c r="B21" t="n">
        <v>8.776999999999999</v>
      </c>
      <c r="C21" t="n">
        <v>6.336</v>
      </c>
      <c r="D21" t="n">
        <v>8.617000000000001</v>
      </c>
      <c r="E21" t="n">
        <v>0</v>
      </c>
      <c r="F21" t="n">
        <v>0.387</v>
      </c>
      <c r="G21" t="n">
        <v>0</v>
      </c>
    </row>
    <row r="22">
      <c r="A22" s="2" t="n">
        <v>44805</v>
      </c>
      <c r="B22" t="n">
        <v>4.696</v>
      </c>
      <c r="C22" t="n">
        <v>0.391</v>
      </c>
      <c r="D22" t="n">
        <v>13.914</v>
      </c>
      <c r="E22" t="n">
        <v>0</v>
      </c>
      <c r="F22" t="n">
        <v>0.462</v>
      </c>
      <c r="G22" t="n">
        <v>1.344</v>
      </c>
    </row>
    <row r="23">
      <c r="A23" s="2" t="n">
        <v>44835</v>
      </c>
      <c r="B23" t="n">
        <v>4.274</v>
      </c>
      <c r="C23" t="n">
        <v>3.615</v>
      </c>
      <c r="D23" t="n">
        <v>9.602</v>
      </c>
      <c r="E23" t="n">
        <v>0</v>
      </c>
      <c r="F23" t="n">
        <v>0.403</v>
      </c>
      <c r="G23" t="n">
        <v>1.259</v>
      </c>
    </row>
    <row r="24">
      <c r="A24" s="2" t="n">
        <v>44866</v>
      </c>
      <c r="B24" t="n">
        <v>2.687</v>
      </c>
      <c r="C24" t="n">
        <v>1.461</v>
      </c>
      <c r="D24" t="n">
        <v>10.621</v>
      </c>
      <c r="E24" t="n">
        <v>0</v>
      </c>
      <c r="F24" t="n">
        <v>0.393</v>
      </c>
      <c r="G24" t="n">
        <v>0.667</v>
      </c>
    </row>
    <row r="25">
      <c r="A25" s="2" t="n">
        <v>44896</v>
      </c>
      <c r="B25" t="n">
        <v>3.786</v>
      </c>
      <c r="C25" t="n">
        <v>1.002</v>
      </c>
      <c r="D25" t="n">
        <v>9.488</v>
      </c>
      <c r="E25" t="n">
        <v>0</v>
      </c>
      <c r="F25" t="n">
        <v>0.323</v>
      </c>
      <c r="G25" t="n">
        <v>1.956</v>
      </c>
    </row>
    <row r="26">
      <c r="A26" s="2" t="n">
        <v>44927</v>
      </c>
      <c r="B26" t="n">
        <v>3.757</v>
      </c>
      <c r="C26" t="n">
        <v>2.598</v>
      </c>
      <c r="D26" t="n">
        <v>8.571</v>
      </c>
      <c r="E26" t="n">
        <v>0</v>
      </c>
      <c r="F26" t="n">
        <v>0.404</v>
      </c>
      <c r="G26" t="n">
        <v>1.175</v>
      </c>
    </row>
    <row r="27">
      <c r="A27" s="2" t="n">
        <v>44958</v>
      </c>
      <c r="B27" t="n">
        <v>3.856</v>
      </c>
      <c r="C27" t="n">
        <v>4.944</v>
      </c>
      <c r="D27" t="n">
        <v>10.44</v>
      </c>
      <c r="E27" t="n">
        <v>0</v>
      </c>
      <c r="F27" t="n">
        <v>0.583</v>
      </c>
      <c r="G27" t="n">
        <v>1.44</v>
      </c>
    </row>
    <row r="28">
      <c r="A28" s="2" t="n">
        <v>44986</v>
      </c>
      <c r="B28" t="n">
        <v>5.073</v>
      </c>
      <c r="C28" t="n">
        <v>4.263</v>
      </c>
      <c r="D28" t="n">
        <v>9.186</v>
      </c>
      <c r="E28" t="n">
        <v>0</v>
      </c>
      <c r="F28" t="n">
        <v>0.574</v>
      </c>
      <c r="G28" t="n">
        <v>0.9360000000000001</v>
      </c>
    </row>
    <row r="29">
      <c r="A29" s="2" t="n">
        <v>45017</v>
      </c>
      <c r="B29" t="n">
        <v>6.079</v>
      </c>
      <c r="C29" t="n">
        <v>3.367</v>
      </c>
      <c r="D29" t="n">
        <v>5.002</v>
      </c>
      <c r="E29" t="n">
        <v>0</v>
      </c>
      <c r="F29" t="n">
        <v>0.577</v>
      </c>
      <c r="G29" t="n">
        <v>0.333</v>
      </c>
    </row>
    <row r="30">
      <c r="A30" s="2" t="n">
        <v>45047</v>
      </c>
      <c r="B30" t="n">
        <v>10.623</v>
      </c>
      <c r="C30" t="n">
        <v>5.702</v>
      </c>
      <c r="D30" t="n">
        <v>11.167</v>
      </c>
      <c r="E30" t="n">
        <v>0</v>
      </c>
      <c r="F30" t="n">
        <v>0.837</v>
      </c>
      <c r="G30" t="n">
        <v>0</v>
      </c>
    </row>
    <row r="31">
      <c r="A31" s="2" t="n">
        <v>45078</v>
      </c>
      <c r="B31" t="n">
        <v>7.167</v>
      </c>
      <c r="C31" t="n">
        <v>5.375</v>
      </c>
      <c r="D31" t="n">
        <v>4.891</v>
      </c>
      <c r="E31" t="n">
        <v>0</v>
      </c>
      <c r="F31" t="n">
        <v>0.544</v>
      </c>
      <c r="G31" t="n">
        <v>0</v>
      </c>
    </row>
    <row r="32">
      <c r="A32" s="2" t="n">
        <v>45108</v>
      </c>
      <c r="B32" t="n">
        <v>9.076000000000001</v>
      </c>
      <c r="C32" t="n">
        <v>3.226</v>
      </c>
      <c r="D32" t="n">
        <v>3.189</v>
      </c>
      <c r="E32" t="n">
        <v>0</v>
      </c>
      <c r="F32" t="n">
        <v>0.445</v>
      </c>
      <c r="G32" t="n">
        <v>0</v>
      </c>
    </row>
    <row r="33">
      <c r="A33" s="2" t="n">
        <v>45139</v>
      </c>
      <c r="B33" t="n">
        <v>6.659</v>
      </c>
      <c r="C33" t="n">
        <v>2.699</v>
      </c>
      <c r="D33" t="n">
        <v>4.132</v>
      </c>
      <c r="E33" t="n">
        <v>0</v>
      </c>
      <c r="F33" t="n">
        <v>0.397</v>
      </c>
      <c r="G33" t="n">
        <v>0</v>
      </c>
    </row>
    <row r="34">
      <c r="A34" s="2" t="n">
        <v>45170</v>
      </c>
      <c r="B34" t="n">
        <v>5.425</v>
      </c>
      <c r="C34" t="n">
        <v>3.206</v>
      </c>
      <c r="D34" t="n">
        <v>7.993</v>
      </c>
      <c r="E34" t="n">
        <v>0.447</v>
      </c>
      <c r="F34" t="n">
        <v>0.143</v>
      </c>
      <c r="G34" t="n">
        <v>2.898</v>
      </c>
    </row>
    <row r="35">
      <c r="A35" s="2" t="n">
        <v>45200</v>
      </c>
      <c r="B35" t="n">
        <v>3.105</v>
      </c>
      <c r="C35" t="n">
        <v>2.014</v>
      </c>
      <c r="D35" t="n">
        <v>7.302</v>
      </c>
      <c r="E35" t="n">
        <v>0.42</v>
      </c>
      <c r="F35" t="n">
        <v>0.787</v>
      </c>
      <c r="G35" t="n">
        <v>2.937</v>
      </c>
    </row>
    <row r="36">
      <c r="A36" s="2" t="n">
        <v>45231</v>
      </c>
      <c r="B36" t="n">
        <v>2.901</v>
      </c>
      <c r="C36" t="n">
        <v>2.322</v>
      </c>
      <c r="D36" t="n">
        <v>6.46</v>
      </c>
      <c r="E36" t="n">
        <v>0.447</v>
      </c>
      <c r="F36" t="n">
        <v>0.41</v>
      </c>
      <c r="G36" t="n">
        <v>3.425</v>
      </c>
    </row>
    <row r="37">
      <c r="A37" s="2" t="n">
        <v>45261</v>
      </c>
      <c r="B37" t="n">
        <v>4.41</v>
      </c>
      <c r="C37" t="n">
        <v>0.391</v>
      </c>
      <c r="D37" t="n">
        <v>6.339</v>
      </c>
      <c r="E37" t="n">
        <v>0.432</v>
      </c>
      <c r="F37" t="n">
        <v>0.332</v>
      </c>
      <c r="G37" t="n">
        <v>2.904</v>
      </c>
    </row>
    <row r="38">
      <c r="A38" s="2" t="n">
        <v>45292</v>
      </c>
      <c r="B38" t="n">
        <v>2.072</v>
      </c>
      <c r="C38" t="n">
        <v>1.708</v>
      </c>
      <c r="D38" t="n">
        <v>7.372</v>
      </c>
      <c r="E38" t="n">
        <v>0.407</v>
      </c>
      <c r="F38" t="n">
        <v>0.458</v>
      </c>
      <c r="G38" t="n">
        <v>3.017</v>
      </c>
    </row>
    <row r="39">
      <c r="A39" s="2" t="n">
        <v>45323</v>
      </c>
      <c r="B39" t="n">
        <v>5.92</v>
      </c>
      <c r="C39" t="n">
        <v>3.282</v>
      </c>
      <c r="D39" t="n">
        <v>9.609</v>
      </c>
      <c r="E39" t="n">
        <v>0.462</v>
      </c>
      <c r="F39" t="n">
        <v>0.459</v>
      </c>
      <c r="G39" t="n">
        <v>2.466</v>
      </c>
    </row>
    <row r="40">
      <c r="A40" s="2" t="n">
        <v>45352</v>
      </c>
      <c r="B40" t="n">
        <v>2.694</v>
      </c>
      <c r="C40" t="n">
        <v>2.841</v>
      </c>
      <c r="D40" t="n">
        <v>8.050000000000001</v>
      </c>
      <c r="E40" t="n">
        <v>0.42</v>
      </c>
      <c r="F40" t="n">
        <v>0.59</v>
      </c>
      <c r="G40" t="n">
        <v>2.979</v>
      </c>
    </row>
    <row r="41">
      <c r="A41" s="2" t="n">
        <v>45383</v>
      </c>
      <c r="B41" t="n">
        <v>4.228</v>
      </c>
      <c r="C41" t="n">
        <v>4.494</v>
      </c>
      <c r="D41" t="n">
        <v>6.353</v>
      </c>
      <c r="E41" t="n">
        <v>0.15</v>
      </c>
      <c r="F41" t="n">
        <v>0.393</v>
      </c>
      <c r="G41" t="n">
        <v>0.65</v>
      </c>
    </row>
    <row r="42">
      <c r="A42" s="2" t="n">
        <v>45413</v>
      </c>
      <c r="B42" t="n">
        <v>7.498</v>
      </c>
      <c r="C42" t="n">
        <v>4.213</v>
      </c>
      <c r="D42" t="n">
        <v>6.944</v>
      </c>
      <c r="E42" t="n">
        <v>0</v>
      </c>
      <c r="F42" t="n">
        <v>0.742</v>
      </c>
      <c r="G42" t="n">
        <v>0</v>
      </c>
    </row>
    <row r="43">
      <c r="A43" s="2" t="n">
        <v>45444</v>
      </c>
      <c r="B43" t="n">
        <v>6.119</v>
      </c>
      <c r="C43" t="n">
        <v>2.849</v>
      </c>
      <c r="D43" t="n">
        <v>7.15</v>
      </c>
      <c r="E43" t="n">
        <v>0</v>
      </c>
      <c r="F43" t="n">
        <v>0.635</v>
      </c>
      <c r="G43" t="n">
        <v>0</v>
      </c>
    </row>
    <row r="44">
      <c r="A44" s="2" t="n">
        <v>45474</v>
      </c>
      <c r="B44" t="n">
        <v>7.607</v>
      </c>
      <c r="C44" t="n">
        <v>6.495</v>
      </c>
      <c r="D44" t="n">
        <v>5.827</v>
      </c>
      <c r="E44" t="n">
        <v>0</v>
      </c>
      <c r="F44" t="n">
        <v>0.729</v>
      </c>
      <c r="G44" t="n">
        <v>0</v>
      </c>
    </row>
    <row r="45">
      <c r="A45" s="2" t="n">
        <v>45505</v>
      </c>
      <c r="B45" t="n">
        <v>3.999</v>
      </c>
      <c r="C45" t="n">
        <v>2.279</v>
      </c>
      <c r="D45" t="n">
        <v>5.42</v>
      </c>
      <c r="E45" t="n">
        <v>0</v>
      </c>
      <c r="F45" t="n">
        <v>0.484</v>
      </c>
      <c r="G45" t="n">
        <v>0.532</v>
      </c>
    </row>
    <row r="46">
      <c r="A46" s="2" t="n">
        <v>45536</v>
      </c>
      <c r="B46" t="n">
        <v>3.057</v>
      </c>
      <c r="C46" t="n">
        <v>2.866</v>
      </c>
      <c r="D46" t="n">
        <v>6.028</v>
      </c>
      <c r="E46" t="n">
        <v>0.034</v>
      </c>
      <c r="F46" t="n">
        <v>0.517</v>
      </c>
      <c r="G46" t="n">
        <v>1.651</v>
      </c>
    </row>
    <row r="47">
      <c r="A47" s="2" t="n">
        <v>45566</v>
      </c>
      <c r="B47" t="n">
        <v>4.97</v>
      </c>
      <c r="C47" t="n">
        <v>4.788</v>
      </c>
      <c r="D47" t="n">
        <v>5.976</v>
      </c>
      <c r="E47" t="n">
        <v>0</v>
      </c>
      <c r="F47" t="n">
        <v>0.484</v>
      </c>
      <c r="G47" t="n">
        <v>2.491</v>
      </c>
    </row>
    <row r="48">
      <c r="A48" s="2" t="n">
        <v>45597</v>
      </c>
      <c r="B48" t="n">
        <v>0.436</v>
      </c>
      <c r="C48" t="n">
        <v>0.583</v>
      </c>
      <c r="D48" t="n">
        <v>5.388</v>
      </c>
      <c r="E48" t="n">
        <v>0</v>
      </c>
      <c r="F48" t="n">
        <v>0.46</v>
      </c>
      <c r="G48" t="n">
        <v>3.04</v>
      </c>
    </row>
    <row r="49">
      <c r="A49" s="2" t="n">
        <v>45627</v>
      </c>
      <c r="B49" t="n">
        <v>1.951</v>
      </c>
      <c r="C49" t="n">
        <v>2.625</v>
      </c>
      <c r="D49" t="n">
        <v>5.029</v>
      </c>
      <c r="E49" t="n">
        <v>0</v>
      </c>
      <c r="F49" t="n">
        <v>0.44</v>
      </c>
      <c r="G49" t="n">
        <v>3.033</v>
      </c>
    </row>
    <row r="50">
      <c r="A50" s="2" t="n">
        <v>45658</v>
      </c>
      <c r="B50" t="n">
        <v>5.131</v>
      </c>
      <c r="C50" t="n">
        <v>3.139</v>
      </c>
      <c r="D50" t="n">
        <v>7.416</v>
      </c>
      <c r="E50" t="n">
        <v>0.065</v>
      </c>
      <c r="F50" t="n">
        <v>0.487</v>
      </c>
      <c r="G50" t="n">
        <v>3.214</v>
      </c>
    </row>
    <row r="51">
      <c r="A51" s="2" t="n">
        <v>45689</v>
      </c>
      <c r="B51" t="n">
        <v>2.358</v>
      </c>
      <c r="C51" t="n">
        <v>2.498</v>
      </c>
      <c r="D51" t="n">
        <v>10.44</v>
      </c>
      <c r="E51" t="n">
        <v>0.036</v>
      </c>
      <c r="F51" t="n">
        <v>0.665</v>
      </c>
      <c r="G51" t="n">
        <v>2.856</v>
      </c>
    </row>
    <row r="52">
      <c r="A52" s="2" t="n">
        <v>45717</v>
      </c>
      <c r="B52" t="n">
        <v>1.867</v>
      </c>
      <c r="C52" t="n">
        <v>2.702</v>
      </c>
      <c r="D52" t="n">
        <v>8.260999999999999</v>
      </c>
      <c r="E52" t="n">
        <v>0.065</v>
      </c>
      <c r="F52" t="n">
        <v>0.597</v>
      </c>
      <c r="G52" t="n">
        <v>3.012</v>
      </c>
    </row>
    <row r="53">
      <c r="A53" s="2" t="n">
        <v>45748</v>
      </c>
      <c r="B53" t="n">
        <v>7.737</v>
      </c>
      <c r="C53" t="n">
        <v>4.746</v>
      </c>
      <c r="D53" t="n">
        <v>7.3</v>
      </c>
      <c r="E53" t="n">
        <v>0.133</v>
      </c>
      <c r="F53" t="n">
        <v>1.225</v>
      </c>
      <c r="G53" t="n">
        <v>1.614</v>
      </c>
    </row>
    <row r="54">
      <c r="A54" s="2" t="n">
        <v>45778</v>
      </c>
      <c r="B54" t="n">
        <v>4.617</v>
      </c>
      <c r="C54" t="n">
        <v>2.726</v>
      </c>
      <c r="D54" t="n">
        <v>7.981</v>
      </c>
      <c r="E54" t="n">
        <v>0.065</v>
      </c>
      <c r="F54" t="n">
        <v>1.081</v>
      </c>
      <c r="G54" t="n">
        <v>0.9</v>
      </c>
    </row>
    <row r="55">
      <c r="A55" s="2" t="n">
        <v>45809</v>
      </c>
      <c r="B55" t="n">
        <v>6.13</v>
      </c>
      <c r="C55" t="n">
        <v>3.585</v>
      </c>
      <c r="D55" t="n">
        <v>7.579</v>
      </c>
      <c r="E55" t="n">
        <v>0.01</v>
      </c>
      <c r="F55" t="n">
        <v>1.277</v>
      </c>
      <c r="G55" t="n">
        <v>1.127</v>
      </c>
    </row>
    <row r="56">
      <c r="A56" s="2" t="n">
        <v>45839</v>
      </c>
      <c r="B56" t="n">
        <v>7.625</v>
      </c>
      <c r="C56" t="n">
        <v>3.618</v>
      </c>
      <c r="D56" t="n">
        <v>7.942</v>
      </c>
      <c r="E56" t="n">
        <v>0.01</v>
      </c>
      <c r="F56" t="n">
        <v>1.215</v>
      </c>
      <c r="G56" t="n">
        <v>1.1</v>
      </c>
    </row>
    <row r="57">
      <c r="A57" s="2" t="n">
        <v>45870</v>
      </c>
      <c r="B57" t="n">
        <v>4.506</v>
      </c>
      <c r="C57" t="n">
        <v>3.291</v>
      </c>
      <c r="D57" t="n">
        <v>6.676</v>
      </c>
      <c r="E57" t="n">
        <v>0.055</v>
      </c>
      <c r="F57" t="n">
        <v>0.855</v>
      </c>
      <c r="G57" t="n">
        <v>1.023</v>
      </c>
    </row>
    <row r="58">
      <c r="A58" s="2" t="n">
        <v>45901</v>
      </c>
      <c r="B58" t="n">
        <v>5.486</v>
      </c>
      <c r="C58" t="n">
        <v>2.85</v>
      </c>
      <c r="D58" t="n">
        <v>6.155</v>
      </c>
      <c r="E58" t="n">
        <v>0.554</v>
      </c>
      <c r="F58" t="n">
        <v>0.746</v>
      </c>
      <c r="G58" t="n">
        <v>3.431</v>
      </c>
    </row>
    <row r="59">
      <c r="A59" s="2" t="n">
        <v>45931</v>
      </c>
      <c r="B59" t="n">
        <v>1.793</v>
      </c>
      <c r="C59" t="n">
        <v>0.712</v>
      </c>
      <c r="D59" t="n">
        <v>5.719</v>
      </c>
      <c r="E59" t="n">
        <v>0.975</v>
      </c>
      <c r="F59" t="n">
        <v>0.804</v>
      </c>
      <c r="G59" t="n">
        <v>3.008</v>
      </c>
    </row>
    <row r="60">
      <c r="A60" s="2" t="n">
        <v>45962</v>
      </c>
      <c r="B60" t="n">
        <v>3.953</v>
      </c>
      <c r="C60" t="n">
        <v>2.148</v>
      </c>
      <c r="D60" t="n">
        <v>6.251</v>
      </c>
      <c r="E60" t="n">
        <v>1.26</v>
      </c>
      <c r="F60" t="n">
        <v>0.8179999999999999</v>
      </c>
      <c r="G60" t="n">
        <v>3.406</v>
      </c>
    </row>
    <row r="61">
      <c r="A61" s="2" t="n">
        <v>45992</v>
      </c>
      <c r="B61" t="n">
        <v>3.913</v>
      </c>
      <c r="C61" t="n">
        <v>1.838</v>
      </c>
      <c r="D61" t="n">
        <v>7.716</v>
      </c>
      <c r="E61" t="n">
        <v>0.917</v>
      </c>
      <c r="F61" t="n">
        <v>1.165</v>
      </c>
      <c r="G61" t="n">
        <v>2.221</v>
      </c>
    </row>
    <row r="62">
      <c r="A62" s="2" t="n">
        <v>46023</v>
      </c>
      <c r="B62" t="n">
        <v>1.189</v>
      </c>
      <c r="C62" t="n">
        <v>3.453</v>
      </c>
      <c r="D62" t="n">
        <v>8.351000000000001</v>
      </c>
      <c r="E62" t="n">
        <v>1.277</v>
      </c>
      <c r="F62" t="n">
        <v>0.909</v>
      </c>
      <c r="G62" t="n">
        <v>3.256</v>
      </c>
    </row>
    <row r="63">
      <c r="A63" s="2" t="n">
        <v>46054</v>
      </c>
      <c r="B63" t="n">
        <v>3.271</v>
      </c>
      <c r="C63" t="n">
        <v>1.993</v>
      </c>
      <c r="D63" t="n">
        <v>9.643000000000001</v>
      </c>
      <c r="E63" t="n">
        <v>1.633</v>
      </c>
      <c r="F63" t="n">
        <v>1.18</v>
      </c>
      <c r="G63" t="n">
        <v>3.438</v>
      </c>
    </row>
    <row r="64">
      <c r="A64" s="2" t="n">
        <v>46082</v>
      </c>
      <c r="B64" t="n">
        <v>3.528</v>
      </c>
      <c r="C64" t="n">
        <v>2.334</v>
      </c>
      <c r="D64" t="n">
        <v>9.015000000000001</v>
      </c>
      <c r="E64" t="n">
        <v>0.946</v>
      </c>
      <c r="F64" t="n">
        <v>1.163</v>
      </c>
      <c r="G64" t="n">
        <v>3.093</v>
      </c>
    </row>
    <row r="65">
      <c r="A65" s="2" t="n">
        <v>46113</v>
      </c>
      <c r="B65" t="n">
        <v>3.774</v>
      </c>
      <c r="C65" t="n">
        <v>2.833</v>
      </c>
      <c r="D65" t="n">
        <v>8.632999999999999</v>
      </c>
      <c r="E65" t="n">
        <v>0.634</v>
      </c>
      <c r="F65" t="n">
        <v>1.135</v>
      </c>
      <c r="G65" t="n">
        <v>2.408</v>
      </c>
    </row>
    <row r="66">
      <c r="A66" s="2" t="n">
        <v>46143</v>
      </c>
      <c r="B66" t="n">
        <v>6.143</v>
      </c>
      <c r="C66" t="n">
        <v>2.273</v>
      </c>
      <c r="D66" t="n">
        <v>8.802</v>
      </c>
      <c r="E66" t="n">
        <v>0.452</v>
      </c>
      <c r="F66" t="n">
        <v>1.157</v>
      </c>
      <c r="G66" t="n">
        <v>1.065</v>
      </c>
    </row>
    <row r="67">
      <c r="A67" s="2" t="n">
        <v>46174</v>
      </c>
      <c r="B67" t="n">
        <v>3.978</v>
      </c>
      <c r="C67" t="n">
        <v>2.32</v>
      </c>
      <c r="D67" t="n">
        <v>10.854</v>
      </c>
      <c r="E67" t="n">
        <v>0.333</v>
      </c>
      <c r="F67" t="n">
        <v>1.17</v>
      </c>
      <c r="G67" t="n">
        <v>1.137</v>
      </c>
    </row>
    <row r="68">
      <c r="A68" s="2" t="n">
        <v>46204</v>
      </c>
      <c r="B68" t="n">
        <v>7.135</v>
      </c>
      <c r="C68" t="n">
        <v>3.556</v>
      </c>
      <c r="D68" t="n">
        <v>9.336</v>
      </c>
      <c r="E68" t="n">
        <v>0</v>
      </c>
      <c r="F68" t="n">
        <v>1.105</v>
      </c>
      <c r="G68" t="n">
        <v>1.1</v>
      </c>
    </row>
    <row r="69">
      <c r="A69" s="2" t="n">
        <v>46235</v>
      </c>
      <c r="B69" t="n">
        <v>2.432</v>
      </c>
      <c r="C69" t="n">
        <v>2.381</v>
      </c>
      <c r="D69" t="n">
        <v>6.167</v>
      </c>
      <c r="E69" t="n">
        <v>0.037</v>
      </c>
      <c r="F69" t="n">
        <v>1.055</v>
      </c>
      <c r="G69" t="n">
        <v>1.665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ENAP</t>
        </is>
      </c>
      <c r="C1" t="inlineStr">
        <is>
          <t>CEOP (private operators)</t>
        </is>
      </c>
    </row>
    <row r="2">
      <c r="A2" s="2" t="n">
        <v>44197</v>
      </c>
      <c r="B2" t="n">
        <v>2.559</v>
      </c>
      <c r="C2" t="n">
        <v>0.631</v>
      </c>
    </row>
    <row r="3">
      <c r="A3" s="2" t="n">
        <v>44228</v>
      </c>
      <c r="B3" t="n">
        <v>2.294</v>
      </c>
      <c r="C3" t="n">
        <v>0.87</v>
      </c>
    </row>
    <row r="4">
      <c r="A4" s="2" t="n">
        <v>44256</v>
      </c>
      <c r="B4" t="n">
        <v>2.199</v>
      </c>
      <c r="C4" t="n">
        <v>0.925</v>
      </c>
    </row>
    <row r="5">
      <c r="A5" s="2" t="n">
        <v>44287</v>
      </c>
      <c r="B5" t="n">
        <v>2.559</v>
      </c>
      <c r="C5" t="n">
        <v>1.068</v>
      </c>
    </row>
    <row r="6">
      <c r="A6" s="2" t="n">
        <v>44317</v>
      </c>
      <c r="B6" t="n">
        <v>2.622</v>
      </c>
      <c r="C6" t="n">
        <v>1.183</v>
      </c>
    </row>
    <row r="7">
      <c r="A7" s="2" t="n">
        <v>44348</v>
      </c>
      <c r="B7" t="n">
        <v>2.661</v>
      </c>
      <c r="C7" t="n">
        <v>1.009</v>
      </c>
    </row>
    <row r="8">
      <c r="A8" s="2" t="n">
        <v>44378</v>
      </c>
      <c r="B8" t="n">
        <v>2.549</v>
      </c>
      <c r="C8" t="n">
        <v>1.208</v>
      </c>
    </row>
    <row r="9">
      <c r="A9" s="2" t="n">
        <v>44409</v>
      </c>
      <c r="B9" t="n">
        <v>2.468</v>
      </c>
      <c r="C9" t="n">
        <v>1.19</v>
      </c>
    </row>
    <row r="10">
      <c r="A10" s="2" t="n">
        <v>44440</v>
      </c>
      <c r="B10" t="n">
        <v>2.494</v>
      </c>
      <c r="C10" t="n">
        <v>1.099</v>
      </c>
    </row>
    <row r="11">
      <c r="A11" s="2" t="n">
        <v>44470</v>
      </c>
      <c r="B11" t="n">
        <v>2.426</v>
      </c>
      <c r="C11" t="n">
        <v>1.02</v>
      </c>
    </row>
    <row r="12">
      <c r="A12" s="2" t="n">
        <v>44501</v>
      </c>
      <c r="B12" t="n">
        <v>2.347</v>
      </c>
      <c r="C12" t="n">
        <v>1.047</v>
      </c>
    </row>
    <row r="13">
      <c r="A13" s="2" t="n">
        <v>44531</v>
      </c>
      <c r="B13" t="n">
        <v>2.055</v>
      </c>
      <c r="C13" t="n">
        <v>1.163</v>
      </c>
    </row>
    <row r="14">
      <c r="A14" s="2" t="n">
        <v>44562</v>
      </c>
      <c r="B14" t="n">
        <v>2.21</v>
      </c>
      <c r="C14" t="n">
        <v>1.174</v>
      </c>
    </row>
    <row r="15">
      <c r="A15" s="2" t="n">
        <v>44593</v>
      </c>
      <c r="B15" t="n">
        <v>2.128</v>
      </c>
      <c r="C15" t="n">
        <v>1.142</v>
      </c>
    </row>
    <row r="16">
      <c r="A16" s="2" t="n">
        <v>44621</v>
      </c>
      <c r="B16" t="n">
        <v>2.242</v>
      </c>
      <c r="C16" t="n">
        <v>1.392</v>
      </c>
    </row>
    <row r="17">
      <c r="A17" s="2" t="n">
        <v>44652</v>
      </c>
      <c r="B17" t="n">
        <v>2.058</v>
      </c>
      <c r="C17" t="n">
        <v>1.485</v>
      </c>
    </row>
    <row r="18">
      <c r="A18" s="2" t="n">
        <v>44682</v>
      </c>
      <c r="B18" t="n">
        <v>2.318</v>
      </c>
      <c r="C18" t="n">
        <v>1.663</v>
      </c>
    </row>
    <row r="19">
      <c r="A19" s="2" t="n">
        <v>44713</v>
      </c>
      <c r="B19" t="n">
        <v>2.356</v>
      </c>
      <c r="C19" t="n">
        <v>1.654</v>
      </c>
    </row>
    <row r="20">
      <c r="A20" s="2" t="n">
        <v>44743</v>
      </c>
      <c r="B20" t="n">
        <v>2.361</v>
      </c>
      <c r="C20" t="n">
        <v>1.658</v>
      </c>
    </row>
    <row r="21">
      <c r="A21" s="2" t="n">
        <v>44774</v>
      </c>
      <c r="B21" t="n">
        <v>2.484</v>
      </c>
      <c r="C21" t="n">
        <v>1.63</v>
      </c>
    </row>
    <row r="22">
      <c r="A22" s="2" t="n">
        <v>44805</v>
      </c>
      <c r="B22" t="n">
        <v>2.379</v>
      </c>
      <c r="C22" t="n">
        <v>1.478</v>
      </c>
    </row>
    <row r="23">
      <c r="A23" s="2" t="n">
        <v>44835</v>
      </c>
      <c r="B23" t="n">
        <v>2.305</v>
      </c>
      <c r="C23" t="n">
        <v>1.489</v>
      </c>
    </row>
    <row r="24">
      <c r="A24" s="2" t="n">
        <v>44866</v>
      </c>
      <c r="B24" t="n">
        <v>1.98</v>
      </c>
      <c r="C24" t="n">
        <v>1.339</v>
      </c>
    </row>
    <row r="25">
      <c r="A25" s="2" t="n">
        <v>44896</v>
      </c>
      <c r="B25" t="n">
        <v>2.073</v>
      </c>
      <c r="C25" t="n">
        <v>1.417</v>
      </c>
    </row>
    <row r="26">
      <c r="A26" s="2" t="n">
        <v>44927</v>
      </c>
      <c r="B26" t="n">
        <v>1.963</v>
      </c>
      <c r="C26" t="n">
        <v>1.412</v>
      </c>
    </row>
    <row r="27">
      <c r="A27" s="2" t="n">
        <v>44958</v>
      </c>
      <c r="B27" t="n">
        <v>2.099</v>
      </c>
      <c r="C27" t="n">
        <v>1.349</v>
      </c>
    </row>
    <row r="28">
      <c r="A28" s="2" t="n">
        <v>44986</v>
      </c>
      <c r="B28" t="n">
        <v>2.126</v>
      </c>
      <c r="C28" t="n">
        <v>1.34</v>
      </c>
    </row>
    <row r="29">
      <c r="A29" s="2" t="n">
        <v>45017</v>
      </c>
      <c r="B29" t="n">
        <v>2.335</v>
      </c>
      <c r="C29" t="n">
        <v>1.402</v>
      </c>
    </row>
    <row r="30">
      <c r="A30" s="2" t="n">
        <v>45047</v>
      </c>
      <c r="B30" t="n">
        <v>2.412</v>
      </c>
      <c r="C30" t="n">
        <v>1.437</v>
      </c>
    </row>
    <row r="31">
      <c r="A31" s="2" t="n">
        <v>45078</v>
      </c>
      <c r="B31" t="n">
        <v>2.319</v>
      </c>
      <c r="C31" t="n">
        <v>1.711</v>
      </c>
    </row>
    <row r="32">
      <c r="A32" s="2" t="n">
        <v>45108</v>
      </c>
      <c r="B32" t="n">
        <v>2.312</v>
      </c>
      <c r="C32" t="n">
        <v>1.759</v>
      </c>
    </row>
    <row r="33">
      <c r="A33" s="2" t="n">
        <v>45139</v>
      </c>
      <c r="B33" t="n">
        <v>2.444</v>
      </c>
      <c r="C33" t="n">
        <v>1.739</v>
      </c>
    </row>
    <row r="34">
      <c r="A34" s="2" t="n">
        <v>45170</v>
      </c>
      <c r="B34" t="n">
        <v>2.491</v>
      </c>
      <c r="C34" t="n">
        <v>1.743</v>
      </c>
    </row>
    <row r="35">
      <c r="A35" s="2" t="n">
        <v>45200</v>
      </c>
      <c r="B35" t="n">
        <v>2.352</v>
      </c>
      <c r="C35" t="n">
        <v>1.479</v>
      </c>
    </row>
    <row r="36">
      <c r="A36" s="2" t="n">
        <v>45231</v>
      </c>
      <c r="B36" t="n">
        <v>2.092</v>
      </c>
      <c r="C36" t="n">
        <v>1.567</v>
      </c>
    </row>
    <row r="37">
      <c r="A37" s="2" t="n">
        <v>45261</v>
      </c>
      <c r="B37" t="n">
        <v>1.905</v>
      </c>
      <c r="C37" t="n">
        <v>1.505</v>
      </c>
    </row>
    <row r="38">
      <c r="A38" s="2" t="n">
        <v>45292</v>
      </c>
      <c r="B38" t="n">
        <v>1.634</v>
      </c>
      <c r="C38" t="n">
        <v>1.572</v>
      </c>
    </row>
    <row r="39">
      <c r="A39" s="2" t="n">
        <v>45323</v>
      </c>
      <c r="B39" t="n">
        <v>1.628</v>
      </c>
      <c r="C39" t="n">
        <v>1.638</v>
      </c>
    </row>
    <row r="40">
      <c r="A40" s="2" t="n">
        <v>45352</v>
      </c>
      <c r="B40" t="n">
        <v>1.821</v>
      </c>
      <c r="C40" t="n">
        <v>1.625</v>
      </c>
    </row>
    <row r="41">
      <c r="A41" s="2" t="n">
        <v>45383</v>
      </c>
      <c r="B41" t="n">
        <v>2.044</v>
      </c>
      <c r="C41" t="n">
        <v>1.71</v>
      </c>
    </row>
    <row r="42">
      <c r="A42" s="2" t="n">
        <v>45413</v>
      </c>
      <c r="B42" t="n">
        <v>2.078</v>
      </c>
      <c r="C42" t="n">
        <v>1.846</v>
      </c>
    </row>
    <row r="43">
      <c r="A43" s="2" t="n">
        <v>45444</v>
      </c>
      <c r="B43" t="n">
        <v>2.052</v>
      </c>
      <c r="C43" t="n">
        <v>1.775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Imports_kt</t>
        </is>
      </c>
      <c r="D1" t="inlineStr">
        <is>
          <t>Imports_mcm_per_day_approx</t>
        </is>
      </c>
      <c r="E1" t="inlineStr">
        <is>
          <t>Source</t>
        </is>
      </c>
      <c r="F1" t="inlineStr">
        <is>
          <t>Workbook_kt</t>
        </is>
      </c>
      <c r="G1" t="inlineStr">
        <is>
          <t>Report_kt</t>
        </is>
      </c>
      <c r="H1" t="inlineStr">
        <is>
          <t>Workbook_vs_report_pct</t>
        </is>
      </c>
      <c r="I1" t="inlineStr">
        <is>
          <t>MoM_change_published</t>
        </is>
      </c>
      <c r="J1" t="inlineStr">
        <is>
          <t>YoY_change_published</t>
        </is>
      </c>
      <c r="K1" t="inlineStr">
        <is>
          <t>Origins</t>
        </is>
      </c>
      <c r="L1" t="inlineStr">
        <is>
          <t>Method</t>
        </is>
      </c>
      <c r="M1" t="inlineStr">
        <is>
          <t>Report</t>
        </is>
      </c>
    </row>
    <row r="2">
      <c r="A2" t="n">
        <v>0</v>
      </c>
      <c r="B2" t="inlineStr">
        <is>
          <t>2021-01</t>
        </is>
      </c>
      <c r="C2" t="n">
        <v>215.4</v>
      </c>
      <c r="D2" t="n">
        <v>9.359999999999999</v>
      </c>
      <c r="E2" t="inlineStr">
        <is>
          <t>CNE import workbook (customs)</t>
        </is>
      </c>
      <c r="F2" t="n">
        <v>215.4</v>
      </c>
      <c r="G2" t="n">
        <v>215</v>
      </c>
      <c r="H2" t="n">
        <v>0.0019</v>
      </c>
      <c r="I2" t="n">
        <v>-0.256</v>
      </c>
      <c r="J2" t="n">
        <v>-0.481</v>
      </c>
      <c r="K2" t="inlineStr">
        <is>
          <t>Argentina y Estados Unidos</t>
        </is>
      </c>
      <c r="L2" t="inlineStr">
        <is>
          <t>text+ocr p16; month stated</t>
        </is>
      </c>
      <c r="M2" t="inlineStr">
        <is>
          <t>https://www.cne.cl/wp-content/uploads/2021/03/RMensual_v202103.pdf</t>
        </is>
      </c>
    </row>
    <row r="3">
      <c r="A3" t="n">
        <v>1</v>
      </c>
      <c r="B3" t="inlineStr">
        <is>
          <t>2021-02</t>
        </is>
      </c>
      <c r="C3" t="n">
        <v>407.1</v>
      </c>
      <c r="D3" t="n">
        <v>19.55</v>
      </c>
      <c r="E3" t="inlineStr">
        <is>
          <t>CNE import workbook (customs)</t>
        </is>
      </c>
      <c r="F3" t="n">
        <v>407.1</v>
      </c>
      <c r="G3" t="n">
        <v>407</v>
      </c>
      <c r="H3" t="n">
        <v>0.0002</v>
      </c>
      <c r="I3" t="n">
        <v>0.89</v>
      </c>
      <c r="J3" t="n">
        <v>-0.078</v>
      </c>
      <c r="K3" t="inlineStr">
        <is>
          <t>Argentina y Estados Unidos</t>
        </is>
      </c>
      <c r="L3" t="inlineStr">
        <is>
          <t>text+ocr p16; month stated</t>
        </is>
      </c>
      <c r="M3" t="inlineStr">
        <is>
          <t>https://www.cne.cl/wp-content/uploads/2021/04/RMensual_v202104.pdf</t>
        </is>
      </c>
    </row>
    <row r="4">
      <c r="A4" t="n">
        <v>2</v>
      </c>
      <c r="B4" t="inlineStr">
        <is>
          <t>2021-03</t>
        </is>
      </c>
      <c r="C4" t="n">
        <v>384</v>
      </c>
      <c r="D4" t="n">
        <v>16.8</v>
      </c>
      <c r="E4" t="inlineStr">
        <is>
          <t>CNE import workbook (customs)</t>
        </is>
      </c>
      <c r="F4" t="n">
        <v>384</v>
      </c>
      <c r="G4" t="n">
        <v>384</v>
      </c>
      <c r="H4" t="n">
        <v>0</v>
      </c>
      <c r="I4" t="n">
        <v>-0.057</v>
      </c>
      <c r="J4" t="n">
        <v>-0.048</v>
      </c>
      <c r="K4" t="inlineStr">
        <is>
          <t>Argentina, Trinidad y Tobago y Estados Unidos</t>
        </is>
      </c>
      <c r="L4" t="inlineStr">
        <is>
          <t>text+ocr p16; month stated</t>
        </is>
      </c>
      <c r="M4" t="inlineStr">
        <is>
          <t>https://www.cne.cl/wp-content/uploads/2021/05/RMensual_v202105.pdf</t>
        </is>
      </c>
    </row>
    <row r="5">
      <c r="A5" t="n">
        <v>3</v>
      </c>
      <c r="B5" t="inlineStr">
        <is>
          <t>2021-04</t>
        </is>
      </c>
      <c r="C5" t="n">
        <v>357.8</v>
      </c>
      <c r="D5" t="n">
        <v>16.2</v>
      </c>
      <c r="E5" t="inlineStr">
        <is>
          <t>CNE import workbook (customs)</t>
        </is>
      </c>
      <c r="F5" t="n">
        <v>357.8</v>
      </c>
      <c r="G5" t="n">
        <v>358</v>
      </c>
      <c r="H5" t="n">
        <v>-0.0005999999999999999</v>
      </c>
      <c r="I5" t="n">
        <v>-0.068</v>
      </c>
      <c r="J5" t="n">
        <v>-0.001</v>
      </c>
      <c r="K5" t="inlineStr">
        <is>
          <t>Argentina, Guinea Ecuatorial, Trinidad y Tobago y Estados Unidos</t>
        </is>
      </c>
      <c r="L5" t="inlineStr">
        <is>
          <t>text+ocr p16; month stated</t>
        </is>
      </c>
      <c r="M5" t="inlineStr">
        <is>
          <t>https://www.cne.cl/wp-content/uploads/2021/06/RMensual_v202106.pdf</t>
        </is>
      </c>
    </row>
    <row r="6">
      <c r="A6" t="n">
        <v>4</v>
      </c>
      <c r="B6" t="inlineStr">
        <is>
          <t>2021-05</t>
        </is>
      </c>
      <c r="C6" t="n">
        <v>350.2</v>
      </c>
      <c r="D6" t="n">
        <v>15.36</v>
      </c>
      <c r="E6" t="inlineStr">
        <is>
          <t>CNE import workbook (customs)</t>
        </is>
      </c>
      <c r="F6" t="n">
        <v>350.2</v>
      </c>
      <c r="G6" t="n">
        <v>350</v>
      </c>
      <c r="H6" t="n">
        <v>0.0005999999999999999</v>
      </c>
      <c r="I6" t="n">
        <v>-0.021</v>
      </c>
      <c r="J6" t="n">
        <v>-0.06</v>
      </c>
      <c r="K6" t="inlineStr">
        <is>
          <t>Trinidad y Tobago y Estados Unidos</t>
        </is>
      </c>
      <c r="L6" t="inlineStr">
        <is>
          <t>text+ocr p16; month stated</t>
        </is>
      </c>
      <c r="M6" t="inlineStr">
        <is>
          <t>https://www.cne.cl/wp-content/uploads/2021/07/RMensual_v202107.pdf</t>
        </is>
      </c>
    </row>
    <row r="7">
      <c r="A7" t="n">
        <v>5</v>
      </c>
      <c r="B7" t="inlineStr">
        <is>
          <t>2021-06</t>
        </is>
      </c>
      <c r="C7" t="n">
        <v>372.4</v>
      </c>
      <c r="D7" t="n">
        <v>16.88</v>
      </c>
      <c r="E7" t="inlineStr">
        <is>
          <t>CNE import workbook (customs)</t>
        </is>
      </c>
      <c r="F7" t="n">
        <v>372.4</v>
      </c>
      <c r="G7" t="n">
        <v>372</v>
      </c>
      <c r="H7" t="n">
        <v>0.0011</v>
      </c>
      <c r="I7" t="n">
        <v>0.063</v>
      </c>
      <c r="J7" t="n">
        <v>-0.102</v>
      </c>
      <c r="K7" t="inlineStr">
        <is>
          <t>Trinidad y Tobago y Estados Unidos</t>
        </is>
      </c>
      <c r="L7" t="inlineStr">
        <is>
          <t>text+ocr p16; month stated</t>
        </is>
      </c>
      <c r="M7" t="inlineStr">
        <is>
          <t>https://www.cne.cl/wp-content/uploads/2021/08/RMensual_v202108.pdf</t>
        </is>
      </c>
    </row>
    <row r="8">
      <c r="A8" t="n">
        <v>6</v>
      </c>
      <c r="B8" t="inlineStr">
        <is>
          <t>2021-07</t>
        </is>
      </c>
      <c r="C8" t="n">
        <v>276.1</v>
      </c>
      <c r="D8" t="n">
        <v>12.1</v>
      </c>
      <c r="E8" t="inlineStr">
        <is>
          <t>CNE import workbook (customs)</t>
        </is>
      </c>
      <c r="F8" t="n">
        <v>276.1</v>
      </c>
      <c r="G8" t="n">
        <v>265</v>
      </c>
      <c r="H8" t="n">
        <v>0.0419</v>
      </c>
      <c r="I8" t="n">
        <v>-0.289</v>
      </c>
      <c r="J8" t="n">
        <v>-0.36</v>
      </c>
      <c r="K8" t="inlineStr">
        <is>
          <t>Trinidad y Tobago, Guinea Ecuatorial y Estados Unidos</t>
        </is>
      </c>
      <c r="L8" t="inlineStr">
        <is>
          <t>text+ocr p16; month stated</t>
        </is>
      </c>
      <c r="M8" t="inlineStr">
        <is>
          <t>https://www.cne.cl/wp-content/uploads/2021/09/RMensual_v202109.pdf</t>
        </is>
      </c>
    </row>
    <row r="9">
      <c r="A9" t="n">
        <v>7</v>
      </c>
      <c r="B9" t="inlineStr">
        <is>
          <t>2021-08</t>
        </is>
      </c>
      <c r="C9" t="n">
        <v>427.3</v>
      </c>
      <c r="D9" t="n">
        <v>18.68</v>
      </c>
      <c r="E9" t="inlineStr">
        <is>
          <t>CNE import workbook (customs)</t>
        </is>
      </c>
      <c r="F9" t="n">
        <v>427.3</v>
      </c>
      <c r="G9" t="n">
        <v>427</v>
      </c>
      <c r="H9" t="n">
        <v>0.0007</v>
      </c>
      <c r="I9" t="n">
        <v>0.548</v>
      </c>
      <c r="J9" t="n">
        <v>0.48</v>
      </c>
      <c r="K9" t="inlineStr">
        <is>
          <t>Argentina, Guinea Ecuatorial y Estados Unidos</t>
        </is>
      </c>
      <c r="L9" t="inlineStr">
        <is>
          <t>text+ocr p16; month stated</t>
        </is>
      </c>
      <c r="M9" t="inlineStr">
        <is>
          <t>https://www.cne.cl/wp-content/uploads/2021/10/RMensual_v202110.pdf</t>
        </is>
      </c>
    </row>
    <row r="10">
      <c r="A10" t="n">
        <v>8</v>
      </c>
      <c r="B10" t="inlineStr">
        <is>
          <t>2021-09</t>
        </is>
      </c>
      <c r="C10" t="n">
        <v>486.5</v>
      </c>
      <c r="D10" t="n">
        <v>21.87</v>
      </c>
      <c r="E10" t="inlineStr">
        <is>
          <t>CNE import workbook (customs)</t>
        </is>
      </c>
      <c r="F10" t="n">
        <v>486.5</v>
      </c>
    </row>
    <row r="11">
      <c r="A11" t="n">
        <v>9</v>
      </c>
      <c r="B11" t="inlineStr">
        <is>
          <t>2021-10</t>
        </is>
      </c>
      <c r="C11" t="n">
        <v>362.3</v>
      </c>
      <c r="D11" t="n">
        <v>15.67</v>
      </c>
      <c r="E11" t="inlineStr">
        <is>
          <t>CNE import workbook (customs)</t>
        </is>
      </c>
      <c r="F11" t="n">
        <v>362.3</v>
      </c>
    </row>
    <row r="12">
      <c r="A12" t="n">
        <v>10</v>
      </c>
      <c r="B12" t="inlineStr">
        <is>
          <t>2021-11</t>
        </is>
      </c>
      <c r="C12" t="n">
        <v>378.8</v>
      </c>
      <c r="D12" t="n">
        <v>16.86</v>
      </c>
      <c r="E12" t="inlineStr">
        <is>
          <t>CNE import workbook (customs)</t>
        </is>
      </c>
      <c r="F12" t="n">
        <v>378.8</v>
      </c>
    </row>
    <row r="13">
      <c r="A13" t="n">
        <v>11</v>
      </c>
      <c r="B13" t="inlineStr">
        <is>
          <t>2021-12</t>
        </is>
      </c>
      <c r="C13" t="n">
        <v>416.7</v>
      </c>
      <c r="D13" t="n">
        <v>18</v>
      </c>
      <c r="E13" t="inlineStr">
        <is>
          <t>CNE import workbook (customs)</t>
        </is>
      </c>
      <c r="F13" t="n">
        <v>416.7</v>
      </c>
      <c r="G13" t="n">
        <v>416.5</v>
      </c>
      <c r="H13" t="n">
        <v>0.0005</v>
      </c>
      <c r="L13" t="inlineStr">
        <is>
          <t>derived: 2022-01 value / (1 + its monthly change -12.6%)</t>
        </is>
      </c>
      <c r="M13" t="inlineStr">
        <is>
          <t>https://www.cne.cl/wp-content/uploads/2022/03/RMensual_v202203.pdf</t>
        </is>
      </c>
    </row>
    <row r="14">
      <c r="A14" t="n">
        <v>12</v>
      </c>
      <c r="B14" t="inlineStr">
        <is>
          <t>2022-01</t>
        </is>
      </c>
      <c r="C14" t="n">
        <v>364.2</v>
      </c>
      <c r="D14" t="n">
        <v>15.68</v>
      </c>
      <c r="E14" t="inlineStr">
        <is>
          <t>CNE import workbook (customs)</t>
        </is>
      </c>
      <c r="F14" t="n">
        <v>364.2</v>
      </c>
      <c r="G14" t="n">
        <v>364</v>
      </c>
      <c r="H14" t="n">
        <v>0.0005</v>
      </c>
      <c r="I14" t="n">
        <v>-0.126</v>
      </c>
      <c r="J14" t="n">
        <v>0.6909999999999999</v>
      </c>
      <c r="K14" t="inlineStr">
        <is>
          <t>Trinidad y Tobago y Argentina</t>
        </is>
      </c>
      <c r="L14" t="inlineStr">
        <is>
          <t>text+ocr p16; month stated</t>
        </is>
      </c>
      <c r="M14" t="inlineStr">
        <is>
          <t>https://www.cne.cl/wp-content/uploads/2022/03/RMensual_v202203.pdf</t>
        </is>
      </c>
    </row>
    <row r="15">
      <c r="A15" t="n">
        <v>13</v>
      </c>
      <c r="B15" t="inlineStr">
        <is>
          <t>2022-02</t>
        </is>
      </c>
      <c r="C15" t="n">
        <v>422.8</v>
      </c>
      <c r="D15" t="n">
        <v>20.21</v>
      </c>
      <c r="E15" t="inlineStr">
        <is>
          <t>CNE import workbook (customs)</t>
        </is>
      </c>
      <c r="F15" t="n">
        <v>422.8</v>
      </c>
      <c r="G15" t="n">
        <v>422.6</v>
      </c>
      <c r="H15" t="n">
        <v>0.0005</v>
      </c>
      <c r="L15" t="inlineStr">
        <is>
          <t>derived: 2023-02 value / (1 + its annual change +5.3%)</t>
        </is>
      </c>
      <c r="M15" t="inlineStr">
        <is>
          <t>https://www.cne.cl/wp-content/uploads/2023/04/RMensual_v202304.pdf</t>
        </is>
      </c>
    </row>
    <row r="16">
      <c r="A16" t="n">
        <v>14</v>
      </c>
      <c r="B16" t="inlineStr">
        <is>
          <t>2022-03</t>
        </is>
      </c>
      <c r="C16" t="n">
        <v>429</v>
      </c>
      <c r="D16" t="n">
        <v>18.55</v>
      </c>
      <c r="E16" t="inlineStr">
        <is>
          <t>CNE import workbook (customs)</t>
        </is>
      </c>
      <c r="F16" t="n">
        <v>429</v>
      </c>
      <c r="G16" t="n">
        <v>429</v>
      </c>
      <c r="H16" t="n">
        <v>0</v>
      </c>
      <c r="K16" t="inlineStr">
        <is>
          <t>Estados Unidos, Trinidad y Tobago, Guinea Ecuatorial y Argentina</t>
        </is>
      </c>
      <c r="L16" t="inlineStr">
        <is>
          <t>ocr p16; month stated</t>
        </is>
      </c>
      <c r="M16" t="inlineStr">
        <is>
          <t>https://www.cne.cl/wp-content/uploads/2022/05/RMensual_v202205.pdf</t>
        </is>
      </c>
    </row>
    <row r="17">
      <c r="A17" t="n">
        <v>15</v>
      </c>
      <c r="B17" t="inlineStr">
        <is>
          <t>2022-04</t>
        </is>
      </c>
      <c r="C17" t="n">
        <v>205.6</v>
      </c>
      <c r="D17" t="n">
        <v>9.289999999999999</v>
      </c>
      <c r="E17" t="inlineStr">
        <is>
          <t>CNE import workbook (customs)</t>
        </is>
      </c>
      <c r="F17" t="n">
        <v>205.6</v>
      </c>
      <c r="G17" t="n">
        <v>206</v>
      </c>
      <c r="H17" t="n">
        <v>-0.0019</v>
      </c>
      <c r="K17" t="inlineStr">
        <is>
          <t>Estados Unidos, Guinea Ecuatorial y Argentina</t>
        </is>
      </c>
      <c r="L17" t="inlineStr">
        <is>
          <t>ocr p16; month stated</t>
        </is>
      </c>
      <c r="M17" t="inlineStr">
        <is>
          <t>https://www.cne.cl/wp-content/uploads/2022/06/RMensual_v202206.pdf</t>
        </is>
      </c>
    </row>
    <row r="18">
      <c r="A18" t="n">
        <v>16</v>
      </c>
      <c r="B18" t="inlineStr">
        <is>
          <t>2022-05</t>
        </is>
      </c>
      <c r="C18" t="n">
        <v>489</v>
      </c>
      <c r="D18" t="n">
        <v>21.31</v>
      </c>
      <c r="E18" t="inlineStr">
        <is>
          <t>CNE import workbook (customs)</t>
        </is>
      </c>
      <c r="F18" t="n">
        <v>489</v>
      </c>
      <c r="G18" t="n">
        <v>489</v>
      </c>
      <c r="H18" t="n">
        <v>0</v>
      </c>
      <c r="J18" t="n">
        <v>0.396</v>
      </c>
      <c r="K18" t="inlineStr">
        <is>
          <t>Guinea Ecuatorial, Argentina, Trinidad y Tobago y Estados Unidos, Trinidad y Tobago</t>
        </is>
      </c>
      <c r="L18" t="inlineStr">
        <is>
          <t>ocr p16; month stated</t>
        </is>
      </c>
      <c r="M18" t="inlineStr">
        <is>
          <t>https://www.cne.cl/wp-content/uploads/2022/07/RMensual_v202207.pdf</t>
        </is>
      </c>
    </row>
    <row r="19">
      <c r="A19" t="n">
        <v>17</v>
      </c>
      <c r="B19" t="inlineStr">
        <is>
          <t>2022-06</t>
        </is>
      </c>
      <c r="C19" t="n">
        <v>423.6</v>
      </c>
      <c r="D19" t="n">
        <v>19.07</v>
      </c>
      <c r="E19" t="inlineStr">
        <is>
          <t>CNE import workbook (customs)</t>
        </is>
      </c>
      <c r="F19" t="n">
        <v>423.6</v>
      </c>
      <c r="G19" t="n">
        <v>424</v>
      </c>
      <c r="H19" t="n">
        <v>-0.0009</v>
      </c>
      <c r="I19" t="n">
        <v>-0.134</v>
      </c>
      <c r="J19" t="n">
        <v>0.138</v>
      </c>
      <c r="K19" t="inlineStr">
        <is>
          <t>Nigeria, Guinea Ecuatorial, Estados Unidos, Trinidad y Tobago, Argentina y Australia</t>
        </is>
      </c>
      <c r="L19" t="inlineStr">
        <is>
          <t>text+ocr p16; month stated</t>
        </is>
      </c>
      <c r="M19" t="inlineStr">
        <is>
          <t>https://www.cne.cl/wp-content/uploads/2022/08/RMensual_v202208.pdf</t>
        </is>
      </c>
    </row>
    <row r="20">
      <c r="A20" t="n">
        <v>18</v>
      </c>
      <c r="B20" t="inlineStr">
        <is>
          <t>2022-07</t>
        </is>
      </c>
      <c r="C20" t="n">
        <v>335.7</v>
      </c>
      <c r="D20" t="n">
        <v>14.59</v>
      </c>
      <c r="E20" t="inlineStr">
        <is>
          <t>CNE import workbook (customs)</t>
        </is>
      </c>
      <c r="F20" t="n">
        <v>335.7</v>
      </c>
      <c r="G20" t="n">
        <v>336</v>
      </c>
      <c r="H20" t="n">
        <v>-0.0009</v>
      </c>
      <c r="I20" t="n">
        <v>-0.208</v>
      </c>
      <c r="J20" t="n">
        <v>0.216</v>
      </c>
      <c r="K20" t="inlineStr">
        <is>
          <t>Nigeria, Australia, Guinea Ecuatorial, Argentina y Trinidad y Tobago</t>
        </is>
      </c>
      <c r="L20" t="inlineStr">
        <is>
          <t>text+ocr p16; month stated</t>
        </is>
      </c>
      <c r="M20" t="inlineStr">
        <is>
          <t>https://www.cne.cl/wp-content/uploads/2022/09/RMensual_v202209.pdf</t>
        </is>
      </c>
    </row>
    <row r="21">
      <c r="A21" t="n">
        <v>19</v>
      </c>
      <c r="B21" t="inlineStr">
        <is>
          <t>2022-08</t>
        </is>
      </c>
      <c r="C21" t="n">
        <v>555.5</v>
      </c>
      <c r="D21" t="n">
        <v>24.12</v>
      </c>
      <c r="E21" t="inlineStr">
        <is>
          <t>CNE import workbook (customs)</t>
        </is>
      </c>
      <c r="F21" t="n">
        <v>555.5</v>
      </c>
      <c r="G21" t="n">
        <v>556</v>
      </c>
      <c r="H21" t="n">
        <v>-0.0009</v>
      </c>
      <c r="I21" t="n">
        <v>0.655</v>
      </c>
      <c r="J21" t="n">
        <v>0.3</v>
      </c>
      <c r="K21" t="inlineStr">
        <is>
          <t>Trinidad y Tobago, Estados Unidos, Guinea Ecuatorial y Argentina</t>
        </is>
      </c>
      <c r="L21" t="inlineStr">
        <is>
          <t>text+ocr p16; month stated</t>
        </is>
      </c>
      <c r="M21" t="inlineStr">
        <is>
          <t>https://www.cne.cl/wp-content/uploads/2022/10/RMensual_v202210.pdf</t>
        </is>
      </c>
    </row>
    <row r="22">
      <c r="A22" t="n">
        <v>20</v>
      </c>
      <c r="B22" t="inlineStr">
        <is>
          <t>2022-09</t>
        </is>
      </c>
      <c r="C22" t="n">
        <v>468.8</v>
      </c>
      <c r="D22" t="n">
        <v>20.81</v>
      </c>
      <c r="E22" t="inlineStr">
        <is>
          <t>CNE import workbook (customs)</t>
        </is>
      </c>
      <c r="F22" t="n">
        <v>468.8</v>
      </c>
      <c r="G22" t="n">
        <v>469</v>
      </c>
      <c r="H22" t="n">
        <v>-0.0004</v>
      </c>
      <c r="K22" t="inlineStr">
        <is>
          <t>Estados Unidos, Guinea Ecuatorial, Trinidad y Tobago, y Argentina</t>
        </is>
      </c>
      <c r="L22" t="inlineStr">
        <is>
          <t>ocr p16; month stated</t>
        </is>
      </c>
      <c r="M22" t="inlineStr">
        <is>
          <t>https://www.cne.cl/wp-content/uploads/2022/11/RMensual_v202211.pdf</t>
        </is>
      </c>
    </row>
    <row r="23">
      <c r="A23" t="n">
        <v>21</v>
      </c>
      <c r="B23" t="inlineStr">
        <is>
          <t>2022-10</t>
        </is>
      </c>
      <c r="C23" t="n">
        <v>443.8</v>
      </c>
      <c r="D23" t="n">
        <v>19.15</v>
      </c>
      <c r="E23" t="inlineStr">
        <is>
          <t>CNE import workbook (customs)</t>
        </is>
      </c>
      <c r="F23" t="n">
        <v>443.8</v>
      </c>
      <c r="G23" t="n">
        <v>444</v>
      </c>
      <c r="H23" t="n">
        <v>-0.0005</v>
      </c>
      <c r="K23" t="inlineStr">
        <is>
          <t>Guinea Ecuatorial, Estados Unidos, Trinidad y Tobago, y Argentina</t>
        </is>
      </c>
      <c r="L23" t="inlineStr">
        <is>
          <t>ocr p16; month stated</t>
        </is>
      </c>
      <c r="M23" t="inlineStr">
        <is>
          <t>https://www.cne.cl/wp-content/uploads/2022/12/RMensual_v202212.pdf</t>
        </is>
      </c>
    </row>
    <row r="24">
      <c r="A24" t="n">
        <v>22</v>
      </c>
      <c r="B24" t="inlineStr">
        <is>
          <t>2022-11</t>
        </is>
      </c>
      <c r="C24" t="n">
        <v>356.4</v>
      </c>
      <c r="D24" t="n">
        <v>15.83</v>
      </c>
      <c r="E24" t="inlineStr">
        <is>
          <t>CNE import workbook (customs)</t>
        </is>
      </c>
      <c r="F24" t="n">
        <v>356.4</v>
      </c>
      <c r="G24" t="n">
        <v>356</v>
      </c>
      <c r="H24" t="n">
        <v>0.0011</v>
      </c>
      <c r="K24" t="inlineStr">
        <is>
          <t>Trinidad y Tobago, Guinea Ecuatorial y Argentina</t>
        </is>
      </c>
      <c r="L24" t="inlineStr">
        <is>
          <t>ocr p16; month stated</t>
        </is>
      </c>
      <c r="M24" t="inlineStr">
        <is>
          <t>https://www.cne.cl/wp-content/uploads/2023/01/RMensual_v202301.pdf</t>
        </is>
      </c>
    </row>
    <row r="25">
      <c r="A25" t="n">
        <v>23</v>
      </c>
      <c r="B25" t="inlineStr">
        <is>
          <t>2022-12</t>
        </is>
      </c>
      <c r="C25" t="n">
        <v>384.9</v>
      </c>
      <c r="D25" t="n">
        <v>16.56</v>
      </c>
      <c r="E25" t="inlineStr">
        <is>
          <t>CNE import workbook (customs)</t>
        </is>
      </c>
      <c r="F25" t="n">
        <v>384.9</v>
      </c>
      <c r="G25" t="n">
        <v>385</v>
      </c>
      <c r="H25" t="n">
        <v>-0.0003</v>
      </c>
      <c r="I25" t="n">
        <v>0.08</v>
      </c>
      <c r="J25" t="n">
        <v>-0.076</v>
      </c>
      <c r="K25" t="inlineStr">
        <is>
          <t>Trinidad y Tobago, Guinea Ecuatorial y Argentina</t>
        </is>
      </c>
      <c r="L25" t="inlineStr">
        <is>
          <t>ocr p16; month stated</t>
        </is>
      </c>
      <c r="M25" t="inlineStr">
        <is>
          <t>https://www.cne.cl/wp-content/uploads/2023/02/RMensual_v202302.pdf</t>
        </is>
      </c>
    </row>
    <row r="26">
      <c r="A26" t="n">
        <v>24</v>
      </c>
      <c r="B26" t="inlineStr">
        <is>
          <t>2023-01</t>
        </is>
      </c>
      <c r="C26" t="n">
        <v>382.7</v>
      </c>
      <c r="D26" t="n">
        <v>16.51</v>
      </c>
      <c r="E26" t="inlineStr">
        <is>
          <t>CNE import workbook (customs)</t>
        </is>
      </c>
      <c r="F26" t="n">
        <v>382.7</v>
      </c>
      <c r="G26" t="n">
        <v>383</v>
      </c>
      <c r="H26" t="n">
        <v>-0.0008</v>
      </c>
      <c r="J26" t="n">
        <v>0.051</v>
      </c>
      <c r="K26" t="inlineStr">
        <is>
          <t>Guinea Ecuatorial, Trinidad y Tobago y Argentina</t>
        </is>
      </c>
      <c r="L26" t="inlineStr">
        <is>
          <t>ocr p16; month stated</t>
        </is>
      </c>
      <c r="M26" t="inlineStr">
        <is>
          <t>https://www.cne.cl/wp-content/uploads/2023/03/RMensual_v202303.pdf</t>
        </is>
      </c>
    </row>
    <row r="27">
      <c r="A27" t="n">
        <v>25</v>
      </c>
      <c r="B27" t="inlineStr">
        <is>
          <t>2023-02</t>
        </is>
      </c>
      <c r="C27" t="n">
        <v>445</v>
      </c>
      <c r="D27" t="n">
        <v>21.26</v>
      </c>
      <c r="E27" t="inlineStr">
        <is>
          <t>CNE import workbook (customs)</t>
        </is>
      </c>
      <c r="F27" t="n">
        <v>445</v>
      </c>
      <c r="G27" t="n">
        <v>445</v>
      </c>
      <c r="H27" t="n">
        <v>0</v>
      </c>
      <c r="I27" t="n">
        <v>0.163</v>
      </c>
      <c r="J27" t="n">
        <v>0.053</v>
      </c>
      <c r="K27" t="inlineStr">
        <is>
          <t>Estados Unidos, Trinidad y Tobago y Argentina</t>
        </is>
      </c>
      <c r="L27" t="inlineStr">
        <is>
          <t>ocr p16; month stated</t>
        </is>
      </c>
      <c r="M27" t="inlineStr">
        <is>
          <t>https://www.cne.cl/wp-content/uploads/2023/04/RMensual_v202304.pdf</t>
        </is>
      </c>
    </row>
    <row r="28">
      <c r="A28" t="n">
        <v>26</v>
      </c>
      <c r="B28" t="inlineStr">
        <is>
          <t>2023-03</t>
        </is>
      </c>
      <c r="C28" t="n">
        <v>463.5</v>
      </c>
      <c r="D28" t="n">
        <v>20.03</v>
      </c>
      <c r="E28" t="inlineStr">
        <is>
          <t>CNE import workbook (customs)</t>
        </is>
      </c>
      <c r="F28" t="n">
        <v>463.5</v>
      </c>
      <c r="G28" t="n">
        <v>463</v>
      </c>
      <c r="H28" t="n">
        <v>0.0011</v>
      </c>
      <c r="I28" t="n">
        <v>0.042</v>
      </c>
      <c r="J28" t="n">
        <v>0.08</v>
      </c>
      <c r="K28" t="inlineStr">
        <is>
          <t>Nigeria, Estados Unidos, Trinidad y Tobago y Argentina</t>
        </is>
      </c>
      <c r="L28" t="inlineStr">
        <is>
          <t>ocr p16; month stated</t>
        </is>
      </c>
      <c r="M28" t="inlineStr">
        <is>
          <t>https://www.cne.cl/wp-content/uploads/2023/05/RMensual_v202305.pdf</t>
        </is>
      </c>
    </row>
    <row r="29">
      <c r="A29" t="n">
        <v>27</v>
      </c>
      <c r="B29" t="inlineStr">
        <is>
          <t>2023-04</t>
        </is>
      </c>
      <c r="C29" t="n">
        <v>342.5</v>
      </c>
      <c r="D29" t="n">
        <v>15.36</v>
      </c>
      <c r="E29" t="inlineStr">
        <is>
          <t>CNE import workbook (customs)</t>
        </is>
      </c>
      <c r="F29" t="n">
        <v>342.5</v>
      </c>
      <c r="G29" t="n">
        <v>342</v>
      </c>
      <c r="H29" t="n">
        <v>0.0015</v>
      </c>
      <c r="J29" t="n">
        <v>0.666</v>
      </c>
      <c r="K29" t="inlineStr">
        <is>
          <t>Guinea Ecuatorial, Trinidad y Tobago, Estados Unidos, y Argentina</t>
        </is>
      </c>
      <c r="L29" t="inlineStr">
        <is>
          <t>ocr p17; month stated</t>
        </is>
      </c>
      <c r="M29" t="inlineStr">
        <is>
          <t>https://www.cne.cl/wp-content/uploads/2023/06/RMensual_v202306.pdf</t>
        </is>
      </c>
    </row>
    <row r="30">
      <c r="A30" t="n">
        <v>28</v>
      </c>
      <c r="B30" t="inlineStr">
        <is>
          <t>2023-05</t>
        </is>
      </c>
      <c r="C30" t="n">
        <v>653.4</v>
      </c>
      <c r="D30" t="n">
        <v>28.33</v>
      </c>
      <c r="E30" t="inlineStr">
        <is>
          <t>CNE import workbook (customs)</t>
        </is>
      </c>
      <c r="F30" t="n">
        <v>653.4</v>
      </c>
      <c r="G30" t="n">
        <v>653</v>
      </c>
      <c r="H30" t="n">
        <v>0.0005999999999999999</v>
      </c>
      <c r="I30" t="n">
        <v>0.908</v>
      </c>
      <c r="J30" t="n">
        <v>0.336</v>
      </c>
      <c r="K30" t="inlineStr">
        <is>
          <t>Estados Unidos, Trinidad y Tobago y Argentina</t>
        </is>
      </c>
      <c r="L30" t="inlineStr">
        <is>
          <t>ocr p17; month stated</t>
        </is>
      </c>
      <c r="M30" t="inlineStr">
        <is>
          <t>https://www.cne.cl/wp-content/uploads/2023/07/RMensual_v202307.pdf</t>
        </is>
      </c>
    </row>
    <row r="31">
      <c r="A31" t="n">
        <v>29</v>
      </c>
      <c r="B31" t="inlineStr">
        <is>
          <t>2023-06</t>
        </is>
      </c>
      <c r="C31" t="n">
        <v>399.9</v>
      </c>
      <c r="D31" t="n">
        <v>17.98</v>
      </c>
      <c r="E31" t="inlineStr">
        <is>
          <t>CNE import workbook (customs)</t>
        </is>
      </c>
      <c r="F31" t="n">
        <v>399.9</v>
      </c>
      <c r="G31" t="n">
        <v>400</v>
      </c>
      <c r="H31" t="n">
        <v>-0.0003</v>
      </c>
      <c r="J31" t="n">
        <v>-0.056</v>
      </c>
      <c r="K31" t="inlineStr">
        <is>
          <t>Trinidad y Tobago, Guinea Ecuatorial, Egipto, Estados Unidos y Argentina</t>
        </is>
      </c>
      <c r="L31" t="inlineStr">
        <is>
          <t>ocr p17; month stated</t>
        </is>
      </c>
      <c r="M31" t="inlineStr">
        <is>
          <t>https://www.cne.cl/wp-content/uploads/2023/08/RMensual_v202308.pdf</t>
        </is>
      </c>
    </row>
    <row r="32">
      <c r="A32" t="n">
        <v>30</v>
      </c>
      <c r="B32" t="inlineStr">
        <is>
          <t>2023-07</t>
        </is>
      </c>
      <c r="C32" t="n">
        <v>365.6</v>
      </c>
      <c r="D32" t="n">
        <v>15.94</v>
      </c>
      <c r="E32" t="inlineStr">
        <is>
          <t>CNE import workbook (customs)</t>
        </is>
      </c>
      <c r="F32" t="n">
        <v>365.6</v>
      </c>
      <c r="G32" t="n">
        <v>366</v>
      </c>
      <c r="H32" t="n">
        <v>-0.0011</v>
      </c>
      <c r="I32" t="n">
        <v>-0.08599999999999999</v>
      </c>
      <c r="J32" t="n">
        <v>0.089</v>
      </c>
      <c r="K32" t="inlineStr">
        <is>
          <t>Guinea Ecuatorial, Estados Unidos , Argentina y Trinidad y Tobago</t>
        </is>
      </c>
      <c r="L32" t="inlineStr">
        <is>
          <t>text+ocr p17; month stated</t>
        </is>
      </c>
      <c r="M32" t="inlineStr">
        <is>
          <t>https://www.cne.cl/wp-content/uploads/2023/09/RMensual_v202309.pdf</t>
        </is>
      </c>
    </row>
    <row r="33">
      <c r="A33" t="n">
        <v>31</v>
      </c>
      <c r="B33" t="inlineStr">
        <is>
          <t>2023-08</t>
        </is>
      </c>
      <c r="C33" t="n">
        <v>319.4</v>
      </c>
      <c r="D33" t="n">
        <v>13.89</v>
      </c>
      <c r="E33" t="inlineStr">
        <is>
          <t>CNE import workbook (customs)</t>
        </is>
      </c>
      <c r="F33" t="n">
        <v>319.4</v>
      </c>
      <c r="G33" t="n">
        <v>319</v>
      </c>
      <c r="H33" t="n">
        <v>0.0013</v>
      </c>
      <c r="K33" t="inlineStr">
        <is>
          <t>Trinidad y Tobago, Guinea Ecuatorial, Estados Unidos y Argentina</t>
        </is>
      </c>
      <c r="L33" t="inlineStr">
        <is>
          <t>ocr p17; month stated</t>
        </is>
      </c>
      <c r="M33" t="inlineStr">
        <is>
          <t>https://www.cne.cl/wp-content/uploads/2023/10/RMensual_v202310.pdf</t>
        </is>
      </c>
    </row>
    <row r="34">
      <c r="A34" t="n">
        <v>32</v>
      </c>
      <c r="B34" t="inlineStr">
        <is>
          <t>2023-09</t>
        </is>
      </c>
      <c r="C34" t="n">
        <v>450.8</v>
      </c>
      <c r="D34" t="n">
        <v>20.11</v>
      </c>
      <c r="E34" t="inlineStr">
        <is>
          <t>CNE import workbook (customs)</t>
        </is>
      </c>
      <c r="F34" t="n">
        <v>450.8</v>
      </c>
      <c r="G34" t="n">
        <v>451</v>
      </c>
      <c r="H34" t="n">
        <v>-0.0004</v>
      </c>
      <c r="I34" t="n">
        <v>0.411</v>
      </c>
      <c r="J34" t="n">
        <v>-0.038</v>
      </c>
      <c r="K34" t="inlineStr">
        <is>
          <t>Estados Unidos, Trinidad y Tobago, Guinea Ecuatorial, y Argentina</t>
        </is>
      </c>
      <c r="L34" t="inlineStr">
        <is>
          <t>ocr p17; month stated</t>
        </is>
      </c>
      <c r="M34" t="inlineStr">
        <is>
          <t>https://www.cne.cl/wp-content/uploads/2023/11/RMensual_v202311.pdf</t>
        </is>
      </c>
    </row>
    <row r="35">
      <c r="A35" t="n">
        <v>33</v>
      </c>
      <c r="B35" t="inlineStr">
        <is>
          <t>2023-10</t>
        </is>
      </c>
      <c r="C35" t="n">
        <v>384.9</v>
      </c>
      <c r="D35" t="n">
        <v>16.56</v>
      </c>
      <c r="E35" t="inlineStr">
        <is>
          <t>CNE import workbook (customs)</t>
        </is>
      </c>
      <c r="F35" t="n">
        <v>384.9</v>
      </c>
      <c r="G35" t="n">
        <v>385</v>
      </c>
      <c r="H35" t="n">
        <v>-0.0003</v>
      </c>
      <c r="K35" t="inlineStr">
        <is>
          <t>Estados Unidos, Trinidad y Tobago y Argentina</t>
        </is>
      </c>
      <c r="L35" t="inlineStr">
        <is>
          <t>ocr p17; month stated</t>
        </is>
      </c>
      <c r="M35" t="inlineStr">
        <is>
          <t>https://www.cne.cl/wp-content/uploads/2023/12/RMensual_v202312.pdf</t>
        </is>
      </c>
    </row>
    <row r="36">
      <c r="A36" t="n">
        <v>34</v>
      </c>
      <c r="B36" t="inlineStr">
        <is>
          <t>2023-11</t>
        </is>
      </c>
      <c r="C36" t="n">
        <v>358.9</v>
      </c>
      <c r="D36" t="n">
        <v>15.96</v>
      </c>
      <c r="E36" t="inlineStr">
        <is>
          <t>CNE import workbook (customs)</t>
        </is>
      </c>
      <c r="F36" t="n">
        <v>358.9</v>
      </c>
      <c r="G36" t="n">
        <v>359</v>
      </c>
      <c r="H36" t="n">
        <v>-0.0003</v>
      </c>
      <c r="I36" t="n">
        <v>-0.068</v>
      </c>
      <c r="J36" t="n">
        <v>0.007</v>
      </c>
      <c r="K36" t="inlineStr">
        <is>
          <t>Guinea Ecuatorial, Trinidad y Tobago y Argentina</t>
        </is>
      </c>
      <c r="L36" t="inlineStr">
        <is>
          <t>ocr p17; month stated</t>
        </is>
      </c>
      <c r="M36" t="inlineStr">
        <is>
          <t>https://www.cne.cl/wp-content/uploads/2024/01/RMensual_v202401.pdf</t>
        </is>
      </c>
    </row>
    <row r="37">
      <c r="A37" t="n">
        <v>35</v>
      </c>
      <c r="B37" t="inlineStr">
        <is>
          <t>2023-12</t>
        </is>
      </c>
      <c r="C37" t="n">
        <v>344</v>
      </c>
      <c r="D37" t="n">
        <v>14.81</v>
      </c>
      <c r="E37" t="inlineStr">
        <is>
          <t>CNE import workbook (customs)</t>
        </is>
      </c>
      <c r="F37" t="n">
        <v>344</v>
      </c>
      <c r="G37" t="n">
        <v>344</v>
      </c>
      <c r="H37" t="n">
        <v>0</v>
      </c>
      <c r="I37" t="n">
        <v>-0.041</v>
      </c>
      <c r="J37" t="n">
        <v>-0.106</v>
      </c>
      <c r="K37" t="inlineStr">
        <is>
          <t>Guinea Ecuatorial, Trinidad y Tobago y Argentina</t>
        </is>
      </c>
      <c r="L37" t="inlineStr">
        <is>
          <t>ocr p17; month stated</t>
        </is>
      </c>
      <c r="M37" t="inlineStr">
        <is>
          <t>https://www.cne.cl/wp-content/uploads/2024/02/RMensual_v202402.pdf</t>
        </is>
      </c>
    </row>
    <row r="38">
      <c r="A38" t="n">
        <v>36</v>
      </c>
      <c r="B38" t="inlineStr">
        <is>
          <t>2024-01</t>
        </is>
      </c>
      <c r="C38" t="n">
        <v>349.9</v>
      </c>
      <c r="D38" t="n">
        <v>15.03</v>
      </c>
      <c r="E38" t="inlineStr">
        <is>
          <t>CNE import workbook (customs)</t>
        </is>
      </c>
      <c r="F38" t="n">
        <v>349.9</v>
      </c>
      <c r="G38" t="n">
        <v>350</v>
      </c>
      <c r="H38" t="n">
        <v>-0.0003</v>
      </c>
      <c r="I38" t="n">
        <v>0.017</v>
      </c>
      <c r="J38" t="n">
        <v>-0.08599999999999999</v>
      </c>
      <c r="K38" t="inlineStr">
        <is>
          <t>Guinea Ecuatorial, Trinidad y Tobago y Argentina</t>
        </is>
      </c>
      <c r="L38" t="inlineStr">
        <is>
          <t>text+ocr p17; month stated</t>
        </is>
      </c>
      <c r="M38" t="inlineStr">
        <is>
          <t>https://www.cne.cl/wp-content/uploads/2024/03/RMensual_v202403.pdf</t>
        </is>
      </c>
    </row>
    <row r="39">
      <c r="A39" t="n">
        <v>37</v>
      </c>
      <c r="B39" t="inlineStr">
        <is>
          <t>2024-02</t>
        </is>
      </c>
      <c r="C39" t="n">
        <v>481.2</v>
      </c>
      <c r="D39" t="n">
        <v>22.2</v>
      </c>
      <c r="E39" t="inlineStr">
        <is>
          <t>CNE import workbook (customs)</t>
        </is>
      </c>
      <c r="F39" t="n">
        <v>481.2</v>
      </c>
      <c r="G39" t="n">
        <v>481</v>
      </c>
      <c r="H39" t="n">
        <v>0.0004</v>
      </c>
      <c r="J39" t="n">
        <v>0.081</v>
      </c>
      <c r="K39" t="inlineStr">
        <is>
          <t>Estados Unidos, Trinidad y Tobago y Argentina</t>
        </is>
      </c>
      <c r="L39" t="inlineStr">
        <is>
          <t>ocr p17; month stated</t>
        </is>
      </c>
      <c r="M39" t="inlineStr">
        <is>
          <t>https://www.cne.cl/wp-content/uploads/2024/04/RMensual_v202404.pdf</t>
        </is>
      </c>
    </row>
    <row r="40">
      <c r="A40" t="n">
        <v>38</v>
      </c>
      <c r="B40" t="inlineStr">
        <is>
          <t>2024-03</t>
        </is>
      </c>
      <c r="C40" t="n">
        <v>408.3</v>
      </c>
      <c r="D40" t="n">
        <v>17.57</v>
      </c>
      <c r="E40" t="inlineStr">
        <is>
          <t>CNE import workbook (customs)</t>
        </is>
      </c>
      <c r="F40" t="n">
        <v>408.3</v>
      </c>
      <c r="G40" t="n">
        <v>408</v>
      </c>
      <c r="H40" t="n">
        <v>0.0007</v>
      </c>
      <c r="K40" t="inlineStr">
        <is>
          <t>Estados Unidos, Trinidad y Tobago y Argentina</t>
        </is>
      </c>
      <c r="L40" t="inlineStr">
        <is>
          <t>ocr p17; month stated</t>
        </is>
      </c>
      <c r="M40" t="inlineStr">
        <is>
          <t>https://www.cne.cl/wp-content/uploads/2024/05/RMensual_v202405.pdf</t>
        </is>
      </c>
    </row>
    <row r="41">
      <c r="A41" t="n">
        <v>39</v>
      </c>
      <c r="B41" t="inlineStr">
        <is>
          <t>2024-04</t>
        </is>
      </c>
      <c r="C41" t="n">
        <v>363.6</v>
      </c>
      <c r="D41" t="n">
        <v>16.27</v>
      </c>
      <c r="E41" t="inlineStr">
        <is>
          <t>CNE import workbook (customs)</t>
        </is>
      </c>
      <c r="F41" t="n">
        <v>363.6</v>
      </c>
      <c r="G41" t="n">
        <v>364</v>
      </c>
      <c r="H41" t="n">
        <v>-0.0011</v>
      </c>
      <c r="I41" t="n">
        <v>-0.11</v>
      </c>
      <c r="J41" t="n">
        <v>0.062</v>
      </c>
      <c r="K41" t="inlineStr">
        <is>
          <t>Trinidad y Tobago, Estados Unidos y Argentina</t>
        </is>
      </c>
      <c r="L41" t="inlineStr">
        <is>
          <t>text+ocr p17; month stated</t>
        </is>
      </c>
      <c r="M41" t="inlineStr">
        <is>
          <t>https://www.cne.cl/wp-content/uploads/2024/06/RMensual_v202406.pdf</t>
        </is>
      </c>
    </row>
    <row r="42">
      <c r="A42" t="n">
        <v>40</v>
      </c>
      <c r="B42" t="inlineStr">
        <is>
          <t>2024-05</t>
        </is>
      </c>
      <c r="C42" t="n">
        <v>447.1</v>
      </c>
      <c r="D42" t="n">
        <v>19.4</v>
      </c>
      <c r="E42" t="inlineStr">
        <is>
          <t>CNE import workbook (customs)</t>
        </is>
      </c>
      <c r="F42" t="n">
        <v>447.1</v>
      </c>
      <c r="G42" t="n">
        <v>447</v>
      </c>
      <c r="H42" t="n">
        <v>0.0002</v>
      </c>
      <c r="I42" t="n">
        <v>0.23</v>
      </c>
      <c r="J42" t="n">
        <v>-0.316</v>
      </c>
      <c r="K42" t="inlineStr">
        <is>
          <t>Estados Unidos, Argentina y Trinidad y Tobago</t>
        </is>
      </c>
      <c r="L42" t="inlineStr">
        <is>
          <t>text+ocr p17; month stated</t>
        </is>
      </c>
      <c r="M42" t="inlineStr">
        <is>
          <t>https://www.cne.cl/wp-content/uploads/2024/07/RMensual_v202407.pdf</t>
        </is>
      </c>
    </row>
    <row r="43">
      <c r="A43" t="n">
        <v>41</v>
      </c>
      <c r="B43" t="inlineStr">
        <is>
          <t>2024-06</t>
        </is>
      </c>
      <c r="C43" t="n">
        <v>374.4</v>
      </c>
      <c r="D43" t="n">
        <v>16.75</v>
      </c>
      <c r="E43" t="inlineStr">
        <is>
          <t>CNE import workbook (customs)</t>
        </is>
      </c>
      <c r="F43" t="n">
        <v>374.4</v>
      </c>
      <c r="G43" t="n">
        <v>374</v>
      </c>
      <c r="H43" t="n">
        <v>0.0011</v>
      </c>
      <c r="I43" t="n">
        <v>-0.163</v>
      </c>
      <c r="J43" t="n">
        <v>-0.064</v>
      </c>
      <c r="K43" t="inlineStr">
        <is>
          <t>Trinidad y Tobago, Estados Unidos y Argentina</t>
        </is>
      </c>
      <c r="L43" t="inlineStr">
        <is>
          <t>text+ocr p17; month stated</t>
        </is>
      </c>
      <c r="M43" t="inlineStr">
        <is>
          <t>https://www.cne.cl/wp-content/uploads/2024/08/RMensual_v202408.pdf</t>
        </is>
      </c>
    </row>
    <row r="44">
      <c r="A44" t="n">
        <v>42</v>
      </c>
      <c r="B44" t="inlineStr">
        <is>
          <t>2024-07</t>
        </is>
      </c>
      <c r="C44" t="n">
        <v>475.1</v>
      </c>
      <c r="D44" t="n">
        <v>20.66</v>
      </c>
      <c r="E44" t="inlineStr">
        <is>
          <t>CNE import workbook (customs)</t>
        </is>
      </c>
      <c r="F44" t="n">
        <v>475.1</v>
      </c>
      <c r="G44" t="n">
        <v>475</v>
      </c>
      <c r="H44" t="n">
        <v>0.0002</v>
      </c>
      <c r="I44" t="n">
        <v>0.269</v>
      </c>
      <c r="J44" t="n">
        <v>0.3</v>
      </c>
      <c r="K44" t="inlineStr">
        <is>
          <t>Trinidad y Tobago, Argentina y Estados Unidos</t>
        </is>
      </c>
      <c r="L44" t="inlineStr">
        <is>
          <t>ocr p17; month stated</t>
        </is>
      </c>
      <c r="M44" t="inlineStr">
        <is>
          <t>https://www.cne.cl/wp-content/uploads/2024/09/RMensual_v202409.pdf</t>
        </is>
      </c>
    </row>
    <row r="45">
      <c r="A45" t="n">
        <v>43</v>
      </c>
      <c r="B45" t="inlineStr">
        <is>
          <t>2024-08</t>
        </is>
      </c>
      <c r="C45" t="n">
        <v>293.9</v>
      </c>
      <c r="D45" t="n">
        <v>12.71</v>
      </c>
      <c r="E45" t="inlineStr">
        <is>
          <t>CNE import workbook (customs)</t>
        </is>
      </c>
      <c r="F45" t="n">
        <v>293.9</v>
      </c>
      <c r="G45" t="n">
        <v>294</v>
      </c>
      <c r="H45" t="n">
        <v>-0.0003</v>
      </c>
      <c r="I45" t="n">
        <v>-0.381</v>
      </c>
      <c r="J45" t="n">
        <v>-0.08</v>
      </c>
      <c r="K45" t="inlineStr">
        <is>
          <t>Trinidad y Tobago, Estados Unidos y Argentina</t>
        </is>
      </c>
      <c r="L45" t="inlineStr">
        <is>
          <t>text+ocr p17; month stated</t>
        </is>
      </c>
      <c r="M45" t="inlineStr">
        <is>
          <t>https://www.cne.cl/wp-content/uploads/2024/10/RMensual_v202410.pdf</t>
        </is>
      </c>
    </row>
    <row r="46">
      <c r="A46" t="n">
        <v>44</v>
      </c>
      <c r="B46" t="inlineStr">
        <is>
          <t>2024-09</t>
        </is>
      </c>
      <c r="C46" t="n">
        <v>317.3</v>
      </c>
      <c r="D46" t="n">
        <v>14.15</v>
      </c>
      <c r="E46" t="inlineStr">
        <is>
          <t>CNE import workbook (customs)</t>
        </is>
      </c>
      <c r="F46" t="n">
        <v>317.3</v>
      </c>
      <c r="G46" t="n">
        <v>317</v>
      </c>
      <c r="H46" t="n">
        <v>0.0009</v>
      </c>
      <c r="I46" t="n">
        <v>0.08</v>
      </c>
      <c r="J46" t="n">
        <v>-0.296</v>
      </c>
      <c r="K46" t="inlineStr">
        <is>
          <t>Trinidad y Tobago, Estados Unidos y Argentina</t>
        </is>
      </c>
      <c r="L46" t="inlineStr">
        <is>
          <t>text+ocr p17; month stated</t>
        </is>
      </c>
      <c r="M46" t="inlineStr">
        <is>
          <t>https://www.cne.cl/wp-content/uploads/2024/11/RMensual_v202411.pdf</t>
        </is>
      </c>
    </row>
    <row r="47">
      <c r="A47" t="n">
        <v>45</v>
      </c>
      <c r="B47" t="inlineStr">
        <is>
          <t>2024-10</t>
        </is>
      </c>
      <c r="C47" t="n">
        <v>432.2</v>
      </c>
      <c r="D47" t="n">
        <v>18.71</v>
      </c>
      <c r="E47" t="inlineStr">
        <is>
          <t>CNE import workbook (customs)</t>
        </is>
      </c>
      <c r="F47" t="n">
        <v>432.2</v>
      </c>
      <c r="G47" t="n">
        <v>432</v>
      </c>
      <c r="H47" t="n">
        <v>0.0005</v>
      </c>
      <c r="I47" t="n">
        <v>0.362</v>
      </c>
      <c r="J47" t="n">
        <v>0.123</v>
      </c>
      <c r="K47" t="inlineStr">
        <is>
          <t>Argentina y Trinidad y Tobago</t>
        </is>
      </c>
      <c r="L47" t="inlineStr">
        <is>
          <t>text+ocr p17; month stated</t>
        </is>
      </c>
      <c r="M47" t="inlineStr">
        <is>
          <t>https://www.cne.cl/wp-content/uploads/2024/12/RMensual_v202412.pdf</t>
        </is>
      </c>
    </row>
    <row r="48">
      <c r="A48" t="n">
        <v>46</v>
      </c>
      <c r="B48" t="inlineStr">
        <is>
          <t>2024-11</t>
        </is>
      </c>
      <c r="C48" t="n">
        <v>224.1</v>
      </c>
      <c r="D48" t="n">
        <v>9.91</v>
      </c>
      <c r="E48" t="inlineStr">
        <is>
          <t>CNE import workbook (customs)</t>
        </is>
      </c>
      <c r="F48" t="n">
        <v>224.1</v>
      </c>
      <c r="G48" t="n">
        <v>224</v>
      </c>
      <c r="H48" t="n">
        <v>0.0004</v>
      </c>
      <c r="K48" t="inlineStr">
        <is>
          <t>Trinidad y Tobago y Argentina</t>
        </is>
      </c>
      <c r="L48" t="inlineStr">
        <is>
          <t>ocr p17; month stated</t>
        </is>
      </c>
      <c r="M48" t="inlineStr">
        <is>
          <t>https://www.cne.cl/wp-content/uploads/2025/01/RMensual_v202501.pdf</t>
        </is>
      </c>
    </row>
    <row r="49">
      <c r="A49" t="n">
        <v>47</v>
      </c>
      <c r="B49" t="inlineStr">
        <is>
          <t>2024-12</t>
        </is>
      </c>
      <c r="C49" t="n">
        <v>303.6</v>
      </c>
      <c r="D49" t="n">
        <v>13.08</v>
      </c>
      <c r="E49" t="inlineStr">
        <is>
          <t>CNE import workbook (customs)</t>
        </is>
      </c>
      <c r="F49" t="n">
        <v>303.6</v>
      </c>
      <c r="G49" t="n">
        <v>304</v>
      </c>
      <c r="H49" t="n">
        <v>-0.0013</v>
      </c>
      <c r="I49" t="n">
        <v>0.355</v>
      </c>
      <c r="K49" t="inlineStr">
        <is>
          <t>Estados Unidos, Trinidad y Tobago y Argentina</t>
        </is>
      </c>
      <c r="L49" t="inlineStr">
        <is>
          <t>ocr p17; month stated</t>
        </is>
      </c>
      <c r="M49" t="inlineStr">
        <is>
          <t>https://www.cne.cl/wp-content/uploads/2025/02/RMensual_v202502.pdf</t>
        </is>
      </c>
    </row>
    <row r="50">
      <c r="A50" t="n">
        <v>48</v>
      </c>
      <c r="B50" t="inlineStr">
        <is>
          <t>2025-01</t>
        </is>
      </c>
      <c r="C50" t="n">
        <v>450.6</v>
      </c>
      <c r="D50" t="n">
        <v>19.45</v>
      </c>
      <c r="E50" t="inlineStr">
        <is>
          <t>CNE import workbook (customs)</t>
        </is>
      </c>
      <c r="F50" t="n">
        <v>450.6</v>
      </c>
      <c r="G50" t="n">
        <v>451</v>
      </c>
      <c r="H50" t="n">
        <v>-0.0009</v>
      </c>
      <c r="I50" t="n">
        <v>0.484</v>
      </c>
      <c r="K50" t="inlineStr">
        <is>
          <t>Estados Unidos y Argentina</t>
        </is>
      </c>
      <c r="L50" t="inlineStr">
        <is>
          <t>ocr p17; month stated</t>
        </is>
      </c>
      <c r="M50" t="inlineStr">
        <is>
          <t>https://www.cne.cl/wp-content/uploads/2025/03/RMensual_v202503.pdf</t>
        </is>
      </c>
    </row>
    <row r="51">
      <c r="A51" t="n">
        <v>49</v>
      </c>
      <c r="B51" t="inlineStr">
        <is>
          <t>2025-02</t>
        </is>
      </c>
      <c r="C51" t="n">
        <v>396.2</v>
      </c>
      <c r="D51" t="n">
        <v>18.85</v>
      </c>
      <c r="E51" t="inlineStr">
        <is>
          <t>CNE import workbook (customs)</t>
        </is>
      </c>
      <c r="F51" t="n">
        <v>396.2</v>
      </c>
      <c r="G51" t="n">
        <v>396</v>
      </c>
      <c r="H51" t="n">
        <v>0.0005</v>
      </c>
      <c r="K51" t="inlineStr">
        <is>
          <t>Trinidad y Tobago y Argentina</t>
        </is>
      </c>
      <c r="L51" t="inlineStr">
        <is>
          <t>ocr p18; month stated</t>
        </is>
      </c>
      <c r="M51" t="inlineStr">
        <is>
          <t>https://www.cne.cl/wp-content/uploads/2025/04/RMensual_v202504.pdf</t>
        </is>
      </c>
    </row>
    <row r="52">
      <c r="A52" t="n">
        <v>50</v>
      </c>
      <c r="B52" t="inlineStr">
        <is>
          <t>2025-03</t>
        </is>
      </c>
      <c r="C52" t="n">
        <v>383.9</v>
      </c>
      <c r="D52" t="n">
        <v>16.5</v>
      </c>
      <c r="E52" t="inlineStr">
        <is>
          <t>CNE import workbook (customs)</t>
        </is>
      </c>
      <c r="F52" t="n">
        <v>383.9</v>
      </c>
      <c r="G52" t="n">
        <v>384</v>
      </c>
      <c r="H52" t="n">
        <v>-0.0003</v>
      </c>
      <c r="I52" t="n">
        <v>-0.031</v>
      </c>
      <c r="J52" t="n">
        <v>-0.06</v>
      </c>
      <c r="K52" t="inlineStr">
        <is>
          <t>Trinidad y Tobago y Argentina</t>
        </is>
      </c>
      <c r="L52" t="inlineStr">
        <is>
          <t>ocr p18; month stated</t>
        </is>
      </c>
      <c r="M52" t="inlineStr">
        <is>
          <t>https://www.cne.cl/wp-content/uploads/2025/05/RMensual_v202505.pdf</t>
        </is>
      </c>
    </row>
    <row r="53">
      <c r="A53" t="n">
        <v>51</v>
      </c>
      <c r="B53" t="inlineStr">
        <is>
          <t>2025-04</t>
        </is>
      </c>
      <c r="C53" t="n">
        <v>508.3</v>
      </c>
      <c r="D53" t="n">
        <v>22.76</v>
      </c>
      <c r="E53" t="inlineStr">
        <is>
          <t>CNE import workbook (customs)</t>
        </is>
      </c>
      <c r="F53" t="n">
        <v>508.3</v>
      </c>
      <c r="G53" t="n">
        <v>508</v>
      </c>
      <c r="H53" t="n">
        <v>0.0005999999999999999</v>
      </c>
      <c r="I53" t="n">
        <v>0.324</v>
      </c>
      <c r="J53" t="n">
        <v>0.398</v>
      </c>
      <c r="K53" t="inlineStr">
        <is>
          <t>Nigeria, Estados Unidos, Trinidad y Tobago, y Argentina</t>
        </is>
      </c>
      <c r="L53" t="inlineStr">
        <is>
          <t>ocr p18; month stated</t>
        </is>
      </c>
      <c r="M53" t="inlineStr">
        <is>
          <t>https://www.cne.cl/wp-content/uploads/2025/06/RMensual_v202506.pdf</t>
        </is>
      </c>
    </row>
    <row r="54">
      <c r="A54" t="n">
        <v>52</v>
      </c>
      <c r="B54" t="inlineStr">
        <is>
          <t>2025-05</t>
        </is>
      </c>
      <c r="C54" t="n">
        <v>402.4</v>
      </c>
      <c r="D54" t="n">
        <v>17.37</v>
      </c>
      <c r="E54" t="inlineStr">
        <is>
          <t>CNE import workbook (customs)</t>
        </is>
      </c>
      <c r="F54" t="n">
        <v>402.4</v>
      </c>
      <c r="G54" t="n">
        <v>402</v>
      </c>
      <c r="H54" t="n">
        <v>0.001</v>
      </c>
      <c r="K54" t="inlineStr">
        <is>
          <t>Nigeria, Trinidad y Tobago, Estados Unidos y Argentina</t>
        </is>
      </c>
      <c r="L54" t="inlineStr">
        <is>
          <t>ocr p18; month stated</t>
        </is>
      </c>
      <c r="M54" t="inlineStr">
        <is>
          <t>https://www.cne.cl/wp-content/uploads/2025/07/RMensual_v202507.pdf</t>
        </is>
      </c>
    </row>
    <row r="55">
      <c r="A55" t="n">
        <v>53</v>
      </c>
      <c r="B55" t="inlineStr">
        <is>
          <t>2025-06</t>
        </is>
      </c>
      <c r="C55" t="n">
        <v>441</v>
      </c>
      <c r="D55" t="n">
        <v>19.71</v>
      </c>
      <c r="E55" t="inlineStr">
        <is>
          <t>CNE import workbook (customs)</t>
        </is>
      </c>
      <c r="F55" t="n">
        <v>441</v>
      </c>
      <c r="G55" t="n">
        <v>441</v>
      </c>
      <c r="H55" t="n">
        <v>0</v>
      </c>
      <c r="I55" t="n">
        <v>0.096</v>
      </c>
      <c r="J55" t="n">
        <v>0.178</v>
      </c>
      <c r="K55" t="inlineStr">
        <is>
          <t>Nigeria, Trinidad y Tobago, Estados Unidos y Argentina</t>
        </is>
      </c>
      <c r="L55" t="inlineStr">
        <is>
          <t>ocr p18; month stated</t>
        </is>
      </c>
      <c r="M55" t="inlineStr">
        <is>
          <t>https://www.cne.cl/wp-content/uploads/2025/08/RMensual_v202508.pdf</t>
        </is>
      </c>
    </row>
    <row r="56">
      <c r="A56" t="n">
        <v>54</v>
      </c>
      <c r="B56" t="inlineStr">
        <is>
          <t>2025-07</t>
        </is>
      </c>
      <c r="C56" t="n">
        <v>496.9</v>
      </c>
      <c r="D56" t="n">
        <v>21.51</v>
      </c>
      <c r="E56" t="inlineStr">
        <is>
          <t>CNE import workbook (customs)</t>
        </is>
      </c>
      <c r="F56" t="n">
        <v>496.9</v>
      </c>
      <c r="G56" t="n">
        <v>497</v>
      </c>
      <c r="H56" t="n">
        <v>-0.0002</v>
      </c>
      <c r="I56" t="n">
        <v>0.127</v>
      </c>
      <c r="J56" t="n">
        <v>0.046</v>
      </c>
      <c r="K56" t="inlineStr">
        <is>
          <t>Trinidad y Tobago, Estados Unidos y Argentina</t>
        </is>
      </c>
      <c r="L56" t="inlineStr">
        <is>
          <t>ocr p18; month stated</t>
        </is>
      </c>
      <c r="M56" t="inlineStr">
        <is>
          <t>https://www.cne.cl/wp-content/uploads/2025/09/RMensual_v202509.pdf</t>
        </is>
      </c>
    </row>
    <row r="57">
      <c r="A57" t="n">
        <v>55</v>
      </c>
      <c r="B57" t="inlineStr">
        <is>
          <t>2025-08</t>
        </is>
      </c>
      <c r="C57" t="n">
        <v>379.5</v>
      </c>
      <c r="D57" t="n">
        <v>16.41</v>
      </c>
      <c r="E57" t="inlineStr">
        <is>
          <t>CNE import workbook (customs)</t>
        </is>
      </c>
      <c r="F57" t="n">
        <v>379.5</v>
      </c>
      <c r="G57" t="n">
        <v>379</v>
      </c>
      <c r="H57" t="n">
        <v>0.0013</v>
      </c>
      <c r="I57" t="n">
        <v>-0.236</v>
      </c>
      <c r="J57" t="n">
        <v>0.291</v>
      </c>
      <c r="K57" t="inlineStr">
        <is>
          <t>Nigeria, Estados Unidos, Trinidad y Tobago y Argentina</t>
        </is>
      </c>
      <c r="L57" t="inlineStr">
        <is>
          <t>text p18; month stated</t>
        </is>
      </c>
      <c r="M57" t="inlineStr">
        <is>
          <t>https://www.cne.cl/wp-content/uploads/2025/10/RMensual_v202510.pdf</t>
        </is>
      </c>
    </row>
    <row r="58">
      <c r="A58" t="n">
        <v>56</v>
      </c>
      <c r="B58" t="inlineStr">
        <is>
          <t>2025-09</t>
        </is>
      </c>
      <c r="C58" t="n">
        <v>430.8</v>
      </c>
      <c r="D58" t="n">
        <v>19.22</v>
      </c>
      <c r="E58" t="inlineStr">
        <is>
          <t>CNE import workbook (customs)</t>
        </is>
      </c>
      <c r="F58" t="n">
        <v>430.8</v>
      </c>
      <c r="G58" t="n">
        <v>431</v>
      </c>
      <c r="H58" t="n">
        <v>-0.0005</v>
      </c>
      <c r="I58" t="n">
        <v>0.135</v>
      </c>
      <c r="J58" t="n">
        <v>0.357</v>
      </c>
      <c r="K58" t="inlineStr">
        <is>
          <t>Estados Unidos, Nigeria, Trinidad y Tobago y Argentina</t>
        </is>
      </c>
      <c r="L58" t="inlineStr">
        <is>
          <t>text p18; month stated</t>
        </is>
      </c>
      <c r="M58" t="inlineStr">
        <is>
          <t>https://www.cne.cl/wp-content/uploads/2025/11/RMensual_v202511.pdf</t>
        </is>
      </c>
    </row>
    <row r="59">
      <c r="A59" t="n">
        <v>57</v>
      </c>
      <c r="B59" t="inlineStr">
        <is>
          <t>2025-10</t>
        </is>
      </c>
      <c r="C59" t="n">
        <v>303.3</v>
      </c>
      <c r="D59" t="n">
        <v>13.01</v>
      </c>
      <c r="E59" t="inlineStr">
        <is>
          <t>CNE import workbook (customs)</t>
        </is>
      </c>
      <c r="F59" t="n">
        <v>303.3</v>
      </c>
      <c r="G59" t="n">
        <v>303</v>
      </c>
      <c r="H59" t="n">
        <v>0.001</v>
      </c>
      <c r="I59" t="n">
        <v>-0.296</v>
      </c>
      <c r="J59" t="n">
        <v>-0.298</v>
      </c>
      <c r="K59" t="inlineStr">
        <is>
          <t>Trinidad y Tobago, Estados Unidos y Argentina</t>
        </is>
      </c>
      <c r="L59" t="inlineStr">
        <is>
          <t>text p18; month stated</t>
        </is>
      </c>
      <c r="M59" t="inlineStr">
        <is>
          <t>https://www.cne.cl/wp-content/uploads/2025/12/RMensual_v202512.pdf</t>
        </is>
      </c>
    </row>
    <row r="60">
      <c r="A60" t="n">
        <v>58</v>
      </c>
      <c r="B60" t="inlineStr">
        <is>
          <t>2025-11</t>
        </is>
      </c>
      <c r="C60" t="n">
        <v>400.7</v>
      </c>
      <c r="D60" t="n">
        <v>17.84</v>
      </c>
      <c r="E60" t="inlineStr">
        <is>
          <t>CNE import workbook (customs)</t>
        </is>
      </c>
      <c r="F60" t="n">
        <v>400.7</v>
      </c>
      <c r="G60" t="n">
        <v>401</v>
      </c>
      <c r="H60" t="n">
        <v>-0.0007</v>
      </c>
      <c r="I60" t="n">
        <v>0.321</v>
      </c>
      <c r="J60" t="n">
        <v>0.788</v>
      </c>
      <c r="K60" t="inlineStr">
        <is>
          <t>Australia, Estados Unidos, Trinidad y Tobago y Argentina</t>
        </is>
      </c>
      <c r="L60" t="inlineStr">
        <is>
          <t>text p18; month stated</t>
        </is>
      </c>
      <c r="M60" t="inlineStr">
        <is>
          <t>https://www.cne.cl/wp-content/uploads/2026/01/RMensual_v202601.pdf</t>
        </is>
      </c>
    </row>
    <row r="61">
      <c r="A61" t="n">
        <v>59</v>
      </c>
      <c r="B61" t="inlineStr">
        <is>
          <t>2025-12</t>
        </is>
      </c>
      <c r="C61" t="n">
        <v>412.8</v>
      </c>
      <c r="D61" t="n">
        <v>17.77</v>
      </c>
      <c r="E61" t="inlineStr">
        <is>
          <t>CNE import workbook (customs)</t>
        </is>
      </c>
      <c r="F61" t="n">
        <v>412.8</v>
      </c>
      <c r="G61" t="n">
        <v>413</v>
      </c>
      <c r="H61" t="n">
        <v>-0.0005</v>
      </c>
      <c r="I61" t="n">
        <v>0.03</v>
      </c>
      <c r="J61" t="n">
        <v>0.36</v>
      </c>
      <c r="K61" t="inlineStr">
        <is>
          <t>Australia, Estados Unidos, Trinidad y Tobago y Argentina</t>
        </is>
      </c>
      <c r="L61" t="inlineStr">
        <is>
          <t>text p18; month stated</t>
        </is>
      </c>
      <c r="M61" t="inlineStr">
        <is>
          <t>https://www.cne.cl/wp-content/uploads/2026/02/RMensual_v202602.pdf</t>
        </is>
      </c>
    </row>
    <row r="62">
      <c r="A62" t="n">
        <v>60</v>
      </c>
      <c r="B62" t="inlineStr">
        <is>
          <t>2026-01</t>
        </is>
      </c>
      <c r="C62" t="n">
        <v>429.1</v>
      </c>
      <c r="D62" t="n">
        <v>18.44</v>
      </c>
      <c r="E62" t="inlineStr">
        <is>
          <t>CNE import workbook (customs)</t>
        </is>
      </c>
      <c r="F62" t="n">
        <v>429.1</v>
      </c>
      <c r="G62" t="n">
        <v>429</v>
      </c>
      <c r="H62" t="n">
        <v>0.0002</v>
      </c>
      <c r="I62" t="n">
        <v>0.039</v>
      </c>
      <c r="J62" t="n">
        <v>-0.048</v>
      </c>
      <c r="K62" t="inlineStr">
        <is>
          <t>Trinidad y Tobago, Estados Unidos, y Argentina</t>
        </is>
      </c>
      <c r="L62" t="inlineStr">
        <is>
          <t>text p18; month stated</t>
        </is>
      </c>
      <c r="M62" t="inlineStr">
        <is>
          <t>https://www.cne.cl/wp-content/uploads/2026/03/RMensual_v202603.pdf</t>
        </is>
      </c>
    </row>
    <row r="63">
      <c r="A63" t="n">
        <v>61</v>
      </c>
      <c r="B63" t="inlineStr">
        <is>
          <t>2026-02</t>
        </is>
      </c>
      <c r="C63" t="n">
        <v>444.8</v>
      </c>
      <c r="D63" t="n">
        <v>21.16</v>
      </c>
      <c r="E63" t="inlineStr">
        <is>
          <t>CNE import workbook (customs)</t>
        </is>
      </c>
      <c r="F63" t="n">
        <v>444.8</v>
      </c>
      <c r="G63" t="n">
        <v>445</v>
      </c>
      <c r="H63" t="n">
        <v>-0.0004</v>
      </c>
      <c r="I63" t="n">
        <v>0.037</v>
      </c>
      <c r="J63" t="n">
        <v>0.123</v>
      </c>
      <c r="K63" t="inlineStr">
        <is>
          <t>Australia y Argentina</t>
        </is>
      </c>
      <c r="L63" t="inlineStr">
        <is>
          <t>text p18; month stated</t>
        </is>
      </c>
      <c r="M63" t="inlineStr">
        <is>
          <t>https://www.cne.cl/wp-content/uploads/2026/04/RMensual_v202604.pdf</t>
        </is>
      </c>
    </row>
    <row r="64">
      <c r="A64" t="n">
        <v>62</v>
      </c>
      <c r="B64" t="inlineStr">
        <is>
          <t>2026-03</t>
        </is>
      </c>
      <c r="C64" t="n">
        <v>466.8</v>
      </c>
      <c r="D64" t="n">
        <v>20.08</v>
      </c>
      <c r="E64" t="inlineStr">
        <is>
          <t>CNE import workbook (customs)</t>
        </is>
      </c>
      <c r="F64" t="n">
        <v>466.8</v>
      </c>
      <c r="G64" t="n">
        <v>466.3</v>
      </c>
      <c r="H64" t="n">
        <v>0.0011</v>
      </c>
      <c r="L64" t="inlineStr">
        <is>
          <t>derived: 2026-04 value / (1 + its monthly change -6.5%)</t>
        </is>
      </c>
      <c r="M64" t="inlineStr">
        <is>
          <t>https://www.cne.cl/wp-content/uploads/2026/06/RMensual_v202606.pdf</t>
        </is>
      </c>
    </row>
    <row r="65">
      <c r="A65" t="n">
        <v>63</v>
      </c>
      <c r="B65" t="inlineStr">
        <is>
          <t>2026-04</t>
        </is>
      </c>
      <c r="C65" t="n">
        <v>436.3</v>
      </c>
      <c r="D65" t="n">
        <v>19.42</v>
      </c>
      <c r="E65" t="inlineStr">
        <is>
          <t>CNE import workbook (customs)</t>
        </is>
      </c>
      <c r="F65" t="n">
        <v>436.3</v>
      </c>
      <c r="G65" t="n">
        <v>436</v>
      </c>
      <c r="H65" t="n">
        <v>0.0007</v>
      </c>
      <c r="I65" t="n">
        <v>-0.065</v>
      </c>
      <c r="J65" t="n">
        <v>-0.142</v>
      </c>
      <c r="K65" t="inlineStr">
        <is>
          <t>Trinidad y Tobago, Estados Unidos y Argentina</t>
        </is>
      </c>
      <c r="L65" t="inlineStr">
        <is>
          <t>text p17; month stated</t>
        </is>
      </c>
      <c r="M65" t="inlineStr">
        <is>
          <t>https://www.cne.cl/wp-content/uploads/2026/06/RMensual_v202606.pdf</t>
        </is>
      </c>
    </row>
    <row r="66">
      <c r="A66" t="n">
        <v>64</v>
      </c>
      <c r="B66" t="inlineStr">
        <is>
          <t>2026-05</t>
        </is>
      </c>
      <c r="C66" t="n">
        <v>460.8</v>
      </c>
      <c r="D66" t="n">
        <v>19.89</v>
      </c>
      <c r="E66" t="inlineStr">
        <is>
          <t>CNE import workbook (customs)</t>
        </is>
      </c>
      <c r="F66" t="n">
        <v>460.8</v>
      </c>
      <c r="G66" t="n">
        <v>461</v>
      </c>
      <c r="H66" t="n">
        <v>-0.0004</v>
      </c>
      <c r="I66" t="n">
        <v>0.056</v>
      </c>
      <c r="J66" t="n">
        <v>0.145</v>
      </c>
      <c r="L66" t="inlineStr">
        <is>
          <t>text p17; month stated</t>
        </is>
      </c>
      <c r="M66" t="inlineStr">
        <is>
          <t>https://www.cne.cl/wp-content/uploads/2026/07/RMensual_v202607.pdf</t>
        </is>
      </c>
    </row>
    <row r="67">
      <c r="A67" t="n">
        <v>65</v>
      </c>
      <c r="B67" t="inlineStr">
        <is>
          <t>2026-06</t>
        </is>
      </c>
      <c r="C67" t="n">
        <v>445</v>
      </c>
      <c r="D67" t="n">
        <v>19.79</v>
      </c>
      <c r="E67" t="inlineStr">
        <is>
          <t>CNE import workbook (customs)</t>
        </is>
      </c>
      <c r="F67" t="n">
        <v>445</v>
      </c>
      <c r="G67" t="n">
        <v>445</v>
      </c>
      <c r="H67" t="n">
        <v>0</v>
      </c>
      <c r="I67" t="n">
        <v>-0.034</v>
      </c>
      <c r="J67" t="n">
        <v>0.008999999999999999</v>
      </c>
      <c r="L67" t="inlineStr">
        <is>
          <t>text p17; month stated</t>
        </is>
      </c>
      <c r="M67" t="inlineStr">
        <is>
          <t>https://www.cne.cl/wp-content/uploads/2026/08/RMensual_v202608.pdf</t>
        </is>
      </c>
    </row>
    <row r="68">
      <c r="A68" t="n">
        <v>66</v>
      </c>
      <c r="B68" t="inlineStr">
        <is>
          <t>2026-07</t>
        </is>
      </c>
      <c r="C68" t="n">
        <v>514.2</v>
      </c>
      <c r="D68" t="n">
        <v>22.23</v>
      </c>
      <c r="E68" t="inlineStr">
        <is>
          <t>CNE import workbook (customs)</t>
        </is>
      </c>
      <c r="F68" t="n">
        <v>514.2</v>
      </c>
      <c r="G68" t="n">
        <v>514</v>
      </c>
      <c r="H68" t="n">
        <v>0.0004</v>
      </c>
      <c r="I68" t="n">
        <v>0.155</v>
      </c>
      <c r="J68" t="n">
        <v>0.035</v>
      </c>
      <c r="K68" t="inlineStr">
        <is>
          <t>Trinidad y Tobago, Estados Unidos y Argentina</t>
        </is>
      </c>
      <c r="L68" t="inlineStr">
        <is>
          <t>text p17; month stated</t>
        </is>
      </c>
      <c r="M68" t="inlineStr">
        <is>
          <t>https://www.cne.cl/wp-content/uploads/2026/09/RMensual_v202609.pdf</t>
        </is>
      </c>
    </row>
    <row r="69">
      <c r="A69" t="n">
        <v>67</v>
      </c>
      <c r="B69" t="inlineStr">
        <is>
          <t>2026-08</t>
        </is>
      </c>
      <c r="C69" t="n">
        <v>318.9</v>
      </c>
      <c r="D69" t="n">
        <v>13.74</v>
      </c>
      <c r="E69" t="inlineStr">
        <is>
          <t>CNE import workbook (customs)</t>
        </is>
      </c>
      <c r="F69" t="n">
        <v>318.9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Pipeline_energy_II_region_mcm_per_day</t>
        </is>
      </c>
      <c r="D1" t="inlineStr">
        <is>
          <t>Pipeline_energy_RM_V_region_mcm_per_day</t>
        </is>
      </c>
      <c r="E1" t="inlineStr">
        <is>
          <t>Pipeline_energy_VIII_region_mcm_per_day</t>
        </is>
      </c>
      <c r="F1" t="inlineStr">
        <is>
          <t>Pipeline_petrochemical_Magallanes_mcm_per_day</t>
        </is>
      </c>
      <c r="G1" t="inlineStr">
        <is>
          <t>LNG_II_region_Mejillones_mcm_per_day</t>
        </is>
      </c>
      <c r="H1" t="inlineStr">
        <is>
          <t>LNG_V_region_Quintero_mcm_per_day</t>
        </is>
      </c>
      <c r="I1" t="inlineStr">
        <is>
          <t>Total_mcm_per_day_approx</t>
        </is>
      </c>
      <c r="J1" t="inlineStr">
        <is>
          <t>Pipeline_energy_II_region_mcm</t>
        </is>
      </c>
      <c r="K1" t="inlineStr">
        <is>
          <t>Pipeline_energy_RM_V_region_mcm</t>
        </is>
      </c>
      <c r="L1" t="inlineStr">
        <is>
          <t>Pipeline_energy_VIII_region_mcm</t>
        </is>
      </c>
      <c r="M1" t="inlineStr">
        <is>
          <t>Pipeline_petrochemical_Magallanes_mcm</t>
        </is>
      </c>
      <c r="N1" t="inlineStr">
        <is>
          <t>LNG_II_region_Mejillones_t</t>
        </is>
      </c>
      <c r="O1" t="inlineStr">
        <is>
          <t>LNG_V_region_Quintero_t</t>
        </is>
      </c>
      <c r="P1" t="inlineStr">
        <is>
          <t>Source_file</t>
        </is>
      </c>
    </row>
    <row r="2">
      <c r="A2" t="n">
        <v>0</v>
      </c>
      <c r="B2" t="inlineStr">
        <is>
          <t>2021-01</t>
        </is>
      </c>
      <c r="C2" t="n">
        <v>0</v>
      </c>
      <c r="D2" t="n">
        <v>2.112</v>
      </c>
      <c r="E2" t="n">
        <v>0.048</v>
      </c>
      <c r="F2" t="n">
        <v>1.19</v>
      </c>
      <c r="G2" t="n">
        <v>3.019</v>
      </c>
      <c r="H2" t="n">
        <v>2.987</v>
      </c>
      <c r="I2" t="n">
        <v>9.359999999999999</v>
      </c>
      <c r="J2" t="n">
        <v>0</v>
      </c>
      <c r="K2" t="n">
        <v>65.47597222222223</v>
      </c>
      <c r="L2" t="n">
        <v>1.500595238095238</v>
      </c>
      <c r="M2" t="n">
        <v>36.89463492063492</v>
      </c>
      <c r="N2" t="n">
        <v>68818.04340000001</v>
      </c>
      <c r="O2" t="n">
        <v>68092.47504999999</v>
      </c>
      <c r="P2" t="inlineStr">
        <is>
          <t>https://www.cne.cl/wp-content/uploads/2026/10/importaciones-web.xlsx</t>
        </is>
      </c>
    </row>
    <row r="3">
      <c r="A3" t="n">
        <v>1</v>
      </c>
      <c r="B3" t="inlineStr">
        <is>
          <t>2021-02</t>
        </is>
      </c>
      <c r="C3" t="n">
        <v>0</v>
      </c>
      <c r="D3" t="n">
        <v>6.812</v>
      </c>
      <c r="E3" t="n">
        <v>0.143</v>
      </c>
      <c r="F3" t="n">
        <v>1.163</v>
      </c>
      <c r="G3" t="n">
        <v>3.13</v>
      </c>
      <c r="H3" t="n">
        <v>8.298999999999999</v>
      </c>
      <c r="I3" t="n">
        <v>19.55</v>
      </c>
      <c r="J3" t="n">
        <v>0</v>
      </c>
      <c r="K3" t="n">
        <v>190.7256547619048</v>
      </c>
      <c r="L3" t="n">
        <v>4.001587301587302</v>
      </c>
      <c r="M3" t="n">
        <v>32.56291666666667</v>
      </c>
      <c r="N3" t="n">
        <v>64438.23215</v>
      </c>
      <c r="O3" t="n">
        <v>170868.94174</v>
      </c>
      <c r="P3" t="inlineStr">
        <is>
          <t>https://www.cne.cl/wp-content/uploads/2026/10/importaciones-web.xlsx</t>
        </is>
      </c>
    </row>
    <row r="4">
      <c r="A4" t="n">
        <v>2</v>
      </c>
      <c r="B4" t="inlineStr">
        <is>
          <t>2021-03</t>
        </is>
      </c>
      <c r="C4" t="n">
        <v>0</v>
      </c>
      <c r="D4" t="n">
        <v>0.581</v>
      </c>
      <c r="E4" t="n">
        <v>0.065</v>
      </c>
      <c r="F4" t="n">
        <v>0.891</v>
      </c>
      <c r="G4" t="n">
        <v>3.552</v>
      </c>
      <c r="H4" t="n">
        <v>11.715</v>
      </c>
      <c r="I4" t="n">
        <v>16.8</v>
      </c>
      <c r="J4" t="n">
        <v>0</v>
      </c>
      <c r="K4" t="n">
        <v>18.00714285714286</v>
      </c>
      <c r="L4" t="n">
        <v>2.000793650793651</v>
      </c>
      <c r="M4" t="n">
        <v>27.61095238095238</v>
      </c>
      <c r="N4" t="n">
        <v>80965.0048</v>
      </c>
      <c r="O4" t="n">
        <v>267034.31757</v>
      </c>
      <c r="P4" t="inlineStr">
        <is>
          <t>https://www.cne.cl/wp-content/uploads/2026/10/importaciones-web.xlsx</t>
        </is>
      </c>
    </row>
    <row r="5">
      <c r="A5" t="n">
        <v>3</v>
      </c>
      <c r="B5" t="inlineStr">
        <is>
          <t>2021-04</t>
        </is>
      </c>
      <c r="C5" t="n">
        <v>0</v>
      </c>
      <c r="D5" t="n">
        <v>0.64</v>
      </c>
      <c r="E5" t="n">
        <v>0</v>
      </c>
      <c r="F5" t="n">
        <v>0</v>
      </c>
      <c r="G5" t="n">
        <v>3.355</v>
      </c>
      <c r="H5" t="n">
        <v>12.208</v>
      </c>
      <c r="I5" t="n">
        <v>16.2</v>
      </c>
      <c r="J5" t="n">
        <v>0</v>
      </c>
      <c r="K5" t="n">
        <v>19.20761904761905</v>
      </c>
      <c r="L5" t="n">
        <v>0</v>
      </c>
      <c r="M5" t="n">
        <v>0</v>
      </c>
      <c r="N5" t="n">
        <v>73999.21678</v>
      </c>
      <c r="O5" t="n">
        <v>269295.17154</v>
      </c>
      <c r="P5" t="inlineStr">
        <is>
          <t>https://www.cne.cl/wp-content/uploads/2026/10/importaciones-web.xlsx</t>
        </is>
      </c>
    </row>
    <row r="6">
      <c r="A6" t="n">
        <v>4</v>
      </c>
      <c r="B6" t="inlineStr">
        <is>
          <t>2021-05</t>
        </is>
      </c>
      <c r="C6" t="n">
        <v>0</v>
      </c>
      <c r="D6" t="n">
        <v>0</v>
      </c>
      <c r="E6" t="n">
        <v>0</v>
      </c>
      <c r="F6" t="n">
        <v>0</v>
      </c>
      <c r="G6" t="n">
        <v>2.982</v>
      </c>
      <c r="H6" t="n">
        <v>12.38</v>
      </c>
      <c r="I6" t="n">
        <v>15.36</v>
      </c>
      <c r="J6" t="n">
        <v>0</v>
      </c>
      <c r="K6" t="n">
        <v>0</v>
      </c>
      <c r="L6" t="n">
        <v>0</v>
      </c>
      <c r="M6" t="n">
        <v>0</v>
      </c>
      <c r="N6" t="n">
        <v>67980.16026</v>
      </c>
      <c r="O6" t="n">
        <v>282199.59763</v>
      </c>
      <c r="P6" t="inlineStr">
        <is>
          <t>https://www.cne.cl/wp-content/uploads/2026/10/importaciones-web.xlsx</t>
        </is>
      </c>
    </row>
    <row r="7">
      <c r="A7" t="n">
        <v>5</v>
      </c>
      <c r="B7" t="inlineStr">
        <is>
          <t>2021-06</t>
        </is>
      </c>
      <c r="C7" t="n">
        <v>0</v>
      </c>
      <c r="D7" t="n">
        <v>0</v>
      </c>
      <c r="E7" t="n">
        <v>0</v>
      </c>
      <c r="F7" t="n">
        <v>0</v>
      </c>
      <c r="G7" t="n">
        <v>3.573</v>
      </c>
      <c r="H7" t="n">
        <v>13.308</v>
      </c>
      <c r="I7" t="n">
        <v>16.88</v>
      </c>
      <c r="J7" t="n">
        <v>0</v>
      </c>
      <c r="K7" t="n">
        <v>0</v>
      </c>
      <c r="L7" t="n">
        <v>0</v>
      </c>
      <c r="M7" t="n">
        <v>0</v>
      </c>
      <c r="N7" t="n">
        <v>78821.12116</v>
      </c>
      <c r="O7" t="n">
        <v>293558.90587</v>
      </c>
      <c r="P7" t="inlineStr">
        <is>
          <t>https://www.cne.cl/wp-content/uploads/2026/10/importaciones-web.xlsx</t>
        </is>
      </c>
    </row>
    <row r="8">
      <c r="A8" t="n">
        <v>6</v>
      </c>
      <c r="B8" t="inlineStr">
        <is>
          <t>2021-07</t>
        </is>
      </c>
      <c r="C8" t="n">
        <v>0</v>
      </c>
      <c r="D8" t="n">
        <v>0.484</v>
      </c>
      <c r="E8" t="n">
        <v>0</v>
      </c>
      <c r="F8" t="n">
        <v>0</v>
      </c>
      <c r="G8" t="n">
        <v>2.439</v>
      </c>
      <c r="H8" t="n">
        <v>9.173999999999999</v>
      </c>
      <c r="I8" t="n">
        <v>12.1</v>
      </c>
      <c r="J8" t="n">
        <v>0</v>
      </c>
      <c r="K8" t="n">
        <v>15.00595238095238</v>
      </c>
      <c r="L8" t="n">
        <v>0</v>
      </c>
      <c r="M8" t="n">
        <v>0</v>
      </c>
      <c r="N8" t="n">
        <v>55594.38787</v>
      </c>
      <c r="O8" t="n">
        <v>209117.72107</v>
      </c>
      <c r="P8" t="inlineStr">
        <is>
          <t>https://www.cne.cl/wp-content/uploads/2026/10/importaciones-web.xlsx</t>
        </is>
      </c>
    </row>
    <row r="9">
      <c r="A9" t="n">
        <v>7</v>
      </c>
      <c r="B9" t="inlineStr">
        <is>
          <t>2021-08</t>
        </is>
      </c>
      <c r="C9" t="n">
        <v>0</v>
      </c>
      <c r="D9" t="n">
        <v>2.162</v>
      </c>
      <c r="E9" t="n">
        <v>0</v>
      </c>
      <c r="F9" t="n">
        <v>0.097</v>
      </c>
      <c r="G9" t="n">
        <v>4.72</v>
      </c>
      <c r="H9" t="n">
        <v>11.705</v>
      </c>
      <c r="I9" t="n">
        <v>18.68</v>
      </c>
      <c r="J9" t="n">
        <v>0</v>
      </c>
      <c r="K9" t="n">
        <v>67.02658728835979</v>
      </c>
      <c r="L9" t="n">
        <v>0</v>
      </c>
      <c r="M9" t="n">
        <v>3.001190476190476</v>
      </c>
      <c r="N9" t="n">
        <v>107590.56473</v>
      </c>
      <c r="O9" t="n">
        <v>266801.00439</v>
      </c>
      <c r="P9" t="inlineStr">
        <is>
          <t>https://www.cne.cl/wp-content/uploads/2026/10/importaciones-web.xlsx</t>
        </is>
      </c>
    </row>
    <row r="10">
      <c r="A10" t="n">
        <v>8</v>
      </c>
      <c r="B10" t="inlineStr">
        <is>
          <t>2021-09</t>
        </is>
      </c>
      <c r="C10" t="n">
        <v>0</v>
      </c>
      <c r="D10" t="n">
        <v>3.625</v>
      </c>
      <c r="E10" t="n">
        <v>0.181</v>
      </c>
      <c r="F10" t="n">
        <v>2.678</v>
      </c>
      <c r="G10" t="n">
        <v>4.128</v>
      </c>
      <c r="H10" t="n">
        <v>11.262</v>
      </c>
      <c r="I10" t="n">
        <v>21.87</v>
      </c>
      <c r="J10" t="n">
        <v>0</v>
      </c>
      <c r="K10" t="n">
        <v>108.7431349206349</v>
      </c>
      <c r="L10" t="n">
        <v>5.427152777777778</v>
      </c>
      <c r="M10" t="n">
        <v>80.35287341269841</v>
      </c>
      <c r="N10" t="n">
        <v>91053.26903</v>
      </c>
      <c r="O10" t="n">
        <v>248415.77034</v>
      </c>
      <c r="P10" t="inlineStr">
        <is>
          <t>https://www.cne.cl/wp-content/uploads/2026/10/importaciones-web.xlsx</t>
        </is>
      </c>
    </row>
    <row r="11">
      <c r="A11" t="n">
        <v>9</v>
      </c>
      <c r="B11" t="inlineStr">
        <is>
          <t>2021-10</t>
        </is>
      </c>
      <c r="C11" t="n">
        <v>0</v>
      </c>
      <c r="D11" t="n">
        <v>5.391</v>
      </c>
      <c r="E11" t="n">
        <v>0.324</v>
      </c>
      <c r="F11" t="n">
        <v>2.136</v>
      </c>
      <c r="G11" t="n">
        <v>2.371</v>
      </c>
      <c r="H11" t="n">
        <v>5.452</v>
      </c>
      <c r="I11" t="n">
        <v>15.67</v>
      </c>
      <c r="J11" t="n">
        <v>0</v>
      </c>
      <c r="K11" t="n">
        <v>167.1062857142857</v>
      </c>
      <c r="L11" t="n">
        <v>10.0539880952381</v>
      </c>
      <c r="M11" t="n">
        <v>66.21726626984126</v>
      </c>
      <c r="N11" t="n">
        <v>54050.47407</v>
      </c>
      <c r="O11" t="n">
        <v>124276.34138</v>
      </c>
      <c r="P11" t="inlineStr">
        <is>
          <t>https://www.cne.cl/wp-content/uploads/2026/10/importaciones-web.xlsx</t>
        </is>
      </c>
    </row>
    <row r="12">
      <c r="A12" t="n">
        <v>10</v>
      </c>
      <c r="B12" t="inlineStr">
        <is>
          <t>2021-11</t>
        </is>
      </c>
      <c r="C12" t="n">
        <v>0</v>
      </c>
      <c r="D12" t="n">
        <v>8.167999999999999</v>
      </c>
      <c r="E12" t="n">
        <v>0.275</v>
      </c>
      <c r="F12" t="n">
        <v>2.558</v>
      </c>
      <c r="G12" t="n">
        <v>1.377</v>
      </c>
      <c r="H12" t="n">
        <v>4.486</v>
      </c>
      <c r="I12" t="n">
        <v>16.86</v>
      </c>
      <c r="J12" t="n">
        <v>0</v>
      </c>
      <c r="K12" t="n">
        <v>245.0472023809524</v>
      </c>
      <c r="L12" t="n">
        <v>8.25327380952381</v>
      </c>
      <c r="M12" t="n">
        <v>76.7304365079365</v>
      </c>
      <c r="N12" t="n">
        <v>30382.68608</v>
      </c>
      <c r="O12" t="n">
        <v>98946.05184</v>
      </c>
      <c r="P12" t="inlineStr">
        <is>
          <t>https://www.cne.cl/wp-content/uploads/2026/10/importaciones-web.xlsx</t>
        </is>
      </c>
    </row>
    <row r="13">
      <c r="A13" t="n">
        <v>11</v>
      </c>
      <c r="B13" t="inlineStr">
        <is>
          <t>2021-12</t>
        </is>
      </c>
      <c r="C13" t="n">
        <v>0</v>
      </c>
      <c r="D13" t="n">
        <v>6.713</v>
      </c>
      <c r="E13" t="n">
        <v>0.399</v>
      </c>
      <c r="F13" t="n">
        <v>3.011</v>
      </c>
      <c r="G13" t="n">
        <v>2.39</v>
      </c>
      <c r="H13" t="n">
        <v>5.484</v>
      </c>
      <c r="I13" t="n">
        <v>18</v>
      </c>
      <c r="J13" t="n">
        <v>0</v>
      </c>
      <c r="K13" t="n">
        <v>208.1025476190476</v>
      </c>
      <c r="L13" t="n">
        <v>12.35990277777778</v>
      </c>
      <c r="M13" t="n">
        <v>93.34802817460317</v>
      </c>
      <c r="N13" t="n">
        <v>54470.62452</v>
      </c>
      <c r="O13" t="n">
        <v>125000.25459</v>
      </c>
      <c r="P13" t="inlineStr">
        <is>
          <t>https://www.cne.cl/wp-content/uploads/2026/10/importaciones-web.xlsx</t>
        </is>
      </c>
    </row>
    <row r="14">
      <c r="A14" t="n">
        <v>12</v>
      </c>
      <c r="B14" t="inlineStr">
        <is>
          <t>2022-01</t>
        </is>
      </c>
      <c r="C14" t="n">
        <v>0</v>
      </c>
      <c r="D14" t="n">
        <v>7.611</v>
      </c>
      <c r="E14" t="n">
        <v>0.427</v>
      </c>
      <c r="F14" t="n">
        <v>2.341</v>
      </c>
      <c r="G14" t="n">
        <v>0.953</v>
      </c>
      <c r="H14" t="n">
        <v>4.353</v>
      </c>
      <c r="I14" t="n">
        <v>15.68</v>
      </c>
      <c r="J14" t="n">
        <v>0</v>
      </c>
      <c r="K14" t="n">
        <v>235.9510942460318</v>
      </c>
      <c r="L14" t="n">
        <v>13.24525396825397</v>
      </c>
      <c r="M14" t="n">
        <v>72.57678888888888</v>
      </c>
      <c r="N14" t="n">
        <v>21733.55929</v>
      </c>
      <c r="O14" t="n">
        <v>99220.02</v>
      </c>
      <c r="P14" t="inlineStr">
        <is>
          <t>https://www.cne.cl/wp-content/uploads/2026/10/importaciones-web.xlsx</t>
        </is>
      </c>
    </row>
    <row r="15">
      <c r="A15" t="n">
        <v>13</v>
      </c>
      <c r="B15" t="inlineStr">
        <is>
          <t>2022-02</t>
        </is>
      </c>
      <c r="C15" t="n">
        <v>0</v>
      </c>
      <c r="D15" t="n">
        <v>8.345000000000001</v>
      </c>
      <c r="E15" t="n">
        <v>0.358</v>
      </c>
      <c r="F15" t="n">
        <v>2.87</v>
      </c>
      <c r="G15" t="n">
        <v>3.782</v>
      </c>
      <c r="H15" t="n">
        <v>4.854</v>
      </c>
      <c r="I15" t="n">
        <v>20.21</v>
      </c>
      <c r="J15" t="n">
        <v>0</v>
      </c>
      <c r="K15" t="n">
        <v>233.6533344708995</v>
      </c>
      <c r="L15" t="n">
        <v>10.02897817460317</v>
      </c>
      <c r="M15" t="n">
        <v>80.35287341269841</v>
      </c>
      <c r="N15" t="n">
        <v>77868.91972000001</v>
      </c>
      <c r="O15" t="n">
        <v>99936.19903</v>
      </c>
      <c r="P15" t="inlineStr">
        <is>
          <t>https://www.cne.cl/wp-content/uploads/2026/10/importaciones-web.xlsx</t>
        </is>
      </c>
    </row>
    <row r="16">
      <c r="A16" t="n">
        <v>14</v>
      </c>
      <c r="B16" t="inlineStr">
        <is>
          <t>2022-03</t>
        </is>
      </c>
      <c r="C16" t="n">
        <v>0</v>
      </c>
      <c r="D16" t="n">
        <v>6.904</v>
      </c>
      <c r="E16" t="n">
        <v>0.302</v>
      </c>
      <c r="F16" t="n">
        <v>2.508</v>
      </c>
      <c r="G16" t="n">
        <v>3.005</v>
      </c>
      <c r="H16" t="n">
        <v>5.828</v>
      </c>
      <c r="I16" t="n">
        <v>18.55</v>
      </c>
      <c r="J16" t="n">
        <v>0</v>
      </c>
      <c r="K16" t="n">
        <v>214.0349150396825</v>
      </c>
      <c r="L16" t="n">
        <v>9.353710317460317</v>
      </c>
      <c r="M16" t="n">
        <v>77.76084523809524</v>
      </c>
      <c r="N16" t="n">
        <v>68494.51409</v>
      </c>
      <c r="O16" t="n">
        <v>132846.41765</v>
      </c>
      <c r="P16" t="inlineStr">
        <is>
          <t>https://www.cne.cl/wp-content/uploads/2026/10/importaciones-web.xlsx</t>
        </is>
      </c>
    </row>
    <row r="17">
      <c r="A17" t="n">
        <v>15</v>
      </c>
      <c r="B17" t="inlineStr">
        <is>
          <t>2022-04</t>
        </is>
      </c>
      <c r="C17" t="n">
        <v>0</v>
      </c>
      <c r="D17" t="n">
        <v>0.79</v>
      </c>
      <c r="E17" t="n">
        <v>0.1</v>
      </c>
      <c r="F17" t="n">
        <v>0</v>
      </c>
      <c r="G17" t="n">
        <v>4.315</v>
      </c>
      <c r="H17" t="n">
        <v>4.089</v>
      </c>
      <c r="I17" t="n">
        <v>9.289999999999999</v>
      </c>
      <c r="J17" t="n">
        <v>0</v>
      </c>
      <c r="K17" t="n">
        <v>23.68939682539683</v>
      </c>
      <c r="L17" t="n">
        <v>3.001190476190476</v>
      </c>
      <c r="M17" t="n">
        <v>0</v>
      </c>
      <c r="N17" t="n">
        <v>95182.72786</v>
      </c>
      <c r="O17" t="n">
        <v>90197.01087</v>
      </c>
      <c r="P17" t="inlineStr">
        <is>
          <t>https://www.cne.cl/wp-content/uploads/2026/10/importaciones-web.xlsx</t>
        </is>
      </c>
    </row>
    <row r="18">
      <c r="A18" t="n">
        <v>16</v>
      </c>
      <c r="B18" t="inlineStr">
        <is>
          <t>2022-05</t>
        </is>
      </c>
      <c r="C18" t="n">
        <v>0</v>
      </c>
      <c r="D18" t="n">
        <v>4.712</v>
      </c>
      <c r="E18" t="n">
        <v>0.484</v>
      </c>
      <c r="F18" t="n">
        <v>0</v>
      </c>
      <c r="G18" t="n">
        <v>2.69</v>
      </c>
      <c r="H18" t="n">
        <v>13.421</v>
      </c>
      <c r="I18" t="n">
        <v>21.31</v>
      </c>
      <c r="J18" t="n">
        <v>0</v>
      </c>
      <c r="K18" t="n">
        <v>146.0579365079365</v>
      </c>
      <c r="L18" t="n">
        <v>15.00595238095238</v>
      </c>
      <c r="M18" t="n">
        <v>0</v>
      </c>
      <c r="N18" t="n">
        <v>61311.64055</v>
      </c>
      <c r="O18" t="n">
        <v>305926.24636</v>
      </c>
      <c r="P18" t="inlineStr">
        <is>
          <t>https://www.cne.cl/wp-content/uploads/2026/10/importaciones-web.xlsx</t>
        </is>
      </c>
    </row>
    <row r="19">
      <c r="A19" t="n">
        <v>17</v>
      </c>
      <c r="B19" t="inlineStr">
        <is>
          <t>2022-06</t>
        </is>
      </c>
      <c r="C19" t="n">
        <v>0</v>
      </c>
      <c r="D19" t="n">
        <v>4.035</v>
      </c>
      <c r="E19" t="n">
        <v>0.697</v>
      </c>
      <c r="F19" t="n">
        <v>0</v>
      </c>
      <c r="G19" t="n">
        <v>1.623</v>
      </c>
      <c r="H19" t="n">
        <v>12.717</v>
      </c>
      <c r="I19" t="n">
        <v>19.07</v>
      </c>
      <c r="J19" t="n">
        <v>0</v>
      </c>
      <c r="K19" t="n">
        <v>121.0480158730159</v>
      </c>
      <c r="L19" t="n">
        <v>20.90829365079365</v>
      </c>
      <c r="M19" t="n">
        <v>0</v>
      </c>
      <c r="N19" t="n">
        <v>35796.57771</v>
      </c>
      <c r="O19" t="n">
        <v>280522.58574</v>
      </c>
      <c r="P19" t="inlineStr">
        <is>
          <t>https://www.cne.cl/wp-content/uploads/2026/10/importaciones-web.xlsx</t>
        </is>
      </c>
    </row>
    <row r="20">
      <c r="A20" t="n">
        <v>18</v>
      </c>
      <c r="B20" t="inlineStr">
        <is>
          <t>2022-07</t>
        </is>
      </c>
      <c r="C20" t="n">
        <v>0</v>
      </c>
      <c r="D20" t="n">
        <v>4.558</v>
      </c>
      <c r="E20" t="n">
        <v>0.461</v>
      </c>
      <c r="F20" t="n">
        <v>0</v>
      </c>
      <c r="G20" t="n">
        <v>1.908</v>
      </c>
      <c r="H20" t="n">
        <v>7.659</v>
      </c>
      <c r="I20" t="n">
        <v>14.59</v>
      </c>
      <c r="J20" t="n">
        <v>0</v>
      </c>
      <c r="K20" t="n">
        <v>141.3060515873016</v>
      </c>
      <c r="L20" t="n">
        <v>14.3056746031746</v>
      </c>
      <c r="M20" t="n">
        <v>0</v>
      </c>
      <c r="N20" t="n">
        <v>43481.43192</v>
      </c>
      <c r="O20" t="n">
        <v>174570.97477</v>
      </c>
      <c r="P20" t="inlineStr">
        <is>
          <t>https://www.cne.cl/wp-content/uploads/2026/10/importaciones-web.xlsx</t>
        </is>
      </c>
    </row>
    <row r="21">
      <c r="A21" t="n">
        <v>19</v>
      </c>
      <c r="B21" t="inlineStr">
        <is>
          <t>2022-08</t>
        </is>
      </c>
      <c r="C21" t="n">
        <v>0</v>
      </c>
      <c r="D21" t="n">
        <v>8.617000000000001</v>
      </c>
      <c r="E21" t="n">
        <v>0.387</v>
      </c>
      <c r="F21" t="n">
        <v>0</v>
      </c>
      <c r="G21" t="n">
        <v>6.336</v>
      </c>
      <c r="H21" t="n">
        <v>8.776999999999999</v>
      </c>
      <c r="I21" t="n">
        <v>24.12</v>
      </c>
      <c r="J21" t="n">
        <v>0</v>
      </c>
      <c r="K21" t="n">
        <v>267.1259603174603</v>
      </c>
      <c r="L21" t="n">
        <v>12.0047619047619</v>
      </c>
      <c r="M21" t="n">
        <v>0</v>
      </c>
      <c r="N21" t="n">
        <v>144424.49182</v>
      </c>
      <c r="O21" t="n">
        <v>200061.29464</v>
      </c>
      <c r="P21" t="inlineStr">
        <is>
          <t>https://www.cne.cl/wp-content/uploads/2026/10/importaciones-web.xlsx</t>
        </is>
      </c>
    </row>
    <row r="22">
      <c r="A22" t="n">
        <v>20</v>
      </c>
      <c r="B22" t="inlineStr">
        <is>
          <t>2022-09</t>
        </is>
      </c>
      <c r="C22" t="n">
        <v>0</v>
      </c>
      <c r="D22" t="n">
        <v>13.914</v>
      </c>
      <c r="E22" t="n">
        <v>0.462</v>
      </c>
      <c r="F22" t="n">
        <v>1.344</v>
      </c>
      <c r="G22" t="n">
        <v>0.391</v>
      </c>
      <c r="H22" t="n">
        <v>4.696</v>
      </c>
      <c r="I22" t="n">
        <v>20.81</v>
      </c>
      <c r="J22" t="n">
        <v>0</v>
      </c>
      <c r="K22" t="n">
        <v>417.4280803703704</v>
      </c>
      <c r="L22" t="n">
        <v>13.85549603174603</v>
      </c>
      <c r="M22" t="n">
        <v>40.31599206349206</v>
      </c>
      <c r="N22" t="n">
        <v>8634.320119999998</v>
      </c>
      <c r="O22" t="n">
        <v>103596.85888</v>
      </c>
      <c r="P22" t="inlineStr">
        <is>
          <t>https://www.cne.cl/wp-content/uploads/2026/10/importaciones-web.xlsx</t>
        </is>
      </c>
    </row>
    <row r="23">
      <c r="A23" t="n">
        <v>21</v>
      </c>
      <c r="B23" t="inlineStr">
        <is>
          <t>2022-10</t>
        </is>
      </c>
      <c r="C23" t="n">
        <v>0</v>
      </c>
      <c r="D23" t="n">
        <v>9.602</v>
      </c>
      <c r="E23" t="n">
        <v>0.403</v>
      </c>
      <c r="F23" t="n">
        <v>1.259</v>
      </c>
      <c r="G23" t="n">
        <v>3.615</v>
      </c>
      <c r="H23" t="n">
        <v>4.274</v>
      </c>
      <c r="I23" t="n">
        <v>19.15</v>
      </c>
      <c r="J23" t="n">
        <v>0</v>
      </c>
      <c r="K23" t="n">
        <v>297.6596770767196</v>
      </c>
      <c r="L23" t="n">
        <v>12.50496031746032</v>
      </c>
      <c r="M23" t="n">
        <v>39.01547619047619</v>
      </c>
      <c r="N23" t="n">
        <v>82402.90447999998</v>
      </c>
      <c r="O23" t="n">
        <v>97431.53619</v>
      </c>
      <c r="P23" t="inlineStr">
        <is>
          <t>https://www.cne.cl/wp-content/uploads/2026/10/importaciones-web.xlsx</t>
        </is>
      </c>
    </row>
    <row r="24">
      <c r="A24" t="n">
        <v>22</v>
      </c>
      <c r="B24" t="inlineStr">
        <is>
          <t>2022-11</t>
        </is>
      </c>
      <c r="C24" t="n">
        <v>0</v>
      </c>
      <c r="D24" t="n">
        <v>10.621</v>
      </c>
      <c r="E24" t="n">
        <v>0.393</v>
      </c>
      <c r="F24" t="n">
        <v>0.667</v>
      </c>
      <c r="G24" t="n">
        <v>1.461</v>
      </c>
      <c r="H24" t="n">
        <v>2.687</v>
      </c>
      <c r="I24" t="n">
        <v>15.83</v>
      </c>
      <c r="J24" t="n">
        <v>0</v>
      </c>
      <c r="K24" t="n">
        <v>318.6371961772487</v>
      </c>
      <c r="L24" t="n">
        <v>11.80068095238095</v>
      </c>
      <c r="M24" t="n">
        <v>20.00793650793651</v>
      </c>
      <c r="N24" t="n">
        <v>32229.24375</v>
      </c>
      <c r="O24" t="n">
        <v>59279.2049</v>
      </c>
      <c r="P24" t="inlineStr">
        <is>
          <t>https://www.cne.cl/wp-content/uploads/2026/10/importaciones-web.xlsx</t>
        </is>
      </c>
    </row>
    <row r="25">
      <c r="A25" t="n">
        <v>23</v>
      </c>
      <c r="B25" t="inlineStr">
        <is>
          <t>2022-12</t>
        </is>
      </c>
      <c r="C25" t="n">
        <v>0</v>
      </c>
      <c r="D25" t="n">
        <v>9.488</v>
      </c>
      <c r="E25" t="n">
        <v>0.323</v>
      </c>
      <c r="F25" t="n">
        <v>1.956</v>
      </c>
      <c r="G25" t="n">
        <v>1.002</v>
      </c>
      <c r="H25" t="n">
        <v>3.786</v>
      </c>
      <c r="I25" t="n">
        <v>16.56</v>
      </c>
      <c r="J25" t="n">
        <v>0</v>
      </c>
      <c r="K25" t="n">
        <v>294.1271768253969</v>
      </c>
      <c r="L25" t="n">
        <v>10.01697341269841</v>
      </c>
      <c r="M25" t="n">
        <v>60.62404761904762</v>
      </c>
      <c r="N25" t="n">
        <v>22835.76975</v>
      </c>
      <c r="O25" t="n">
        <v>86308.25081</v>
      </c>
      <c r="P25" t="inlineStr">
        <is>
          <t>https://www.cne.cl/wp-content/uploads/2026/10/importaciones-web.xlsx</t>
        </is>
      </c>
    </row>
    <row r="26">
      <c r="A26" t="n">
        <v>24</v>
      </c>
      <c r="B26" t="inlineStr">
        <is>
          <t>2023-01</t>
        </is>
      </c>
      <c r="C26" t="n">
        <v>0</v>
      </c>
      <c r="D26" t="n">
        <v>8.571</v>
      </c>
      <c r="E26" t="n">
        <v>0.404</v>
      </c>
      <c r="F26" t="n">
        <v>1.175</v>
      </c>
      <c r="G26" t="n">
        <v>2.598</v>
      </c>
      <c r="H26" t="n">
        <v>3.757</v>
      </c>
      <c r="I26" t="n">
        <v>16.51</v>
      </c>
      <c r="J26" t="n">
        <v>0</v>
      </c>
      <c r="K26" t="n">
        <v>265.7026143783069</v>
      </c>
      <c r="L26" t="n">
        <v>12.52496825396825</v>
      </c>
      <c r="M26" t="n">
        <v>36.41444444444444</v>
      </c>
      <c r="N26" t="n">
        <v>59220.48259000001</v>
      </c>
      <c r="O26" t="n">
        <v>85634.79956</v>
      </c>
      <c r="P26" t="inlineStr">
        <is>
          <t>https://www.cne.cl/wp-content/uploads/2026/10/importaciones-web.xlsx</t>
        </is>
      </c>
    </row>
    <row r="27">
      <c r="A27" t="n">
        <v>25</v>
      </c>
      <c r="B27" t="inlineStr">
        <is>
          <t>2023-02</t>
        </is>
      </c>
      <c r="C27" t="n">
        <v>0</v>
      </c>
      <c r="D27" t="n">
        <v>10.44</v>
      </c>
      <c r="E27" t="n">
        <v>0.583</v>
      </c>
      <c r="F27" t="n">
        <v>1.44</v>
      </c>
      <c r="G27" t="n">
        <v>4.944</v>
      </c>
      <c r="H27" t="n">
        <v>3.856</v>
      </c>
      <c r="I27" t="n">
        <v>21.26</v>
      </c>
      <c r="J27" t="n">
        <v>0</v>
      </c>
      <c r="K27" t="n">
        <v>292.3328900925926</v>
      </c>
      <c r="L27" t="n">
        <v>16.33648015873016</v>
      </c>
      <c r="M27" t="n">
        <v>40.31599206349206</v>
      </c>
      <c r="N27" t="n">
        <v>101794.90114</v>
      </c>
      <c r="O27" t="n">
        <v>79388.59816999998</v>
      </c>
      <c r="P27" t="inlineStr">
        <is>
          <t>https://www.cne.cl/wp-content/uploads/2026/10/importaciones-web.xlsx</t>
        </is>
      </c>
    </row>
    <row r="28">
      <c r="A28" t="n">
        <v>26</v>
      </c>
      <c r="B28" t="inlineStr">
        <is>
          <t>2023-03</t>
        </is>
      </c>
      <c r="C28" t="n">
        <v>0</v>
      </c>
      <c r="D28" t="n">
        <v>9.186</v>
      </c>
      <c r="E28" t="n">
        <v>0.574</v>
      </c>
      <c r="F28" t="n">
        <v>0.9360000000000001</v>
      </c>
      <c r="G28" t="n">
        <v>4.263</v>
      </c>
      <c r="H28" t="n">
        <v>5.073</v>
      </c>
      <c r="I28" t="n">
        <v>20.03</v>
      </c>
      <c r="J28" t="n">
        <v>0</v>
      </c>
      <c r="K28" t="n">
        <v>284.7782824338624</v>
      </c>
      <c r="L28" t="n">
        <v>17.80706349206349</v>
      </c>
      <c r="M28" t="n">
        <v>29.01150793650794</v>
      </c>
      <c r="N28" t="n">
        <v>97179.48502000001</v>
      </c>
      <c r="O28" t="n">
        <v>115625.01667</v>
      </c>
      <c r="P28" t="inlineStr">
        <is>
          <t>https://www.cne.cl/wp-content/uploads/2026/10/importaciones-web.xlsx</t>
        </is>
      </c>
    </row>
    <row r="29">
      <c r="A29" t="n">
        <v>27</v>
      </c>
      <c r="B29" t="inlineStr">
        <is>
          <t>2023-04</t>
        </is>
      </c>
      <c r="C29" t="n">
        <v>0</v>
      </c>
      <c r="D29" t="n">
        <v>5.002</v>
      </c>
      <c r="E29" t="n">
        <v>0.577</v>
      </c>
      <c r="F29" t="n">
        <v>0.333</v>
      </c>
      <c r="G29" t="n">
        <v>3.367</v>
      </c>
      <c r="H29" t="n">
        <v>6.079</v>
      </c>
      <c r="I29" t="n">
        <v>15.36</v>
      </c>
      <c r="J29" t="n">
        <v>0</v>
      </c>
      <c r="K29" t="n">
        <v>150.0686324206349</v>
      </c>
      <c r="L29" t="n">
        <v>17.30686507936508</v>
      </c>
      <c r="M29" t="n">
        <v>10.00396825396825</v>
      </c>
      <c r="N29" t="n">
        <v>74264.59563000001</v>
      </c>
      <c r="O29" t="n">
        <v>134090.89308</v>
      </c>
      <c r="P29" t="inlineStr">
        <is>
          <t>https://www.cne.cl/wp-content/uploads/2026/10/importaciones-web.xlsx</t>
        </is>
      </c>
    </row>
    <row r="30">
      <c r="A30" t="n">
        <v>28</v>
      </c>
      <c r="B30" t="inlineStr">
        <is>
          <t>2023-05</t>
        </is>
      </c>
      <c r="C30" t="n">
        <v>0</v>
      </c>
      <c r="D30" t="n">
        <v>11.167</v>
      </c>
      <c r="E30" t="n">
        <v>0.837</v>
      </c>
      <c r="F30" t="n">
        <v>0</v>
      </c>
      <c r="G30" t="n">
        <v>5.702</v>
      </c>
      <c r="H30" t="n">
        <v>10.623</v>
      </c>
      <c r="I30" t="n">
        <v>28.33</v>
      </c>
      <c r="J30" t="n">
        <v>0</v>
      </c>
      <c r="K30" t="n">
        <v>346.164998584656</v>
      </c>
      <c r="L30" t="n">
        <v>25.96029761904762</v>
      </c>
      <c r="M30" t="n">
        <v>0</v>
      </c>
      <c r="N30" t="n">
        <v>129973.59314</v>
      </c>
      <c r="O30" t="n">
        <v>242133.29764</v>
      </c>
      <c r="P30" t="inlineStr">
        <is>
          <t>https://www.cne.cl/wp-content/uploads/2026/10/importaciones-web.xlsx</t>
        </is>
      </c>
    </row>
    <row r="31">
      <c r="A31" t="n">
        <v>29</v>
      </c>
      <c r="B31" t="inlineStr">
        <is>
          <t>2023-06</t>
        </is>
      </c>
      <c r="C31" t="n">
        <v>0</v>
      </c>
      <c r="D31" t="n">
        <v>4.891</v>
      </c>
      <c r="E31" t="n">
        <v>0.544</v>
      </c>
      <c r="F31" t="n">
        <v>0</v>
      </c>
      <c r="G31" t="n">
        <v>5.375</v>
      </c>
      <c r="H31" t="n">
        <v>7.167</v>
      </c>
      <c r="I31" t="n">
        <v>17.98</v>
      </c>
      <c r="J31" t="n">
        <v>0</v>
      </c>
      <c r="K31" t="n">
        <v>146.7381433333333</v>
      </c>
      <c r="L31" t="n">
        <v>16.30646825396826</v>
      </c>
      <c r="M31" t="n">
        <v>0</v>
      </c>
      <c r="N31" t="n">
        <v>118572.46021</v>
      </c>
      <c r="O31" t="n">
        <v>158085.32246</v>
      </c>
      <c r="P31" t="inlineStr">
        <is>
          <t>https://www.cne.cl/wp-content/uploads/2026/10/importaciones-web.xlsx</t>
        </is>
      </c>
    </row>
    <row r="32">
      <c r="A32" t="n">
        <v>30</v>
      </c>
      <c r="B32" t="inlineStr">
        <is>
          <t>2023-07</t>
        </is>
      </c>
      <c r="C32" t="n">
        <v>0</v>
      </c>
      <c r="D32" t="n">
        <v>3.189</v>
      </c>
      <c r="E32" t="n">
        <v>0.445</v>
      </c>
      <c r="F32" t="n">
        <v>0</v>
      </c>
      <c r="G32" t="n">
        <v>3.226</v>
      </c>
      <c r="H32" t="n">
        <v>9.076000000000001</v>
      </c>
      <c r="I32" t="n">
        <v>15.94</v>
      </c>
      <c r="J32" t="n">
        <v>0</v>
      </c>
      <c r="K32" t="n">
        <v>98.84455447089948</v>
      </c>
      <c r="L32" t="n">
        <v>13.80547619047619</v>
      </c>
      <c r="M32" t="n">
        <v>0</v>
      </c>
      <c r="N32" t="n">
        <v>73541.18253000001</v>
      </c>
      <c r="O32" t="n">
        <v>206869.99866</v>
      </c>
      <c r="P32" t="inlineStr">
        <is>
          <t>https://www.cne.cl/wp-content/uploads/2026/10/importaciones-web.xlsx</t>
        </is>
      </c>
    </row>
    <row r="33">
      <c r="A33" t="n">
        <v>31</v>
      </c>
      <c r="B33" t="inlineStr">
        <is>
          <t>2023-08</t>
        </is>
      </c>
      <c r="C33" t="n">
        <v>0</v>
      </c>
      <c r="D33" t="n">
        <v>4.132</v>
      </c>
      <c r="E33" t="n">
        <v>0.397</v>
      </c>
      <c r="F33" t="n">
        <v>0</v>
      </c>
      <c r="G33" t="n">
        <v>2.699</v>
      </c>
      <c r="H33" t="n">
        <v>6.659</v>
      </c>
      <c r="I33" t="n">
        <v>13.89</v>
      </c>
      <c r="J33" t="n">
        <v>0</v>
      </c>
      <c r="K33" t="n">
        <v>128.0784656613757</v>
      </c>
      <c r="L33" t="n">
        <v>12.30488095238095</v>
      </c>
      <c r="M33" t="n">
        <v>0</v>
      </c>
      <c r="N33" t="n">
        <v>61511.51743</v>
      </c>
      <c r="O33" t="n">
        <v>151779.96612</v>
      </c>
      <c r="P33" t="inlineStr">
        <is>
          <t>https://www.cne.cl/wp-content/uploads/2026/10/importaciones-web.xlsx</t>
        </is>
      </c>
    </row>
    <row r="34">
      <c r="A34" t="n">
        <v>32</v>
      </c>
      <c r="B34" t="inlineStr">
        <is>
          <t>2023-09</t>
        </is>
      </c>
      <c r="C34" t="n">
        <v>0.447</v>
      </c>
      <c r="D34" t="n">
        <v>7.993</v>
      </c>
      <c r="E34" t="n">
        <v>0.143</v>
      </c>
      <c r="F34" t="n">
        <v>2.898</v>
      </c>
      <c r="G34" t="n">
        <v>3.206</v>
      </c>
      <c r="H34" t="n">
        <v>5.425</v>
      </c>
      <c r="I34" t="n">
        <v>20.11</v>
      </c>
      <c r="J34" t="n">
        <v>13.40531746031746</v>
      </c>
      <c r="K34" t="n">
        <v>239.7806292857143</v>
      </c>
      <c r="L34" t="n">
        <v>4.301706349206349</v>
      </c>
      <c r="M34" t="n">
        <v>86.93448412698413</v>
      </c>
      <c r="N34" t="n">
        <v>70713.34392999999</v>
      </c>
      <c r="O34" t="n">
        <v>119663.91906</v>
      </c>
      <c r="P34" t="inlineStr">
        <is>
          <t>https://www.cne.cl/wp-content/uploads/2026/10/importaciones-web.xlsx</t>
        </is>
      </c>
    </row>
    <row r="35">
      <c r="A35" t="n">
        <v>33</v>
      </c>
      <c r="B35" t="inlineStr">
        <is>
          <t>2023-10</t>
        </is>
      </c>
      <c r="C35" t="n">
        <v>0.42</v>
      </c>
      <c r="D35" t="n">
        <v>7.302</v>
      </c>
      <c r="E35" t="n">
        <v>0.787</v>
      </c>
      <c r="F35" t="n">
        <v>2.937</v>
      </c>
      <c r="G35" t="n">
        <v>2.014</v>
      </c>
      <c r="H35" t="n">
        <v>3.105</v>
      </c>
      <c r="I35" t="n">
        <v>16.56</v>
      </c>
      <c r="J35" t="n">
        <v>13.00515873015873</v>
      </c>
      <c r="K35" t="n">
        <v>226.3761301719577</v>
      </c>
      <c r="L35" t="n">
        <v>24.40968253968254</v>
      </c>
      <c r="M35" t="n">
        <v>91.03611111111111</v>
      </c>
      <c r="N35" t="n">
        <v>45900.10604</v>
      </c>
      <c r="O35" t="n">
        <v>70782.92194</v>
      </c>
      <c r="P35" t="inlineStr">
        <is>
          <t>https://www.cne.cl/wp-content/uploads/2026/10/importaciones-web.xlsx</t>
        </is>
      </c>
    </row>
    <row r="36">
      <c r="A36" t="n">
        <v>34</v>
      </c>
      <c r="B36" t="inlineStr">
        <is>
          <t>2023-11</t>
        </is>
      </c>
      <c r="C36" t="n">
        <v>0.447</v>
      </c>
      <c r="D36" t="n">
        <v>6.46</v>
      </c>
      <c r="E36" t="n">
        <v>0.41</v>
      </c>
      <c r="F36" t="n">
        <v>3.425</v>
      </c>
      <c r="G36" t="n">
        <v>2.322</v>
      </c>
      <c r="H36" t="n">
        <v>2.901</v>
      </c>
      <c r="I36" t="n">
        <v>15.96</v>
      </c>
      <c r="J36" t="n">
        <v>13.40531746031746</v>
      </c>
      <c r="K36" t="n">
        <v>193.8096710846561</v>
      </c>
      <c r="L36" t="n">
        <v>12.30488095238095</v>
      </c>
      <c r="M36" t="n">
        <v>102.740753968254</v>
      </c>
      <c r="N36" t="n">
        <v>51230.18374</v>
      </c>
      <c r="O36" t="n">
        <v>63994.90892999999</v>
      </c>
      <c r="P36" t="inlineStr">
        <is>
          <t>https://www.cne.cl/wp-content/uploads/2026/10/importaciones-web.xlsx</t>
        </is>
      </c>
    </row>
    <row r="37">
      <c r="A37" t="n">
        <v>35</v>
      </c>
      <c r="B37" t="inlineStr">
        <is>
          <t>2023-12</t>
        </is>
      </c>
      <c r="C37" t="n">
        <v>0.432</v>
      </c>
      <c r="D37" t="n">
        <v>6.339</v>
      </c>
      <c r="E37" t="n">
        <v>0.332</v>
      </c>
      <c r="F37" t="n">
        <v>2.904</v>
      </c>
      <c r="G37" t="n">
        <v>0.391</v>
      </c>
      <c r="H37" t="n">
        <v>4.41</v>
      </c>
      <c r="I37" t="n">
        <v>14.81</v>
      </c>
      <c r="J37" t="n">
        <v>13.40531746031746</v>
      </c>
      <c r="K37" t="n">
        <v>196.5225612037037</v>
      </c>
      <c r="L37" t="n">
        <v>10.3040873015873</v>
      </c>
      <c r="M37" t="n">
        <v>90.03571428571429</v>
      </c>
      <c r="N37" t="n">
        <v>8904.603939999999</v>
      </c>
      <c r="O37" t="n">
        <v>100517.55934</v>
      </c>
      <c r="P37" t="inlineStr">
        <is>
          <t>https://www.cne.cl/wp-content/uploads/2026/10/importaciones-web.xlsx</t>
        </is>
      </c>
    </row>
    <row r="38">
      <c r="A38" t="n">
        <v>36</v>
      </c>
      <c r="B38" t="inlineStr">
        <is>
          <t>2024-01</t>
        </is>
      </c>
      <c r="C38" t="n">
        <v>0.407</v>
      </c>
      <c r="D38" t="n">
        <v>7.372</v>
      </c>
      <c r="E38" t="n">
        <v>0.458</v>
      </c>
      <c r="F38" t="n">
        <v>3.017</v>
      </c>
      <c r="G38" t="n">
        <v>1.708</v>
      </c>
      <c r="H38" t="n">
        <v>2.072</v>
      </c>
      <c r="I38" t="n">
        <v>15.03</v>
      </c>
      <c r="J38" t="n">
        <v>12.605</v>
      </c>
      <c r="K38" t="n">
        <v>228.5349334920635</v>
      </c>
      <c r="L38" t="n">
        <v>14.20563492063492</v>
      </c>
      <c r="M38" t="n">
        <v>93.53710317460317</v>
      </c>
      <c r="N38" t="n">
        <v>38931.13007</v>
      </c>
      <c r="O38" t="n">
        <v>47222.81814</v>
      </c>
      <c r="P38" t="inlineStr">
        <is>
          <t>https://www.cne.cl/wp-content/uploads/2026/10/importaciones-web.xlsx</t>
        </is>
      </c>
    </row>
    <row r="39">
      <c r="A39" t="n">
        <v>37</v>
      </c>
      <c r="B39" t="inlineStr">
        <is>
          <t>2024-02</t>
        </is>
      </c>
      <c r="C39" t="n">
        <v>0.462</v>
      </c>
      <c r="D39" t="n">
        <v>9.609</v>
      </c>
      <c r="E39" t="n">
        <v>0.459</v>
      </c>
      <c r="F39" t="n">
        <v>2.466</v>
      </c>
      <c r="G39" t="n">
        <v>3.282</v>
      </c>
      <c r="H39" t="n">
        <v>5.92</v>
      </c>
      <c r="I39" t="n">
        <v>22.2</v>
      </c>
      <c r="J39" t="n">
        <v>13.40531746031746</v>
      </c>
      <c r="K39" t="n">
        <v>278.6709373280423</v>
      </c>
      <c r="L39" t="n">
        <v>13.30527777777778</v>
      </c>
      <c r="M39" t="n">
        <v>71.52837301587302</v>
      </c>
      <c r="N39" t="n">
        <v>69987.58487000001</v>
      </c>
      <c r="O39" t="n">
        <v>126233.09762</v>
      </c>
      <c r="P39" t="inlineStr">
        <is>
          <t>https://www.cne.cl/wp-content/uploads/2026/10/importaciones-web.xlsx</t>
        </is>
      </c>
    </row>
    <row r="40">
      <c r="A40" t="n">
        <v>38</v>
      </c>
      <c r="B40" t="inlineStr">
        <is>
          <t>2024-03</t>
        </is>
      </c>
      <c r="C40" t="n">
        <v>0.42</v>
      </c>
      <c r="D40" t="n">
        <v>8.050000000000001</v>
      </c>
      <c r="E40" t="n">
        <v>0.59</v>
      </c>
      <c r="F40" t="n">
        <v>2.979</v>
      </c>
      <c r="G40" t="n">
        <v>2.841</v>
      </c>
      <c r="H40" t="n">
        <v>2.694</v>
      </c>
      <c r="I40" t="n">
        <v>17.57</v>
      </c>
      <c r="J40" t="n">
        <v>13.00515873015873</v>
      </c>
      <c r="K40" t="n">
        <v>249.5413212698413</v>
      </c>
      <c r="L40" t="n">
        <v>18.28725396825397</v>
      </c>
      <c r="M40" t="n">
        <v>92.33662698412699</v>
      </c>
      <c r="N40" t="n">
        <v>64753.81433</v>
      </c>
      <c r="O40" t="n">
        <v>61405.80195</v>
      </c>
      <c r="P40" t="inlineStr">
        <is>
          <t>https://www.cne.cl/wp-content/uploads/2026/10/importaciones-web.xlsx</t>
        </is>
      </c>
    </row>
    <row r="41">
      <c r="A41" t="n">
        <v>39</v>
      </c>
      <c r="B41" t="inlineStr">
        <is>
          <t>2024-04</t>
        </is>
      </c>
      <c r="C41" t="n">
        <v>0.15</v>
      </c>
      <c r="D41" t="n">
        <v>6.353</v>
      </c>
      <c r="E41" t="n">
        <v>0.393</v>
      </c>
      <c r="F41" t="n">
        <v>0.65</v>
      </c>
      <c r="G41" t="n">
        <v>4.494</v>
      </c>
      <c r="H41" t="n">
        <v>4.228</v>
      </c>
      <c r="I41" t="n">
        <v>16.27</v>
      </c>
      <c r="J41" t="n">
        <v>4.501785714285714</v>
      </c>
      <c r="K41" t="n">
        <v>190.5916746560847</v>
      </c>
      <c r="L41" t="n">
        <v>11.80468253968254</v>
      </c>
      <c r="M41" t="n">
        <v>19.5077380952381</v>
      </c>
      <c r="N41" t="n">
        <v>99134.85166</v>
      </c>
      <c r="O41" t="n">
        <v>93265.62499000001</v>
      </c>
      <c r="P41" t="inlineStr">
        <is>
          <t>https://www.cne.cl/wp-content/uploads/2026/10/importaciones-web.xlsx</t>
        </is>
      </c>
    </row>
    <row r="42">
      <c r="A42" t="n">
        <v>40</v>
      </c>
      <c r="B42" t="inlineStr">
        <is>
          <t>2024-05</t>
        </is>
      </c>
      <c r="C42" t="n">
        <v>0</v>
      </c>
      <c r="D42" t="n">
        <v>6.944</v>
      </c>
      <c r="E42" t="n">
        <v>0.742</v>
      </c>
      <c r="F42" t="n">
        <v>0</v>
      </c>
      <c r="G42" t="n">
        <v>4.213</v>
      </c>
      <c r="H42" t="n">
        <v>7.498</v>
      </c>
      <c r="I42" t="n">
        <v>19.4</v>
      </c>
      <c r="J42" t="n">
        <v>0</v>
      </c>
      <c r="K42" t="n">
        <v>215.2583307539683</v>
      </c>
      <c r="L42" t="n">
        <v>23.00912698412699</v>
      </c>
      <c r="M42" t="n">
        <v>0</v>
      </c>
      <c r="N42" t="n">
        <v>96041.55885999999</v>
      </c>
      <c r="O42" t="n">
        <v>170900.26263</v>
      </c>
      <c r="P42" t="inlineStr">
        <is>
          <t>https://www.cne.cl/wp-content/uploads/2026/10/importaciones-web.xlsx</t>
        </is>
      </c>
    </row>
    <row r="43">
      <c r="A43" t="n">
        <v>41</v>
      </c>
      <c r="B43" t="inlineStr">
        <is>
          <t>2024-06</t>
        </is>
      </c>
      <c r="C43" t="n">
        <v>0</v>
      </c>
      <c r="D43" t="n">
        <v>7.15</v>
      </c>
      <c r="E43" t="n">
        <v>0.635</v>
      </c>
      <c r="F43" t="n">
        <v>0</v>
      </c>
      <c r="G43" t="n">
        <v>2.849</v>
      </c>
      <c r="H43" t="n">
        <v>6.119</v>
      </c>
      <c r="I43" t="n">
        <v>16.75</v>
      </c>
      <c r="J43" t="n">
        <v>0</v>
      </c>
      <c r="K43" t="n">
        <v>214.5106364947089</v>
      </c>
      <c r="L43" t="n">
        <v>19.05755952380952</v>
      </c>
      <c r="M43" t="n">
        <v>0</v>
      </c>
      <c r="N43" t="n">
        <v>62844.20456</v>
      </c>
      <c r="O43" t="n">
        <v>134977.81222</v>
      </c>
      <c r="P43" t="inlineStr">
        <is>
          <t>https://www.cne.cl/wp-content/uploads/2026/10/importaciones-web.xlsx</t>
        </is>
      </c>
    </row>
    <row r="44">
      <c r="A44" t="n">
        <v>42</v>
      </c>
      <c r="B44" t="inlineStr">
        <is>
          <t>2024-07</t>
        </is>
      </c>
      <c r="C44" t="n">
        <v>0</v>
      </c>
      <c r="D44" t="n">
        <v>5.827</v>
      </c>
      <c r="E44" t="n">
        <v>0.729</v>
      </c>
      <c r="F44" t="n">
        <v>0</v>
      </c>
      <c r="G44" t="n">
        <v>6.495</v>
      </c>
      <c r="H44" t="n">
        <v>7.607</v>
      </c>
      <c r="I44" t="n">
        <v>20.66</v>
      </c>
      <c r="J44" t="n">
        <v>0</v>
      </c>
      <c r="K44" t="n">
        <v>180.6332734259259</v>
      </c>
      <c r="L44" t="n">
        <v>22.60896825396826</v>
      </c>
      <c r="M44" t="n">
        <v>0</v>
      </c>
      <c r="N44" t="n">
        <v>148058.48983</v>
      </c>
      <c r="O44" t="n">
        <v>173392.46271</v>
      </c>
      <c r="P44" t="inlineStr">
        <is>
          <t>https://www.cne.cl/wp-content/uploads/2026/10/importaciones-web.xlsx</t>
        </is>
      </c>
    </row>
    <row r="45">
      <c r="A45" t="n">
        <v>43</v>
      </c>
      <c r="B45" t="inlineStr">
        <is>
          <t>2024-08</t>
        </is>
      </c>
      <c r="C45" t="n">
        <v>0</v>
      </c>
      <c r="D45" t="n">
        <v>5.42</v>
      </c>
      <c r="E45" t="n">
        <v>0.484</v>
      </c>
      <c r="F45" t="n">
        <v>0.532</v>
      </c>
      <c r="G45" t="n">
        <v>2.279</v>
      </c>
      <c r="H45" t="n">
        <v>3.999</v>
      </c>
      <c r="I45" t="n">
        <v>12.71</v>
      </c>
      <c r="J45" t="n">
        <v>0</v>
      </c>
      <c r="K45" t="n">
        <v>168.0143672751323</v>
      </c>
      <c r="L45" t="n">
        <v>15.00595238095238</v>
      </c>
      <c r="M45" t="n">
        <v>16.50654761904762</v>
      </c>
      <c r="N45" t="n">
        <v>51944.66318</v>
      </c>
      <c r="O45" t="n">
        <v>91150.52033000001</v>
      </c>
      <c r="P45" t="inlineStr">
        <is>
          <t>https://www.cne.cl/wp-content/uploads/2026/10/importaciones-web.xlsx</t>
        </is>
      </c>
    </row>
    <row r="46">
      <c r="A46" t="n">
        <v>44</v>
      </c>
      <c r="B46" t="inlineStr">
        <is>
          <t>2024-09</t>
        </is>
      </c>
      <c r="C46" t="n">
        <v>0.034</v>
      </c>
      <c r="D46" t="n">
        <v>6.028</v>
      </c>
      <c r="E46" t="n">
        <v>0.517</v>
      </c>
      <c r="F46" t="n">
        <v>1.651</v>
      </c>
      <c r="G46" t="n">
        <v>2.866</v>
      </c>
      <c r="H46" t="n">
        <v>3.057</v>
      </c>
      <c r="I46" t="n">
        <v>14.15</v>
      </c>
      <c r="J46" t="n">
        <v>1.03040873015873</v>
      </c>
      <c r="K46" t="n">
        <v>180.8407637433863</v>
      </c>
      <c r="L46" t="n">
        <v>15.50615079365079</v>
      </c>
      <c r="M46" t="n">
        <v>49.52225895502645</v>
      </c>
      <c r="N46" t="n">
        <v>63224.63595</v>
      </c>
      <c r="O46" t="n">
        <v>67433.84335</v>
      </c>
      <c r="P46" t="inlineStr">
        <is>
          <t>https://www.cne.cl/wp-content/uploads/2026/10/importaciones-web.xlsx</t>
        </is>
      </c>
    </row>
    <row r="47">
      <c r="A47" t="n">
        <v>45</v>
      </c>
      <c r="B47" t="inlineStr">
        <is>
          <t>2024-10</t>
        </is>
      </c>
      <c r="C47" t="n">
        <v>0</v>
      </c>
      <c r="D47" t="n">
        <v>5.976</v>
      </c>
      <c r="E47" t="n">
        <v>0.484</v>
      </c>
      <c r="F47" t="n">
        <v>2.491</v>
      </c>
      <c r="G47" t="n">
        <v>4.788</v>
      </c>
      <c r="H47" t="n">
        <v>4.97</v>
      </c>
      <c r="I47" t="n">
        <v>18.71</v>
      </c>
      <c r="J47" t="n">
        <v>0</v>
      </c>
      <c r="K47" t="n">
        <v>185.2693254232804</v>
      </c>
      <c r="L47" t="n">
        <v>15.00595238095238</v>
      </c>
      <c r="M47" t="n">
        <v>77.23063492063493</v>
      </c>
      <c r="N47" t="n">
        <v>109140.81383</v>
      </c>
      <c r="O47" t="n">
        <v>113289.86298</v>
      </c>
      <c r="P47" t="inlineStr">
        <is>
          <t>https://www.cne.cl/wp-content/uploads/2026/10/importaciones-web.xlsx</t>
        </is>
      </c>
    </row>
    <row r="48">
      <c r="A48" t="n">
        <v>46</v>
      </c>
      <c r="B48" t="inlineStr">
        <is>
          <t>2024-11</t>
        </is>
      </c>
      <c r="C48" t="n">
        <v>0</v>
      </c>
      <c r="D48" t="n">
        <v>5.388</v>
      </c>
      <c r="E48" t="n">
        <v>0.46</v>
      </c>
      <c r="F48" t="n">
        <v>3.04</v>
      </c>
      <c r="G48" t="n">
        <v>0.583</v>
      </c>
      <c r="H48" t="n">
        <v>0.436</v>
      </c>
      <c r="I48" t="n">
        <v>9.91</v>
      </c>
      <c r="J48" t="n">
        <v>0</v>
      </c>
      <c r="K48" t="n">
        <v>161.6509767724868</v>
      </c>
      <c r="L48" t="n">
        <v>13.80547619047619</v>
      </c>
      <c r="M48" t="n">
        <v>91.18617063492063</v>
      </c>
      <c r="N48" t="n">
        <v>12870.1282</v>
      </c>
      <c r="O48" t="n">
        <v>9627.96062</v>
      </c>
      <c r="P48" t="inlineStr">
        <is>
          <t>https://www.cne.cl/wp-content/uploads/2026/10/importaciones-web.xlsx</t>
        </is>
      </c>
    </row>
    <row r="49">
      <c r="A49" t="n">
        <v>47</v>
      </c>
      <c r="B49" t="inlineStr">
        <is>
          <t>2024-12</t>
        </is>
      </c>
      <c r="C49" t="n">
        <v>0</v>
      </c>
      <c r="D49" t="n">
        <v>5.029</v>
      </c>
      <c r="E49" t="n">
        <v>0.44</v>
      </c>
      <c r="F49" t="n">
        <v>3.033</v>
      </c>
      <c r="G49" t="n">
        <v>2.625</v>
      </c>
      <c r="H49" t="n">
        <v>1.951</v>
      </c>
      <c r="I49" t="n">
        <v>13.08</v>
      </c>
      <c r="J49" t="n">
        <v>0</v>
      </c>
      <c r="K49" t="n">
        <v>155.9011219973545</v>
      </c>
      <c r="L49" t="n">
        <v>13.6454126984127</v>
      </c>
      <c r="M49" t="n">
        <v>94.01229166666666</v>
      </c>
      <c r="N49" t="n">
        <v>59840.68257</v>
      </c>
      <c r="O49" t="n">
        <v>44461.20526</v>
      </c>
      <c r="P49" t="inlineStr">
        <is>
          <t>https://www.cne.cl/wp-content/uploads/2026/10/importaciones-web.xlsx</t>
        </is>
      </c>
    </row>
    <row r="50">
      <c r="A50" t="n">
        <v>48</v>
      </c>
      <c r="B50" t="inlineStr">
        <is>
          <t>2025-01</t>
        </is>
      </c>
      <c r="C50" t="n">
        <v>0.065</v>
      </c>
      <c r="D50" t="n">
        <v>7.416</v>
      </c>
      <c r="E50" t="n">
        <v>0.487</v>
      </c>
      <c r="F50" t="n">
        <v>3.214</v>
      </c>
      <c r="G50" t="n">
        <v>3.139</v>
      </c>
      <c r="H50" t="n">
        <v>5.131</v>
      </c>
      <c r="I50" t="n">
        <v>19.45</v>
      </c>
      <c r="J50" t="n">
        <v>2.000793650793651</v>
      </c>
      <c r="K50" t="n">
        <v>229.9056037962963</v>
      </c>
      <c r="L50" t="n">
        <v>15.10599206349206</v>
      </c>
      <c r="M50" t="n">
        <v>99.63952380952382</v>
      </c>
      <c r="N50" t="n">
        <v>71554.58027999999</v>
      </c>
      <c r="O50" t="n">
        <v>116961.01798</v>
      </c>
      <c r="P50" t="inlineStr">
        <is>
          <t>https://www.cne.cl/wp-content/uploads/2026/10/importaciones-web.xlsx</t>
        </is>
      </c>
    </row>
    <row r="51">
      <c r="A51" t="n">
        <v>49</v>
      </c>
      <c r="B51" t="inlineStr">
        <is>
          <t>2025-02</t>
        </is>
      </c>
      <c r="C51" t="n">
        <v>0.036</v>
      </c>
      <c r="D51" t="n">
        <v>10.44</v>
      </c>
      <c r="E51" t="n">
        <v>0.665</v>
      </c>
      <c r="F51" t="n">
        <v>2.856</v>
      </c>
      <c r="G51" t="n">
        <v>2.498</v>
      </c>
      <c r="H51" t="n">
        <v>2.358</v>
      </c>
      <c r="I51" t="n">
        <v>18.85</v>
      </c>
      <c r="J51" t="n">
        <v>1.000396825396825</v>
      </c>
      <c r="K51" t="n">
        <v>292.319346494709</v>
      </c>
      <c r="L51" t="n">
        <v>18.60738095238095</v>
      </c>
      <c r="M51" t="n">
        <v>79.95671626984127</v>
      </c>
      <c r="N51" t="n">
        <v>51427.856</v>
      </c>
      <c r="O51" t="n">
        <v>48537.69742</v>
      </c>
      <c r="P51" t="inlineStr">
        <is>
          <t>https://www.cne.cl/wp-content/uploads/2026/10/importaciones-web.xlsx</t>
        </is>
      </c>
    </row>
    <row r="52">
      <c r="A52" t="n">
        <v>50</v>
      </c>
      <c r="B52" t="inlineStr">
        <is>
          <t>2025-03</t>
        </is>
      </c>
      <c r="C52" t="n">
        <v>0.065</v>
      </c>
      <c r="D52" t="n">
        <v>8.260999999999999</v>
      </c>
      <c r="E52" t="n">
        <v>0.597</v>
      </c>
      <c r="F52" t="n">
        <v>3.012</v>
      </c>
      <c r="G52" t="n">
        <v>2.702</v>
      </c>
      <c r="H52" t="n">
        <v>1.867</v>
      </c>
      <c r="I52" t="n">
        <v>16.5</v>
      </c>
      <c r="J52" t="n">
        <v>2.000793650793651</v>
      </c>
      <c r="K52" t="n">
        <v>256.1062311507936</v>
      </c>
      <c r="L52" t="n">
        <v>18.50734126984127</v>
      </c>
      <c r="M52" t="n">
        <v>93.38704365079364</v>
      </c>
      <c r="N52" t="n">
        <v>61579.78294</v>
      </c>
      <c r="O52" t="n">
        <v>42566.30785</v>
      </c>
      <c r="P52" t="inlineStr">
        <is>
          <t>https://www.cne.cl/wp-content/uploads/2026/10/importaciones-web.xlsx</t>
        </is>
      </c>
    </row>
    <row r="53">
      <c r="A53" t="n">
        <v>51</v>
      </c>
      <c r="B53" t="inlineStr">
        <is>
          <t>2025-04</t>
        </is>
      </c>
      <c r="C53" t="n">
        <v>0.133</v>
      </c>
      <c r="D53" t="n">
        <v>7.3</v>
      </c>
      <c r="E53" t="n">
        <v>1.225</v>
      </c>
      <c r="F53" t="n">
        <v>1.614</v>
      </c>
      <c r="G53" t="n">
        <v>4.746</v>
      </c>
      <c r="H53" t="n">
        <v>7.737</v>
      </c>
      <c r="I53" t="n">
        <v>22.76</v>
      </c>
      <c r="J53" t="n">
        <v>4.001587301587302</v>
      </c>
      <c r="K53" t="n">
        <v>218.9962948171958</v>
      </c>
      <c r="L53" t="n">
        <v>36.74687630952381</v>
      </c>
      <c r="M53" t="n">
        <v>48.41920634920635</v>
      </c>
      <c r="N53" t="n">
        <v>104683.11549</v>
      </c>
      <c r="O53" t="n">
        <v>170671.96758</v>
      </c>
      <c r="P53" t="inlineStr">
        <is>
          <t>https://www.cne.cl/wp-content/uploads/2026/10/importaciones-web.xlsx</t>
        </is>
      </c>
    </row>
    <row r="54">
      <c r="A54" t="n">
        <v>52</v>
      </c>
      <c r="B54" t="inlineStr">
        <is>
          <t>2025-05</t>
        </is>
      </c>
      <c r="C54" t="n">
        <v>0.065</v>
      </c>
      <c r="D54" t="n">
        <v>7.981</v>
      </c>
      <c r="E54" t="n">
        <v>1.081</v>
      </c>
      <c r="F54" t="n">
        <v>0.9</v>
      </c>
      <c r="G54" t="n">
        <v>2.726</v>
      </c>
      <c r="H54" t="n">
        <v>4.617</v>
      </c>
      <c r="I54" t="n">
        <v>17.37</v>
      </c>
      <c r="J54" t="n">
        <v>2.000793650793651</v>
      </c>
      <c r="K54" t="n">
        <v>247.4236249948412</v>
      </c>
      <c r="L54" t="n">
        <v>33.51229325396825</v>
      </c>
      <c r="M54" t="n">
        <v>27.91107142857143</v>
      </c>
      <c r="N54" t="n">
        <v>62142.58654</v>
      </c>
      <c r="O54" t="n">
        <v>105236.44903</v>
      </c>
      <c r="P54" t="inlineStr">
        <is>
          <t>https://www.cne.cl/wp-content/uploads/2026/10/importaciones-web.xlsx</t>
        </is>
      </c>
    </row>
    <row r="55">
      <c r="A55" t="n">
        <v>53</v>
      </c>
      <c r="B55" t="inlineStr">
        <is>
          <t>2025-06</t>
        </is>
      </c>
      <c r="C55" t="n">
        <v>0.01</v>
      </c>
      <c r="D55" t="n">
        <v>7.579</v>
      </c>
      <c r="E55" t="n">
        <v>1.277</v>
      </c>
      <c r="F55" t="n">
        <v>1.127</v>
      </c>
      <c r="G55" t="n">
        <v>3.585</v>
      </c>
      <c r="H55" t="n">
        <v>6.13</v>
      </c>
      <c r="I55" t="n">
        <v>19.71</v>
      </c>
      <c r="J55" t="n">
        <v>0.3001190476190476</v>
      </c>
      <c r="K55" t="n">
        <v>227.3789223291005</v>
      </c>
      <c r="L55" t="n">
        <v>38.29749138888889</v>
      </c>
      <c r="M55" t="n">
        <v>33.8134126984127</v>
      </c>
      <c r="N55" t="n">
        <v>79083.55093</v>
      </c>
      <c r="O55" t="n">
        <v>135225.51679</v>
      </c>
      <c r="P55" t="inlineStr">
        <is>
          <t>https://www.cne.cl/wp-content/uploads/2026/10/importaciones-web.xlsx</t>
        </is>
      </c>
    </row>
    <row r="56">
      <c r="A56" t="n">
        <v>54</v>
      </c>
      <c r="B56" t="inlineStr">
        <is>
          <t>2025-07</t>
        </is>
      </c>
      <c r="C56" t="n">
        <v>0.01</v>
      </c>
      <c r="D56" t="n">
        <v>7.942</v>
      </c>
      <c r="E56" t="n">
        <v>1.215</v>
      </c>
      <c r="F56" t="n">
        <v>1.1</v>
      </c>
      <c r="G56" t="n">
        <v>3.618</v>
      </c>
      <c r="H56" t="n">
        <v>7.625</v>
      </c>
      <c r="I56" t="n">
        <v>21.51</v>
      </c>
      <c r="J56" t="n">
        <v>0.3001190476190476</v>
      </c>
      <c r="K56" t="n">
        <v>246.1887743835979</v>
      </c>
      <c r="L56" t="n">
        <v>37.67059571428571</v>
      </c>
      <c r="M56" t="n">
        <v>34.11353174603175</v>
      </c>
      <c r="N56" t="n">
        <v>82479.87766999999</v>
      </c>
      <c r="O56" t="n">
        <v>173806.82325</v>
      </c>
      <c r="P56" t="inlineStr">
        <is>
          <t>https://www.cne.cl/wp-content/uploads/2026/10/importaciones-web.xlsx</t>
        </is>
      </c>
    </row>
    <row r="57">
      <c r="A57" t="n">
        <v>55</v>
      </c>
      <c r="B57" t="inlineStr">
        <is>
          <t>2025-08</t>
        </is>
      </c>
      <c r="C57" t="n">
        <v>0.055</v>
      </c>
      <c r="D57" t="n">
        <v>6.676</v>
      </c>
      <c r="E57" t="n">
        <v>0.855</v>
      </c>
      <c r="F57" t="n">
        <v>1.023</v>
      </c>
      <c r="G57" t="n">
        <v>3.291</v>
      </c>
      <c r="H57" t="n">
        <v>4.506</v>
      </c>
      <c r="I57" t="n">
        <v>16.41</v>
      </c>
      <c r="J57" t="n">
        <v>1.700674603174603</v>
      </c>
      <c r="K57" t="n">
        <v>206.9551766169312</v>
      </c>
      <c r="L57" t="n">
        <v>26.50951547619048</v>
      </c>
      <c r="M57" t="n">
        <v>31.71257936507936</v>
      </c>
      <c r="N57" t="n">
        <v>75017.43668000001</v>
      </c>
      <c r="O57" t="n">
        <v>102711.84805</v>
      </c>
      <c r="P57" t="inlineStr">
        <is>
          <t>https://www.cne.cl/wp-content/uploads/2026/10/importaciones-web.xlsx</t>
        </is>
      </c>
    </row>
    <row r="58">
      <c r="A58" t="n">
        <v>56</v>
      </c>
      <c r="B58" t="inlineStr">
        <is>
          <t>2025-09</t>
        </is>
      </c>
      <c r="C58" t="n">
        <v>0.554</v>
      </c>
      <c r="D58" t="n">
        <v>6.155</v>
      </c>
      <c r="E58" t="n">
        <v>0.746</v>
      </c>
      <c r="F58" t="n">
        <v>3.431</v>
      </c>
      <c r="G58" t="n">
        <v>2.85</v>
      </c>
      <c r="H58" t="n">
        <v>5.486</v>
      </c>
      <c r="I58" t="n">
        <v>19.22</v>
      </c>
      <c r="J58" t="n">
        <v>16.6065873015873</v>
      </c>
      <c r="K58" t="n">
        <v>184.6571095808201</v>
      </c>
      <c r="L58" t="n">
        <v>22.3811778968254</v>
      </c>
      <c r="M58" t="n">
        <v>102.9158234126984</v>
      </c>
      <c r="N58" t="n">
        <v>62862.67555000001</v>
      </c>
      <c r="O58" t="n">
        <v>121010.80789</v>
      </c>
      <c r="P58" t="inlineStr">
        <is>
          <t>https://www.cne.cl/wp-content/uploads/2026/10/importaciones-web.xlsx</t>
        </is>
      </c>
    </row>
    <row r="59">
      <c r="A59" t="n">
        <v>57</v>
      </c>
      <c r="B59" t="inlineStr">
        <is>
          <t>2025-10</t>
        </is>
      </c>
      <c r="C59" t="n">
        <v>0.975</v>
      </c>
      <c r="D59" t="n">
        <v>5.719</v>
      </c>
      <c r="E59" t="n">
        <v>0.804</v>
      </c>
      <c r="F59" t="n">
        <v>3.008</v>
      </c>
      <c r="G59" t="n">
        <v>0.712</v>
      </c>
      <c r="H59" t="n">
        <v>1.793</v>
      </c>
      <c r="I59" t="n">
        <v>13.01</v>
      </c>
      <c r="J59" t="n">
        <v>30.21198412698412</v>
      </c>
      <c r="K59" t="n">
        <v>177.2940248883598</v>
      </c>
      <c r="L59" t="n">
        <v>24.90888055555555</v>
      </c>
      <c r="M59" t="n">
        <v>93.23698412698413</v>
      </c>
      <c r="N59" t="n">
        <v>16229.07341</v>
      </c>
      <c r="O59" t="n">
        <v>40865.06111</v>
      </c>
      <c r="P59" t="inlineStr">
        <is>
          <t>https://www.cne.cl/wp-content/uploads/2026/10/importaciones-web.xlsx</t>
        </is>
      </c>
    </row>
    <row r="60">
      <c r="A60" t="n">
        <v>58</v>
      </c>
      <c r="B60" t="inlineStr">
        <is>
          <t>2025-11</t>
        </is>
      </c>
      <c r="C60" t="n">
        <v>1.26</v>
      </c>
      <c r="D60" t="n">
        <v>6.251</v>
      </c>
      <c r="E60" t="n">
        <v>0.8179999999999999</v>
      </c>
      <c r="F60" t="n">
        <v>3.406</v>
      </c>
      <c r="G60" t="n">
        <v>2.148</v>
      </c>
      <c r="H60" t="n">
        <v>3.953</v>
      </c>
      <c r="I60" t="n">
        <v>17.84</v>
      </c>
      <c r="J60" t="n">
        <v>37.79515212698413</v>
      </c>
      <c r="K60" t="n">
        <v>187.5324561621693</v>
      </c>
      <c r="L60" t="n">
        <v>24.53203107142857</v>
      </c>
      <c r="M60" t="n">
        <v>102.1655277777778</v>
      </c>
      <c r="N60" t="n">
        <v>47374.28953</v>
      </c>
      <c r="O60" t="n">
        <v>87203.39246999999</v>
      </c>
      <c r="P60" t="inlineStr">
        <is>
          <t>https://www.cne.cl/wp-content/uploads/2026/10/importaciones-web.xlsx</t>
        </is>
      </c>
    </row>
    <row r="61">
      <c r="A61" t="n">
        <v>59</v>
      </c>
      <c r="B61" t="inlineStr">
        <is>
          <t>2025-12</t>
        </is>
      </c>
      <c r="C61" t="n">
        <v>0.917</v>
      </c>
      <c r="D61" t="n">
        <v>7.716</v>
      </c>
      <c r="E61" t="n">
        <v>1.165</v>
      </c>
      <c r="F61" t="n">
        <v>2.221</v>
      </c>
      <c r="G61" t="n">
        <v>1.838</v>
      </c>
      <c r="H61" t="n">
        <v>3.913</v>
      </c>
      <c r="I61" t="n">
        <v>17.77</v>
      </c>
      <c r="J61" t="n">
        <v>28.44128174603174</v>
      </c>
      <c r="K61" t="n">
        <v>239.1935440719577</v>
      </c>
      <c r="L61" t="n">
        <v>36.11444244325396</v>
      </c>
      <c r="M61" t="n">
        <v>68.85112103174603</v>
      </c>
      <c r="N61" t="n">
        <v>41903.3534</v>
      </c>
      <c r="O61" t="n">
        <v>89188.36614</v>
      </c>
      <c r="P61" t="inlineStr">
        <is>
          <t>https://www.cne.cl/wp-content/uploads/2026/10/importaciones-web.xlsx</t>
        </is>
      </c>
    </row>
    <row r="62">
      <c r="A62" t="n">
        <v>60</v>
      </c>
      <c r="B62" t="inlineStr">
        <is>
          <t>2026-01</t>
        </is>
      </c>
      <c r="C62" t="n">
        <v>1.277</v>
      </c>
      <c r="D62" t="n">
        <v>8.351000000000001</v>
      </c>
      <c r="E62" t="n">
        <v>0.909</v>
      </c>
      <c r="F62" t="n">
        <v>3.256</v>
      </c>
      <c r="G62" t="n">
        <v>3.453</v>
      </c>
      <c r="H62" t="n">
        <v>1.189</v>
      </c>
      <c r="I62" t="n">
        <v>18.44</v>
      </c>
      <c r="J62" t="n">
        <v>39.59570634920635</v>
      </c>
      <c r="K62" t="n">
        <v>258.8729156072752</v>
      </c>
      <c r="L62" t="n">
        <v>28.16614061481482</v>
      </c>
      <c r="M62" t="n">
        <v>100.9400396825397</v>
      </c>
      <c r="N62" t="n">
        <v>78698.58290000001</v>
      </c>
      <c r="O62" t="n">
        <v>27105.61709</v>
      </c>
      <c r="P62" t="inlineStr">
        <is>
          <t>https://www.cne.cl/wp-content/uploads/2026/10/importaciones-web.xlsx</t>
        </is>
      </c>
    </row>
    <row r="63">
      <c r="A63" t="n">
        <v>61</v>
      </c>
      <c r="B63" t="inlineStr">
        <is>
          <t>2026-02</t>
        </is>
      </c>
      <c r="C63" t="n">
        <v>1.633</v>
      </c>
      <c r="D63" t="n">
        <v>9.643000000000001</v>
      </c>
      <c r="E63" t="n">
        <v>1.18</v>
      </c>
      <c r="F63" t="n">
        <v>3.438</v>
      </c>
      <c r="G63" t="n">
        <v>1.993</v>
      </c>
      <c r="H63" t="n">
        <v>3.271</v>
      </c>
      <c r="I63" t="n">
        <v>21.16</v>
      </c>
      <c r="J63" t="n">
        <v>45.71813492063492</v>
      </c>
      <c r="K63" t="n">
        <v>269.9903770079366</v>
      </c>
      <c r="L63" t="n">
        <v>33.05322815753969</v>
      </c>
      <c r="M63" t="n">
        <v>96.25395833333333</v>
      </c>
      <c r="N63" t="n">
        <v>41039.30409000001</v>
      </c>
      <c r="O63" t="n">
        <v>67336.71400000001</v>
      </c>
      <c r="P63" t="inlineStr">
        <is>
          <t>https://www.cne.cl/wp-content/uploads/2026/10/importaciones-web.xlsx</t>
        </is>
      </c>
    </row>
    <row r="64">
      <c r="A64" t="n">
        <v>62</v>
      </c>
      <c r="B64" t="inlineStr">
        <is>
          <t>2026-03</t>
        </is>
      </c>
      <c r="C64" t="n">
        <v>0.946</v>
      </c>
      <c r="D64" t="n">
        <v>9.015000000000001</v>
      </c>
      <c r="E64" t="n">
        <v>1.163</v>
      </c>
      <c r="F64" t="n">
        <v>3.093</v>
      </c>
      <c r="G64" t="n">
        <v>2.334</v>
      </c>
      <c r="H64" t="n">
        <v>3.528</v>
      </c>
      <c r="I64" t="n">
        <v>20.08</v>
      </c>
      <c r="J64" t="n">
        <v>29.31162698412698</v>
      </c>
      <c r="K64" t="n">
        <v>279.4584152473544</v>
      </c>
      <c r="L64" t="n">
        <v>36.0615144484127</v>
      </c>
      <c r="M64" t="n">
        <v>95.88803571428571</v>
      </c>
      <c r="N64" t="n">
        <v>53202.06284000001</v>
      </c>
      <c r="O64" t="n">
        <v>80412.79042</v>
      </c>
      <c r="P64" t="inlineStr">
        <is>
          <t>https://www.cne.cl/wp-content/uploads/2026/10/importaciones-web.xlsx</t>
        </is>
      </c>
    </row>
    <row r="65">
      <c r="A65" t="n">
        <v>63</v>
      </c>
      <c r="B65" t="inlineStr">
        <is>
          <t>2026-04</t>
        </is>
      </c>
      <c r="C65" t="n">
        <v>0.634</v>
      </c>
      <c r="D65" t="n">
        <v>8.632999999999999</v>
      </c>
      <c r="E65" t="n">
        <v>1.135</v>
      </c>
      <c r="F65" t="n">
        <v>2.408</v>
      </c>
      <c r="G65" t="n">
        <v>2.833</v>
      </c>
      <c r="H65" t="n">
        <v>3.774</v>
      </c>
      <c r="I65" t="n">
        <v>19.42</v>
      </c>
      <c r="J65" t="n">
        <v>19.00753968253968</v>
      </c>
      <c r="K65" t="n">
        <v>258.9931402722223</v>
      </c>
      <c r="L65" t="n">
        <v>34.04664521216931</v>
      </c>
      <c r="M65" t="n">
        <v>72.2286507936508</v>
      </c>
      <c r="N65" t="n">
        <v>62498.15441</v>
      </c>
      <c r="O65" t="n">
        <v>83258.23261000001</v>
      </c>
      <c r="P65" t="inlineStr">
        <is>
          <t>https://www.cne.cl/wp-content/uploads/2026/10/importaciones-web.xlsx</t>
        </is>
      </c>
    </row>
    <row r="66">
      <c r="A66" t="n">
        <v>64</v>
      </c>
      <c r="B66" t="inlineStr">
        <is>
          <t>2026-05</t>
        </is>
      </c>
      <c r="C66" t="n">
        <v>0.452</v>
      </c>
      <c r="D66" t="n">
        <v>8.802</v>
      </c>
      <c r="E66" t="n">
        <v>1.157</v>
      </c>
      <c r="F66" t="n">
        <v>1.065</v>
      </c>
      <c r="G66" t="n">
        <v>2.273</v>
      </c>
      <c r="H66" t="n">
        <v>6.143</v>
      </c>
      <c r="I66" t="n">
        <v>19.89</v>
      </c>
      <c r="J66" t="n">
        <v>14.00555555555556</v>
      </c>
      <c r="K66" t="n">
        <v>272.8705970124339</v>
      </c>
      <c r="L66" t="n">
        <v>35.86242547883599</v>
      </c>
      <c r="M66" t="n">
        <v>33.01309523809524</v>
      </c>
      <c r="N66" t="n">
        <v>51806.88172</v>
      </c>
      <c r="O66" t="n">
        <v>140033.01868</v>
      </c>
      <c r="P66" t="inlineStr">
        <is>
          <t>https://www.cne.cl/wp-content/uploads/2026/10/importaciones-web.xlsx</t>
        </is>
      </c>
    </row>
    <row r="67">
      <c r="A67" t="n">
        <v>65</v>
      </c>
      <c r="B67" t="inlineStr">
        <is>
          <t>2026-06</t>
        </is>
      </c>
      <c r="C67" t="n">
        <v>0.333</v>
      </c>
      <c r="D67" t="n">
        <v>10.854</v>
      </c>
      <c r="E67" t="n">
        <v>1.17</v>
      </c>
      <c r="F67" t="n">
        <v>1.137</v>
      </c>
      <c r="G67" t="n">
        <v>2.32</v>
      </c>
      <c r="H67" t="n">
        <v>3.978</v>
      </c>
      <c r="I67" t="n">
        <v>19.79</v>
      </c>
      <c r="J67" t="n">
        <v>10.00396825396825</v>
      </c>
      <c r="K67" t="n">
        <v>325.6213985838624</v>
      </c>
      <c r="L67" t="n">
        <v>35.09706187883599</v>
      </c>
      <c r="M67" t="n">
        <v>34.11353174603175</v>
      </c>
      <c r="N67" t="n">
        <v>51167.58248</v>
      </c>
      <c r="O67" t="n">
        <v>87758.09638999999</v>
      </c>
      <c r="P67" t="inlineStr">
        <is>
          <t>https://www.cne.cl/wp-content/uploads/2026/10/importaciones-web.xlsx</t>
        </is>
      </c>
    </row>
    <row r="68">
      <c r="A68" t="n">
        <v>66</v>
      </c>
      <c r="B68" t="inlineStr">
        <is>
          <t>2026-07</t>
        </is>
      </c>
      <c r="C68" t="n">
        <v>0</v>
      </c>
      <c r="D68" t="n">
        <v>9.336</v>
      </c>
      <c r="E68" t="n">
        <v>1.105</v>
      </c>
      <c r="F68" t="n">
        <v>1.1</v>
      </c>
      <c r="G68" t="n">
        <v>3.556</v>
      </c>
      <c r="H68" t="n">
        <v>7.135</v>
      </c>
      <c r="I68" t="n">
        <v>22.23</v>
      </c>
      <c r="J68" t="n">
        <v>0</v>
      </c>
      <c r="K68" t="n">
        <v>289.4050927403439</v>
      </c>
      <c r="L68" t="n">
        <v>34.26001084748678</v>
      </c>
      <c r="M68" t="n">
        <v>34.11353174603175</v>
      </c>
      <c r="N68" t="n">
        <v>81051.88071000001</v>
      </c>
      <c r="O68" t="n">
        <v>162635.64507</v>
      </c>
      <c r="P68" t="inlineStr">
        <is>
          <t>https://www.cne.cl/wp-content/uploads/2026/10/importaciones-web.xlsx</t>
        </is>
      </c>
    </row>
    <row r="69">
      <c r="A69" t="n">
        <v>67</v>
      </c>
      <c r="B69" t="inlineStr">
        <is>
          <t>2026-08</t>
        </is>
      </c>
      <c r="C69" t="n">
        <v>0.037</v>
      </c>
      <c r="D69" t="n">
        <v>6.167</v>
      </c>
      <c r="E69" t="n">
        <v>1.055</v>
      </c>
      <c r="F69" t="n">
        <v>1.665</v>
      </c>
      <c r="G69" t="n">
        <v>2.381</v>
      </c>
      <c r="H69" t="n">
        <v>2.432</v>
      </c>
      <c r="I69" t="n">
        <v>13.74</v>
      </c>
      <c r="J69" t="n">
        <v>1.150456349206349</v>
      </c>
      <c r="K69" t="n">
        <v>191.1847878969577</v>
      </c>
      <c r="L69" t="n">
        <v>32.71117547619048</v>
      </c>
      <c r="M69" t="n">
        <v>51.62047619047619</v>
      </c>
      <c r="N69" t="n">
        <v>54280.58028</v>
      </c>
      <c r="O69" t="n">
        <v>55433.96629</v>
      </c>
      <c r="P69" t="inlineStr">
        <is>
          <t>https://www.cne.cl/wp-content/uploads/2026/10/importaciones-web.xlsx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ENAP_mcm_per_day</t>
        </is>
      </c>
      <c r="D1" t="inlineStr">
        <is>
          <t>CEOP_mcm_per_day</t>
        </is>
      </c>
      <c r="E1" t="inlineStr">
        <is>
          <t>Total_mcm_per_day</t>
        </is>
      </c>
      <c r="F1" t="inlineStr">
        <is>
          <t>ENAP_thousand_m3</t>
        </is>
      </c>
      <c r="G1" t="inlineStr">
        <is>
          <t>CEOP_thousand_m3</t>
        </is>
      </c>
      <c r="H1" t="inlineStr">
        <is>
          <t>Total_thousand_m3</t>
        </is>
      </c>
      <c r="I1" t="inlineStr">
        <is>
          <t>Source_file</t>
        </is>
      </c>
    </row>
    <row r="2">
      <c r="A2" t="n">
        <v>0</v>
      </c>
      <c r="B2" t="inlineStr">
        <is>
          <t>2021-01</t>
        </is>
      </c>
      <c r="C2" t="n">
        <v>2.559</v>
      </c>
      <c r="D2" t="n">
        <v>0.631</v>
      </c>
      <c r="E2" t="n">
        <v>3.19</v>
      </c>
      <c r="F2" t="n">
        <v>79334.42244500002</v>
      </c>
      <c r="G2" t="n">
        <v>19555.24644928321</v>
      </c>
      <c r="H2" t="n">
        <v>98889.66889428323</v>
      </c>
      <c r="I2" t="inlineStr">
        <is>
          <t>https://www.cne.cl/wp-content/uploads/2024/09/Produccion_combustibles-junio-2024.xlsx</t>
        </is>
      </c>
    </row>
    <row r="3">
      <c r="A3" t="n">
        <v>1</v>
      </c>
      <c r="B3" t="inlineStr">
        <is>
          <t>2021-02</t>
        </is>
      </c>
      <c r="C3" t="n">
        <v>2.294</v>
      </c>
      <c r="D3" t="n">
        <v>0.87</v>
      </c>
      <c r="E3" t="n">
        <v>3.163</v>
      </c>
      <c r="F3" t="n">
        <v>64222.578</v>
      </c>
      <c r="G3" t="n">
        <v>24348.69086741296</v>
      </c>
      <c r="H3" t="n">
        <v>88571.26886741296</v>
      </c>
      <c r="I3" t="inlineStr">
        <is>
          <t>https://www.cne.cl/wp-content/uploads/2024/09/Produccion_combustibles-junio-2024.xlsx</t>
        </is>
      </c>
    </row>
    <row r="4">
      <c r="A4" t="n">
        <v>2</v>
      </c>
      <c r="B4" t="inlineStr">
        <is>
          <t>2021-03</t>
        </is>
      </c>
      <c r="C4" t="n">
        <v>2.199</v>
      </c>
      <c r="D4" t="n">
        <v>0.925</v>
      </c>
      <c r="E4" t="n">
        <v>3.124</v>
      </c>
      <c r="F4" t="n">
        <v>68165</v>
      </c>
      <c r="G4" t="n">
        <v>28682</v>
      </c>
      <c r="H4" t="n">
        <v>96847</v>
      </c>
      <c r="I4" t="inlineStr">
        <is>
          <t>https://www.cne.cl/wp-content/uploads/2024/09/Produccion_combustibles-junio-2024.xlsx</t>
        </is>
      </c>
    </row>
    <row r="5">
      <c r="A5" t="n">
        <v>3</v>
      </c>
      <c r="B5" t="inlineStr">
        <is>
          <t>2021-04</t>
        </is>
      </c>
      <c r="C5" t="n">
        <v>2.559</v>
      </c>
      <c r="D5" t="n">
        <v>1.068</v>
      </c>
      <c r="E5" t="n">
        <v>3.627</v>
      </c>
      <c r="F5" t="n">
        <v>76769.08724600001</v>
      </c>
      <c r="G5" t="n">
        <v>32051.90763599539</v>
      </c>
      <c r="H5" t="n">
        <v>108820.9948819954</v>
      </c>
      <c r="I5" t="inlineStr">
        <is>
          <t>https://www.cne.cl/wp-content/uploads/2024/09/Produccion_combustibles-junio-2024.xlsx</t>
        </is>
      </c>
    </row>
    <row r="6">
      <c r="A6" t="n">
        <v>4</v>
      </c>
      <c r="B6" t="inlineStr">
        <is>
          <t>2021-05</t>
        </is>
      </c>
      <c r="C6" t="n">
        <v>2.622</v>
      </c>
      <c r="D6" t="n">
        <v>1.183</v>
      </c>
      <c r="E6" t="n">
        <v>3.806</v>
      </c>
      <c r="F6" t="n">
        <v>81292.16500302516</v>
      </c>
      <c r="G6" t="n">
        <v>36683.88934414186</v>
      </c>
      <c r="H6" t="n">
        <v>117976.054347167</v>
      </c>
      <c r="I6" t="inlineStr">
        <is>
          <t>https://www.cne.cl/wp-content/uploads/2024/09/Produccion_combustibles-junio-2024.xlsx</t>
        </is>
      </c>
    </row>
    <row r="7">
      <c r="A7" t="n">
        <v>5</v>
      </c>
      <c r="B7" t="inlineStr">
        <is>
          <t>2021-06</t>
        </is>
      </c>
      <c r="C7" t="n">
        <v>2.661</v>
      </c>
      <c r="D7" t="n">
        <v>1.009</v>
      </c>
      <c r="E7" t="n">
        <v>3.67</v>
      </c>
      <c r="F7" t="n">
        <v>79837.03948019868</v>
      </c>
      <c r="G7" t="n">
        <v>30276.70259226039</v>
      </c>
      <c r="H7" t="n">
        <v>110113.7420724591</v>
      </c>
      <c r="I7" t="inlineStr">
        <is>
          <t>https://www.cne.cl/wp-content/uploads/2024/09/Produccion_combustibles-junio-2024.xlsx</t>
        </is>
      </c>
    </row>
    <row r="8">
      <c r="A8" t="n">
        <v>6</v>
      </c>
      <c r="B8" t="inlineStr">
        <is>
          <t>2021-07</t>
        </is>
      </c>
      <c r="C8" t="n">
        <v>2.549</v>
      </c>
      <c r="D8" t="n">
        <v>1.208</v>
      </c>
      <c r="E8" t="n">
        <v>3.758</v>
      </c>
      <c r="F8" t="n">
        <v>79032.11821252562</v>
      </c>
      <c r="G8" t="n">
        <v>37453.75755017133</v>
      </c>
      <c r="H8" t="n">
        <v>116485.8757626969</v>
      </c>
      <c r="I8" t="inlineStr">
        <is>
          <t>https://www.cne.cl/wp-content/uploads/2024/09/Produccion_combustibles-junio-2024.xlsx</t>
        </is>
      </c>
    </row>
    <row r="9">
      <c r="A9" t="n">
        <v>7</v>
      </c>
      <c r="B9" t="inlineStr">
        <is>
          <t>2021-08</t>
        </is>
      </c>
      <c r="C9" t="n">
        <v>2.468</v>
      </c>
      <c r="D9" t="n">
        <v>1.19</v>
      </c>
      <c r="E9" t="n">
        <v>3.657</v>
      </c>
      <c r="F9" t="n">
        <v>76496.04861564082</v>
      </c>
      <c r="G9" t="n">
        <v>36876.11125358488</v>
      </c>
      <c r="H9" t="n">
        <v>113372.1598692257</v>
      </c>
      <c r="I9" t="inlineStr">
        <is>
          <t>https://www.cne.cl/wp-content/uploads/2024/09/Produccion_combustibles-junio-2024.xlsx</t>
        </is>
      </c>
    </row>
    <row r="10">
      <c r="A10" t="n">
        <v>8</v>
      </c>
      <c r="B10" t="inlineStr">
        <is>
          <t>2021-09</t>
        </is>
      </c>
      <c r="C10" t="n">
        <v>2.494</v>
      </c>
      <c r="D10" t="n">
        <v>1.099</v>
      </c>
      <c r="E10" t="n">
        <v>3.593</v>
      </c>
      <c r="F10" t="n">
        <v>74809.6475792703</v>
      </c>
      <c r="G10" t="n">
        <v>32982.04814852781</v>
      </c>
      <c r="H10" t="n">
        <v>107791.6957277981</v>
      </c>
      <c r="I10" t="inlineStr">
        <is>
          <t>https://www.cne.cl/wp-content/uploads/2024/09/Produccion_combustibles-junio-2024.xlsx</t>
        </is>
      </c>
    </row>
    <row r="11">
      <c r="A11" t="n">
        <v>9</v>
      </c>
      <c r="B11" t="inlineStr">
        <is>
          <t>2021-10</t>
        </is>
      </c>
      <c r="C11" t="n">
        <v>2.426</v>
      </c>
      <c r="D11" t="n">
        <v>1.02</v>
      </c>
      <c r="E11" t="n">
        <v>3.447</v>
      </c>
      <c r="F11" t="n">
        <v>75217.24824674493</v>
      </c>
      <c r="G11" t="n">
        <v>31632.98513905634</v>
      </c>
      <c r="H11" t="n">
        <v>106850.2333858013</v>
      </c>
      <c r="I11" t="inlineStr">
        <is>
          <t>https://www.cne.cl/wp-content/uploads/2024/09/Produccion_combustibles-junio-2024.xlsx</t>
        </is>
      </c>
    </row>
    <row r="12">
      <c r="A12" t="n">
        <v>10</v>
      </c>
      <c r="B12" t="inlineStr">
        <is>
          <t>2021-11</t>
        </is>
      </c>
      <c r="C12" t="n">
        <v>2.347</v>
      </c>
      <c r="D12" t="n">
        <v>1.047</v>
      </c>
      <c r="E12" t="n">
        <v>3.394</v>
      </c>
      <c r="F12" t="n">
        <v>70410.98279294172</v>
      </c>
      <c r="G12" t="n">
        <v>31414.56359092114</v>
      </c>
      <c r="H12" t="n">
        <v>101825.5463838629</v>
      </c>
      <c r="I12" t="inlineStr">
        <is>
          <t>https://www.cne.cl/wp-content/uploads/2024/09/Produccion_combustibles-junio-2024.xlsx</t>
        </is>
      </c>
    </row>
    <row r="13">
      <c r="A13" t="n">
        <v>11</v>
      </c>
      <c r="B13" t="inlineStr">
        <is>
          <t>2021-12</t>
        </is>
      </c>
      <c r="C13" t="n">
        <v>2.055</v>
      </c>
      <c r="D13" t="n">
        <v>1.163</v>
      </c>
      <c r="E13" t="n">
        <v>3.218</v>
      </c>
      <c r="F13" t="n">
        <v>63696.55685150021</v>
      </c>
      <c r="G13" t="n">
        <v>36060.66686222014</v>
      </c>
      <c r="H13" t="n">
        <v>99757.22371372035</v>
      </c>
      <c r="I13" t="inlineStr">
        <is>
          <t>https://www.cne.cl/wp-content/uploads/2024/09/Produccion_combustibles-junio-2024.xlsx</t>
        </is>
      </c>
    </row>
    <row r="14">
      <c r="A14" t="n">
        <v>12</v>
      </c>
      <c r="B14" t="inlineStr">
        <is>
          <t>2022-01</t>
        </is>
      </c>
      <c r="C14" t="n">
        <v>2.21</v>
      </c>
      <c r="D14" t="n">
        <v>1.174</v>
      </c>
      <c r="E14" t="n">
        <v>3.384</v>
      </c>
      <c r="F14" t="n">
        <v>68506.32832824801</v>
      </c>
      <c r="G14" t="n">
        <v>36383.73407030705</v>
      </c>
      <c r="H14" t="n">
        <v>104890.0623985551</v>
      </c>
      <c r="I14" t="inlineStr">
        <is>
          <t>https://www.cne.cl/wp-content/uploads/2024/09/Produccion_combustibles-junio-2024.xlsx</t>
        </is>
      </c>
    </row>
    <row r="15">
      <c r="A15" t="n">
        <v>13</v>
      </c>
      <c r="B15" t="inlineStr">
        <is>
          <t>2022-02</t>
        </is>
      </c>
      <c r="C15" t="n">
        <v>2.128</v>
      </c>
      <c r="D15" t="n">
        <v>1.142</v>
      </c>
      <c r="E15" t="n">
        <v>3.27</v>
      </c>
      <c r="F15" t="n">
        <v>59577.12989259706</v>
      </c>
      <c r="G15" t="n">
        <v>31980.54087053589</v>
      </c>
      <c r="H15" t="n">
        <v>91557.67076313295</v>
      </c>
      <c r="I15" t="inlineStr">
        <is>
          <t>https://www.cne.cl/wp-content/uploads/2024/09/Produccion_combustibles-junio-2024.xlsx</t>
        </is>
      </c>
    </row>
    <row r="16">
      <c r="A16" t="n">
        <v>14</v>
      </c>
      <c r="B16" t="inlineStr">
        <is>
          <t>2022-03</t>
        </is>
      </c>
      <c r="C16" t="n">
        <v>2.242</v>
      </c>
      <c r="D16" t="n">
        <v>1.392</v>
      </c>
      <c r="E16" t="n">
        <v>3.634</v>
      </c>
      <c r="F16" t="n">
        <v>69513.56491994002</v>
      </c>
      <c r="G16" t="n">
        <v>43141.26459455518</v>
      </c>
      <c r="H16" t="n">
        <v>112654.8295144952</v>
      </c>
      <c r="I16" t="inlineStr">
        <is>
          <t>https://www.cne.cl/wp-content/uploads/2024/09/Produccion_combustibles-junio-2024.xlsx</t>
        </is>
      </c>
    </row>
    <row r="17">
      <c r="A17" t="n">
        <v>15</v>
      </c>
      <c r="B17" t="inlineStr">
        <is>
          <t>2022-04</t>
        </is>
      </c>
      <c r="C17" t="n">
        <v>2.058</v>
      </c>
      <c r="D17" t="n">
        <v>1.485</v>
      </c>
      <c r="E17" t="n">
        <v>3.543</v>
      </c>
      <c r="F17" t="n">
        <v>61728.67397301869</v>
      </c>
      <c r="G17" t="n">
        <v>44550.87872653835</v>
      </c>
      <c r="H17" t="n">
        <v>106279.552699557</v>
      </c>
      <c r="I17" t="inlineStr">
        <is>
          <t>https://www.cne.cl/wp-content/uploads/2024/09/Produccion_combustibles-junio-2024.xlsx</t>
        </is>
      </c>
    </row>
    <row r="18">
      <c r="A18" t="n">
        <v>16</v>
      </c>
      <c r="B18" t="inlineStr">
        <is>
          <t>2022-05</t>
        </is>
      </c>
      <c r="C18" t="n">
        <v>2.318</v>
      </c>
      <c r="D18" t="n">
        <v>1.663</v>
      </c>
      <c r="E18" t="n">
        <v>3.981</v>
      </c>
      <c r="F18" t="n">
        <v>71867.73032638317</v>
      </c>
      <c r="G18" t="n">
        <v>51552.09764281461</v>
      </c>
      <c r="H18" t="n">
        <v>123419.8279691978</v>
      </c>
      <c r="I18" t="inlineStr">
        <is>
          <t>https://www.cne.cl/wp-content/uploads/2024/09/Produccion_combustibles-junio-2024.xlsx</t>
        </is>
      </c>
    </row>
    <row r="19">
      <c r="A19" t="n">
        <v>17</v>
      </c>
      <c r="B19" t="inlineStr">
        <is>
          <t>2022-06</t>
        </is>
      </c>
      <c r="C19" t="n">
        <v>2.356</v>
      </c>
      <c r="D19" t="n">
        <v>1.654</v>
      </c>
      <c r="E19" t="n">
        <v>4.01</v>
      </c>
      <c r="F19" t="n">
        <v>70665.74246017389</v>
      </c>
      <c r="G19" t="n">
        <v>49634.84988151875</v>
      </c>
      <c r="H19" t="n">
        <v>120300.5923416926</v>
      </c>
      <c r="I19" t="inlineStr">
        <is>
          <t>https://www.cne.cl/wp-content/uploads/2024/09/Produccion_combustibles-junio-2024.xlsx</t>
        </is>
      </c>
    </row>
    <row r="20">
      <c r="A20" t="n">
        <v>18</v>
      </c>
      <c r="B20" t="inlineStr">
        <is>
          <t>2022-07</t>
        </is>
      </c>
      <c r="C20" t="n">
        <v>2.361</v>
      </c>
      <c r="D20" t="n">
        <v>1.658</v>
      </c>
      <c r="E20" t="n">
        <v>4.018</v>
      </c>
      <c r="F20" t="n">
        <v>73175.59888551098</v>
      </c>
      <c r="G20" t="n">
        <v>51393.26878338138</v>
      </c>
      <c r="H20" t="n">
        <v>124568.8676688924</v>
      </c>
      <c r="I20" t="inlineStr">
        <is>
          <t>https://www.cne.cl/wp-content/uploads/2024/09/Produccion_combustibles-junio-2024.xlsx</t>
        </is>
      </c>
    </row>
    <row r="21">
      <c r="A21" t="n">
        <v>19</v>
      </c>
      <c r="B21" t="inlineStr">
        <is>
          <t>2022-08</t>
        </is>
      </c>
      <c r="C21" t="n">
        <v>2.484</v>
      </c>
      <c r="D21" t="n">
        <v>1.63</v>
      </c>
      <c r="E21" t="n">
        <v>4.114</v>
      </c>
      <c r="F21" t="n">
        <v>77011.28398751283</v>
      </c>
      <c r="G21" t="n">
        <v>50528.03722488144</v>
      </c>
      <c r="H21" t="n">
        <v>127539.3212123943</v>
      </c>
      <c r="I21" t="inlineStr">
        <is>
          <t>https://www.cne.cl/wp-content/uploads/2024/09/Produccion_combustibles-junio-2024.xlsx</t>
        </is>
      </c>
    </row>
    <row r="22">
      <c r="A22" t="n">
        <v>20</v>
      </c>
      <c r="B22" t="inlineStr">
        <is>
          <t>2022-09</t>
        </is>
      </c>
      <c r="C22" t="n">
        <v>2.379</v>
      </c>
      <c r="D22" t="n">
        <v>1.478</v>
      </c>
      <c r="E22" t="n">
        <v>3.857</v>
      </c>
      <c r="F22" t="n">
        <v>71371.36707801661</v>
      </c>
      <c r="G22" t="n">
        <v>44347.40163807846</v>
      </c>
      <c r="H22" t="n">
        <v>115718.7687160951</v>
      </c>
      <c r="I22" t="inlineStr">
        <is>
          <t>https://www.cne.cl/wp-content/uploads/2024/09/Produccion_combustibles-junio-2024.xlsx</t>
        </is>
      </c>
    </row>
    <row r="23">
      <c r="A23" t="n">
        <v>21</v>
      </c>
      <c r="B23" t="inlineStr">
        <is>
          <t>2022-10</t>
        </is>
      </c>
      <c r="C23" t="n">
        <v>2.305</v>
      </c>
      <c r="D23" t="n">
        <v>1.489</v>
      </c>
      <c r="E23" t="n">
        <v>3.794</v>
      </c>
      <c r="F23" t="n">
        <v>71450.9075985563</v>
      </c>
      <c r="G23" t="n">
        <v>46171.6801253809</v>
      </c>
      <c r="H23" t="n">
        <v>117622.5877239372</v>
      </c>
      <c r="I23" t="inlineStr">
        <is>
          <t>https://www.cne.cl/wp-content/uploads/2024/09/Produccion_combustibles-junio-2024.xlsx</t>
        </is>
      </c>
    </row>
    <row r="24">
      <c r="A24" t="n">
        <v>22</v>
      </c>
      <c r="B24" t="inlineStr">
        <is>
          <t>2022-11</t>
        </is>
      </c>
      <c r="C24" t="n">
        <v>1.98</v>
      </c>
      <c r="D24" t="n">
        <v>1.339</v>
      </c>
      <c r="E24" t="n">
        <v>3.319</v>
      </c>
      <c r="F24" t="n">
        <v>59393.27868941349</v>
      </c>
      <c r="G24" t="n">
        <v>40172.45288124749</v>
      </c>
      <c r="H24" t="n">
        <v>99565.73157066098</v>
      </c>
      <c r="I24" t="inlineStr">
        <is>
          <t>https://www.cne.cl/wp-content/uploads/2024/09/Produccion_combustibles-junio-2024.xlsx</t>
        </is>
      </c>
    </row>
    <row r="25">
      <c r="A25" t="n">
        <v>23</v>
      </c>
      <c r="B25" t="inlineStr">
        <is>
          <t>2022-12</t>
        </is>
      </c>
      <c r="C25" t="n">
        <v>2.073</v>
      </c>
      <c r="D25" t="n">
        <v>1.417</v>
      </c>
      <c r="E25" t="n">
        <v>3.49</v>
      </c>
      <c r="F25" t="n">
        <v>64276.33064573319</v>
      </c>
      <c r="G25" t="n">
        <v>43922.97532421232</v>
      </c>
      <c r="H25" t="n">
        <v>108199.3059699455</v>
      </c>
      <c r="I25" t="inlineStr">
        <is>
          <t>https://www.cne.cl/wp-content/uploads/2024/09/Produccion_combustibles-junio-2024.xlsx</t>
        </is>
      </c>
    </row>
    <row r="26">
      <c r="A26" t="n">
        <v>24</v>
      </c>
      <c r="B26" t="inlineStr">
        <is>
          <t>2023-01</t>
        </is>
      </c>
      <c r="C26" t="n">
        <v>1.963</v>
      </c>
      <c r="D26" t="n">
        <v>1.412</v>
      </c>
      <c r="E26" t="n">
        <v>3.375</v>
      </c>
      <c r="F26" t="n">
        <v>60864.71831900491</v>
      </c>
      <c r="G26" t="n">
        <v>43761.64812098985</v>
      </c>
      <c r="H26" t="n">
        <v>104626.3664399948</v>
      </c>
      <c r="I26" t="inlineStr">
        <is>
          <t>https://www.cne.cl/wp-content/uploads/2024/09/Produccion_combustibles-junio-2024.xlsx</t>
        </is>
      </c>
    </row>
    <row r="27">
      <c r="A27" t="n">
        <v>25</v>
      </c>
      <c r="B27" t="inlineStr">
        <is>
          <t>2023-02</t>
        </is>
      </c>
      <c r="C27" t="n">
        <v>2.099</v>
      </c>
      <c r="D27" t="n">
        <v>1.349</v>
      </c>
      <c r="E27" t="n">
        <v>3.448</v>
      </c>
      <c r="F27" t="n">
        <v>58780.02467607481</v>
      </c>
      <c r="G27" t="n">
        <v>37760.0405076724</v>
      </c>
      <c r="H27" t="n">
        <v>96540.06518374721</v>
      </c>
      <c r="I27" t="inlineStr">
        <is>
          <t>https://www.cne.cl/wp-content/uploads/2024/09/Produccion_combustibles-junio-2024.xlsx</t>
        </is>
      </c>
    </row>
    <row r="28">
      <c r="A28" t="n">
        <v>26</v>
      </c>
      <c r="B28" t="inlineStr">
        <is>
          <t>2023-03</t>
        </is>
      </c>
      <c r="C28" t="n">
        <v>2.126</v>
      </c>
      <c r="D28" t="n">
        <v>1.34</v>
      </c>
      <c r="E28" t="n">
        <v>3.467</v>
      </c>
      <c r="F28" t="n">
        <v>65910.28133885116</v>
      </c>
      <c r="G28" t="n">
        <v>41554.1475869003</v>
      </c>
      <c r="H28" t="n">
        <v>107464.4289257515</v>
      </c>
      <c r="I28" t="inlineStr">
        <is>
          <t>https://www.cne.cl/wp-content/uploads/2024/09/Produccion_combustibles-junio-2024.xlsx</t>
        </is>
      </c>
    </row>
    <row r="29">
      <c r="A29" t="n">
        <v>27</v>
      </c>
      <c r="B29" t="inlineStr">
        <is>
          <t>2023-04</t>
        </is>
      </c>
      <c r="C29" t="n">
        <v>2.335</v>
      </c>
      <c r="D29" t="n">
        <v>1.402</v>
      </c>
      <c r="E29" t="n">
        <v>3.737</v>
      </c>
      <c r="F29" t="n">
        <v>70062.4485120172</v>
      </c>
      <c r="G29" t="n">
        <v>42049.29018798377</v>
      </c>
      <c r="H29" t="n">
        <v>112111.738700001</v>
      </c>
      <c r="I29" t="inlineStr">
        <is>
          <t>https://www.cne.cl/wp-content/uploads/2024/09/Produccion_combustibles-junio-2024.xlsx</t>
        </is>
      </c>
    </row>
    <row r="30">
      <c r="A30" t="n">
        <v>28</v>
      </c>
      <c r="B30" t="inlineStr">
        <is>
          <t>2023-05</t>
        </is>
      </c>
      <c r="C30" t="n">
        <v>2.412</v>
      </c>
      <c r="D30" t="n">
        <v>1.437</v>
      </c>
      <c r="E30" t="n">
        <v>3.849</v>
      </c>
      <c r="F30" t="n">
        <v>74757.44923766695</v>
      </c>
      <c r="G30" t="n">
        <v>44552.39121602058</v>
      </c>
      <c r="H30" t="n">
        <v>119309.8404536875</v>
      </c>
      <c r="I30" t="inlineStr">
        <is>
          <t>https://www.cne.cl/wp-content/uploads/2024/09/Produccion_combustibles-junio-2024.xlsx</t>
        </is>
      </c>
    </row>
    <row r="31">
      <c r="A31" t="n">
        <v>29</v>
      </c>
      <c r="B31" t="inlineStr">
        <is>
          <t>2023-06</t>
        </is>
      </c>
      <c r="C31" t="n">
        <v>2.319</v>
      </c>
      <c r="D31" t="n">
        <v>1.711</v>
      </c>
      <c r="E31" t="n">
        <v>4.029</v>
      </c>
      <c r="F31" t="n">
        <v>69555.30519310229</v>
      </c>
      <c r="G31" t="n">
        <v>51321.69459912511</v>
      </c>
      <c r="H31" t="n">
        <v>120876.9997922274</v>
      </c>
      <c r="I31" t="inlineStr">
        <is>
          <t>https://www.cne.cl/wp-content/uploads/2024/09/Produccion_combustibles-junio-2024.xlsx</t>
        </is>
      </c>
    </row>
    <row r="32">
      <c r="A32" t="n">
        <v>30</v>
      </c>
      <c r="B32" t="inlineStr">
        <is>
          <t>2023-07</t>
        </is>
      </c>
      <c r="C32" t="n">
        <v>2.312</v>
      </c>
      <c r="D32" t="n">
        <v>1.759</v>
      </c>
      <c r="E32" t="n">
        <v>4.071</v>
      </c>
      <c r="F32" t="n">
        <v>71681.64910860563</v>
      </c>
      <c r="G32" t="n">
        <v>54522.61346386798</v>
      </c>
      <c r="H32" t="n">
        <v>126204.2625724736</v>
      </c>
      <c r="I32" t="inlineStr">
        <is>
          <t>https://www.cne.cl/wp-content/uploads/2024/09/Produccion_combustibles-junio-2024.xlsx</t>
        </is>
      </c>
    </row>
    <row r="33">
      <c r="A33" t="n">
        <v>31</v>
      </c>
      <c r="B33" t="inlineStr">
        <is>
          <t>2023-08</t>
        </is>
      </c>
      <c r="C33" t="n">
        <v>2.444</v>
      </c>
      <c r="D33" t="n">
        <v>1.739</v>
      </c>
      <c r="E33" t="n">
        <v>4.183</v>
      </c>
      <c r="F33" t="n">
        <v>75762.00581182004</v>
      </c>
      <c r="G33" t="n">
        <v>53923.49591170166</v>
      </c>
      <c r="H33" t="n">
        <v>129685.5017235217</v>
      </c>
      <c r="I33" t="inlineStr">
        <is>
          <t>https://www.cne.cl/wp-content/uploads/2024/09/Produccion_combustibles-junio-2024.xlsx</t>
        </is>
      </c>
    </row>
    <row r="34">
      <c r="A34" t="n">
        <v>32</v>
      </c>
      <c r="B34" t="inlineStr">
        <is>
          <t>2023-09</t>
        </is>
      </c>
      <c r="C34" t="n">
        <v>2.491</v>
      </c>
      <c r="D34" t="n">
        <v>1.743</v>
      </c>
      <c r="E34" t="n">
        <v>4.233</v>
      </c>
      <c r="F34" t="n">
        <v>74720.569</v>
      </c>
      <c r="G34" t="n">
        <v>52278.32535253471</v>
      </c>
      <c r="H34" t="n">
        <v>126998.8943525347</v>
      </c>
      <c r="I34" t="inlineStr">
        <is>
          <t>https://www.cne.cl/wp-content/uploads/2024/09/Produccion_combustibles-junio-2024.xlsx</t>
        </is>
      </c>
    </row>
    <row r="35">
      <c r="A35" t="n">
        <v>33</v>
      </c>
      <c r="B35" t="inlineStr">
        <is>
          <t>2023-10</t>
        </is>
      </c>
      <c r="C35" t="n">
        <v>2.352</v>
      </c>
      <c r="D35" t="n">
        <v>1.479</v>
      </c>
      <c r="E35" t="n">
        <v>3.83</v>
      </c>
      <c r="F35" t="n">
        <v>72907.16712880408</v>
      </c>
      <c r="G35" t="n">
        <v>45835.73091313666</v>
      </c>
      <c r="H35" t="n">
        <v>118742.8980419407</v>
      </c>
      <c r="I35" t="inlineStr">
        <is>
          <t>https://www.cne.cl/wp-content/uploads/2024/09/Produccion_combustibles-junio-2024.xlsx</t>
        </is>
      </c>
    </row>
    <row r="36">
      <c r="A36" t="n">
        <v>34</v>
      </c>
      <c r="B36" t="inlineStr">
        <is>
          <t>2023-11</t>
        </is>
      </c>
      <c r="C36" t="n">
        <v>2.092</v>
      </c>
      <c r="D36" t="n">
        <v>1.567</v>
      </c>
      <c r="E36" t="n">
        <v>3.659</v>
      </c>
      <c r="F36" t="n">
        <v>62770.01078787394</v>
      </c>
      <c r="G36" t="n">
        <v>46999.40275583968</v>
      </c>
      <c r="H36" t="n">
        <v>109769.4135437136</v>
      </c>
      <c r="I36" t="inlineStr">
        <is>
          <t>https://www.cne.cl/wp-content/uploads/2024/09/Produccion_combustibles-junio-2024.xlsx</t>
        </is>
      </c>
    </row>
    <row r="37">
      <c r="A37" t="n">
        <v>35</v>
      </c>
      <c r="B37" t="inlineStr">
        <is>
          <t>2023-12</t>
        </is>
      </c>
      <c r="C37" t="n">
        <v>1.905</v>
      </c>
      <c r="D37" t="n">
        <v>1.505</v>
      </c>
      <c r="E37" t="n">
        <v>3.41</v>
      </c>
      <c r="F37" t="n">
        <v>59050.036</v>
      </c>
      <c r="G37" t="n">
        <v>46653.46981648116</v>
      </c>
      <c r="H37" t="n">
        <v>105703.5058164812</v>
      </c>
      <c r="I37" t="inlineStr">
        <is>
          <t>https://www.cne.cl/wp-content/uploads/2024/09/Produccion_combustibles-junio-2024.xlsx</t>
        </is>
      </c>
    </row>
    <row r="38">
      <c r="A38" t="n">
        <v>36</v>
      </c>
      <c r="B38" t="inlineStr">
        <is>
          <t>2024-01</t>
        </is>
      </c>
      <c r="C38" t="n">
        <v>1.634</v>
      </c>
      <c r="D38" t="n">
        <v>1.572</v>
      </c>
      <c r="E38" t="n">
        <v>3.206</v>
      </c>
      <c r="F38" t="n">
        <v>50655.16700429793</v>
      </c>
      <c r="G38" t="n">
        <v>48729.3258572524</v>
      </c>
      <c r="H38" t="n">
        <v>99384.49286155033</v>
      </c>
      <c r="I38" t="inlineStr">
        <is>
          <t>https://www.cne.cl/wp-content/uploads/2024/09/Produccion_combustibles-junio-2024.xlsx</t>
        </is>
      </c>
    </row>
    <row r="39">
      <c r="A39" t="n">
        <v>37</v>
      </c>
      <c r="B39" t="inlineStr">
        <is>
          <t>2024-02</t>
        </is>
      </c>
      <c r="C39" t="n">
        <v>1.628</v>
      </c>
      <c r="D39" t="n">
        <v>1.638</v>
      </c>
      <c r="E39" t="n">
        <v>3.265</v>
      </c>
      <c r="F39" t="n">
        <v>47204.81522404576</v>
      </c>
      <c r="G39" t="n">
        <v>47490.62314272937</v>
      </c>
      <c r="H39" t="n">
        <v>94695.43836677512</v>
      </c>
      <c r="I39" t="inlineStr">
        <is>
          <t>https://www.cne.cl/wp-content/uploads/2024/09/Produccion_combustibles-junio-2024.xlsx</t>
        </is>
      </c>
    </row>
    <row r="40">
      <c r="A40" t="n">
        <v>38</v>
      </c>
      <c r="B40" t="inlineStr">
        <is>
          <t>2024-03</t>
        </is>
      </c>
      <c r="C40" t="n">
        <v>1.821</v>
      </c>
      <c r="D40" t="n">
        <v>1.625</v>
      </c>
      <c r="E40" t="n">
        <v>3.446</v>
      </c>
      <c r="F40" t="n">
        <v>56455.24946197089</v>
      </c>
      <c r="G40" t="n">
        <v>50367.045</v>
      </c>
      <c r="H40" t="n">
        <v>106822.2944619709</v>
      </c>
      <c r="I40" t="inlineStr">
        <is>
          <t>https://www.cne.cl/wp-content/uploads/2024/09/Produccion_combustibles-junio-2024.xlsx</t>
        </is>
      </c>
    </row>
    <row r="41">
      <c r="A41" t="n">
        <v>39</v>
      </c>
      <c r="B41" t="inlineStr">
        <is>
          <t>2024-04</t>
        </is>
      </c>
      <c r="C41" t="n">
        <v>2.044</v>
      </c>
      <c r="D41" t="n">
        <v>1.71</v>
      </c>
      <c r="E41" t="n">
        <v>3.755</v>
      </c>
      <c r="F41" t="n">
        <v>61323.93742428781</v>
      </c>
      <c r="G41" t="n">
        <v>51314.81599999999</v>
      </c>
      <c r="H41" t="n">
        <v>112638.7534242878</v>
      </c>
      <c r="I41" t="inlineStr">
        <is>
          <t>https://www.cne.cl/wp-content/uploads/2024/09/Produccion_combustibles-junio-2024.xlsx</t>
        </is>
      </c>
    </row>
    <row r="42">
      <c r="A42" t="n">
        <v>40</v>
      </c>
      <c r="B42" t="inlineStr">
        <is>
          <t>2024-05</t>
        </is>
      </c>
      <c r="C42" t="n">
        <v>2.078</v>
      </c>
      <c r="D42" t="n">
        <v>1.846</v>
      </c>
      <c r="E42" t="n">
        <v>3.923</v>
      </c>
      <c r="F42" t="n">
        <v>64402.864</v>
      </c>
      <c r="G42" t="n">
        <v>57223.30200000001</v>
      </c>
      <c r="H42" t="n">
        <v>121626.166</v>
      </c>
      <c r="I42" t="inlineStr">
        <is>
          <t>https://www.cne.cl/wp-content/uploads/2024/09/Produccion_combustibles-junio-2024.xlsx</t>
        </is>
      </c>
    </row>
    <row r="43">
      <c r="A43" t="n">
        <v>41</v>
      </c>
      <c r="B43" t="inlineStr">
        <is>
          <t>2024-06</t>
        </is>
      </c>
      <c r="C43" t="n">
        <v>2.052</v>
      </c>
      <c r="D43" t="n">
        <v>1.775</v>
      </c>
      <c r="E43" t="n">
        <v>3.827</v>
      </c>
      <c r="F43" t="n">
        <v>61568.633</v>
      </c>
      <c r="G43" t="n">
        <v>53247.277</v>
      </c>
      <c r="H43" t="n">
        <v>114815.91</v>
      </c>
      <c r="I43" t="inlineStr">
        <is>
          <t>https://www.cne.cl/wp-content/uploads/2024/09/Produccion_combustibles-junio-2024.xlsx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2026-10-28T01:31:40Z</dcterms:created>
  <dcterms:modified xsi:type="dcterms:W3CDTF">2026-10-28T01:31:41Z</dcterms:modified>
</cp:coreProperties>
</file>